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120" windowWidth="24915" windowHeight="12075" tabRatio="823" activeTab="13"/>
  </bookViews>
  <sheets>
    <sheet name="Лист1" sheetId="94" r:id="rId1"/>
    <sheet name="Лист1 (2)" sheetId="95" r:id="rId2"/>
    <sheet name="Лист3" sheetId="96" r:id="rId3"/>
    <sheet name="Лист4" sheetId="97" r:id="rId4"/>
    <sheet name="Лист1 (3)" sheetId="98" r:id="rId5"/>
    <sheet name="Лист6" sheetId="99" r:id="rId6"/>
    <sheet name="Лист2" sheetId="100" r:id="rId7"/>
    <sheet name="Лист5" sheetId="101" r:id="rId8"/>
    <sheet name="сити-фермы" sheetId="102" r:id="rId9"/>
    <sheet name="сити-фермы (2)" sheetId="106" r:id="rId10"/>
    <sheet name="Лист8" sheetId="103" r:id="rId11"/>
    <sheet name="Лист11" sheetId="109" r:id="rId12"/>
    <sheet name="фермы" sheetId="110" r:id="rId13"/>
    <sheet name="Лист13" sheetId="111" r:id="rId14"/>
  </sheets>
  <definedNames>
    <definedName name="_xlnm._FilterDatabase" localSheetId="2" hidden="1">Лист3!#REF!</definedName>
  </definedNames>
  <calcPr calcId="125725"/>
</workbook>
</file>

<file path=xl/calcChain.xml><?xml version="1.0" encoding="utf-8"?>
<calcChain xmlns="http://schemas.openxmlformats.org/spreadsheetml/2006/main">
  <c r="H2" i="110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1"/>
  <c r="L104" i="106"/>
  <c r="L102"/>
  <c r="L73"/>
  <c r="L48"/>
  <c r="L23"/>
  <c r="T131"/>
  <c r="T108"/>
  <c r="L25" i="103" l="1"/>
  <c r="R18" i="102" l="1"/>
  <c r="J75" i="103"/>
  <c r="J76"/>
  <c r="M76" s="1"/>
  <c r="J77"/>
  <c r="M77" s="1"/>
  <c r="J78"/>
  <c r="J79"/>
  <c r="J80"/>
  <c r="M80" s="1"/>
  <c r="J81"/>
  <c r="J82"/>
  <c r="J83"/>
  <c r="J84"/>
  <c r="J85"/>
  <c r="J74"/>
  <c r="M74" s="1"/>
  <c r="M79"/>
  <c r="M81"/>
  <c r="H76"/>
  <c r="H77"/>
  <c r="L77" s="1"/>
  <c r="H78"/>
  <c r="L78" s="1"/>
  <c r="H79"/>
  <c r="H80"/>
  <c r="H81"/>
  <c r="H82"/>
  <c r="L82" s="1"/>
  <c r="H83"/>
  <c r="H84"/>
  <c r="H85"/>
  <c r="H74"/>
  <c r="H75"/>
  <c r="L81"/>
  <c r="L74"/>
  <c r="C93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L75"/>
  <c r="M75"/>
  <c r="L76"/>
  <c r="M78"/>
  <c r="L79"/>
  <c r="L80"/>
  <c r="M82"/>
  <c r="C74"/>
  <c r="Q57"/>
  <c r="Q58"/>
  <c r="Q59"/>
  <c r="Q60"/>
  <c r="Q61"/>
  <c r="Q62"/>
  <c r="Q63"/>
  <c r="Q64"/>
  <c r="Q65"/>
  <c r="Q66"/>
  <c r="Q67"/>
  <c r="Q68"/>
  <c r="J57"/>
  <c r="M57" s="1"/>
  <c r="J58"/>
  <c r="J59"/>
  <c r="M59" s="1"/>
  <c r="J60"/>
  <c r="M60" s="1"/>
  <c r="J61"/>
  <c r="M61" s="1"/>
  <c r="J62"/>
  <c r="M62" s="1"/>
  <c r="J63"/>
  <c r="M63" s="1"/>
  <c r="J64"/>
  <c r="M64" s="1"/>
  <c r="J65"/>
  <c r="M65" s="1"/>
  <c r="J66"/>
  <c r="M66" s="1"/>
  <c r="J67"/>
  <c r="M67" s="1"/>
  <c r="J68"/>
  <c r="M68" s="1"/>
  <c r="M58"/>
  <c r="H58"/>
  <c r="L58" s="1"/>
  <c r="H59"/>
  <c r="L59" s="1"/>
  <c r="H60"/>
  <c r="L60" s="1"/>
  <c r="H61"/>
  <c r="L61" s="1"/>
  <c r="H62"/>
  <c r="L62" s="1"/>
  <c r="H63"/>
  <c r="L63" s="1"/>
  <c r="H64"/>
  <c r="L64" s="1"/>
  <c r="H65"/>
  <c r="L65" s="1"/>
  <c r="H66"/>
  <c r="L66" s="1"/>
  <c r="H67"/>
  <c r="L67" s="1"/>
  <c r="H68"/>
  <c r="L68" s="1"/>
  <c r="H57"/>
  <c r="P68"/>
  <c r="P67"/>
  <c r="P66"/>
  <c r="P65"/>
  <c r="P64"/>
  <c r="R64" s="1"/>
  <c r="P63"/>
  <c r="P62"/>
  <c r="P61"/>
  <c r="P60"/>
  <c r="P59"/>
  <c r="P58"/>
  <c r="P57"/>
  <c r="L57"/>
  <c r="C68"/>
  <c r="C67"/>
  <c r="C66"/>
  <c r="C65"/>
  <c r="C64"/>
  <c r="C63"/>
  <c r="C62"/>
  <c r="C61"/>
  <c r="C60"/>
  <c r="C59"/>
  <c r="C58"/>
  <c r="C57"/>
  <c r="J30"/>
  <c r="M30" s="1"/>
  <c r="J31"/>
  <c r="M31" s="1"/>
  <c r="J32"/>
  <c r="M32" s="1"/>
  <c r="J33"/>
  <c r="M33" s="1"/>
  <c r="J34"/>
  <c r="M34" s="1"/>
  <c r="J35"/>
  <c r="M35" s="1"/>
  <c r="J36"/>
  <c r="M36" s="1"/>
  <c r="J37"/>
  <c r="M37" s="1"/>
  <c r="J38"/>
  <c r="J39"/>
  <c r="J40"/>
  <c r="J41"/>
  <c r="J42"/>
  <c r="J43"/>
  <c r="J44"/>
  <c r="J45"/>
  <c r="J46"/>
  <c r="J47"/>
  <c r="J48"/>
  <c r="J49"/>
  <c r="J50"/>
  <c r="J29"/>
  <c r="M29" s="1"/>
  <c r="H50"/>
  <c r="H49"/>
  <c r="H48"/>
  <c r="H47"/>
  <c r="H46"/>
  <c r="H45"/>
  <c r="H44"/>
  <c r="H43"/>
  <c r="H42"/>
  <c r="H41"/>
  <c r="H40"/>
  <c r="H39"/>
  <c r="H38"/>
  <c r="H37"/>
  <c r="L37" s="1"/>
  <c r="H36"/>
  <c r="L36" s="1"/>
  <c r="H35"/>
  <c r="L35" s="1"/>
  <c r="H34"/>
  <c r="L34" s="1"/>
  <c r="H33"/>
  <c r="L33" s="1"/>
  <c r="H32"/>
  <c r="L32" s="1"/>
  <c r="H31"/>
  <c r="L31" s="1"/>
  <c r="H30"/>
  <c r="L30" s="1"/>
  <c r="H29"/>
  <c r="L29" s="1"/>
  <c r="H3"/>
  <c r="L3" s="1"/>
  <c r="J3"/>
  <c r="M3" s="1"/>
  <c r="Q50"/>
  <c r="P50"/>
  <c r="Q49"/>
  <c r="P49"/>
  <c r="Q48"/>
  <c r="P48"/>
  <c r="Q47"/>
  <c r="P47"/>
  <c r="Q46"/>
  <c r="P46"/>
  <c r="Q45"/>
  <c r="P45"/>
  <c r="Q44"/>
  <c r="P44"/>
  <c r="Q43"/>
  <c r="P43"/>
  <c r="Q42"/>
  <c r="P42"/>
  <c r="Q41"/>
  <c r="P41"/>
  <c r="Q40"/>
  <c r="P40"/>
  <c r="Q39"/>
  <c r="P39"/>
  <c r="Q38"/>
  <c r="P38"/>
  <c r="Q37"/>
  <c r="P37"/>
  <c r="Q36"/>
  <c r="P36"/>
  <c r="Q35"/>
  <c r="P35"/>
  <c r="Q34"/>
  <c r="P34"/>
  <c r="Q33"/>
  <c r="P33"/>
  <c r="Q32"/>
  <c r="P32"/>
  <c r="Q31"/>
  <c r="P31"/>
  <c r="Q30"/>
  <c r="P30"/>
  <c r="Q29"/>
  <c r="P29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Q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3"/>
  <c r="J4"/>
  <c r="M4" s="1"/>
  <c r="J5"/>
  <c r="M5" s="1"/>
  <c r="J6"/>
  <c r="M6" s="1"/>
  <c r="J7"/>
  <c r="M7" s="1"/>
  <c r="J8"/>
  <c r="M8" s="1"/>
  <c r="J9"/>
  <c r="M9" s="1"/>
  <c r="J10"/>
  <c r="M10" s="1"/>
  <c r="J11"/>
  <c r="M11" s="1"/>
  <c r="J12"/>
  <c r="J13"/>
  <c r="J14"/>
  <c r="J15"/>
  <c r="J16"/>
  <c r="J17"/>
  <c r="J18"/>
  <c r="J19"/>
  <c r="J20"/>
  <c r="J21"/>
  <c r="J22"/>
  <c r="J23"/>
  <c r="J24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3"/>
  <c r="P4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3"/>
  <c r="H4"/>
  <c r="L4" s="1"/>
  <c r="H5"/>
  <c r="L5" s="1"/>
  <c r="H6"/>
  <c r="L6" s="1"/>
  <c r="H7"/>
  <c r="L7" s="1"/>
  <c r="H8"/>
  <c r="L8" s="1"/>
  <c r="H9"/>
  <c r="L9" s="1"/>
  <c r="H10"/>
  <c r="L10" s="1"/>
  <c r="H11"/>
  <c r="L11" s="1"/>
  <c r="H12"/>
  <c r="H13"/>
  <c r="H14"/>
  <c r="H15"/>
  <c r="H16"/>
  <c r="H17"/>
  <c r="H18"/>
  <c r="H19"/>
  <c r="H20"/>
  <c r="H21"/>
  <c r="H22"/>
  <c r="H23"/>
  <c r="H24"/>
  <c r="R57" l="1"/>
  <c r="R65"/>
  <c r="L90"/>
  <c r="R19"/>
  <c r="R20"/>
  <c r="R12"/>
  <c r="R4"/>
  <c r="R66"/>
  <c r="M90"/>
  <c r="R22"/>
  <c r="R61"/>
  <c r="R21"/>
  <c r="R13"/>
  <c r="R60"/>
  <c r="C69"/>
  <c r="M70"/>
  <c r="L70"/>
  <c r="R59"/>
  <c r="R68"/>
  <c r="R30"/>
  <c r="R34"/>
  <c r="R38"/>
  <c r="R63"/>
  <c r="R58"/>
  <c r="R67"/>
  <c r="R5"/>
  <c r="R62"/>
  <c r="R45"/>
  <c r="R14"/>
  <c r="R6"/>
  <c r="R23"/>
  <c r="R15"/>
  <c r="R32"/>
  <c r="R37"/>
  <c r="R49"/>
  <c r="R24"/>
  <c r="R16"/>
  <c r="R8"/>
  <c r="R17"/>
  <c r="R9"/>
  <c r="R31"/>
  <c r="R35"/>
  <c r="R18"/>
  <c r="R29"/>
  <c r="L51"/>
  <c r="C25"/>
  <c r="M51"/>
  <c r="R43"/>
  <c r="R47"/>
  <c r="R46"/>
  <c r="R40"/>
  <c r="R48"/>
  <c r="R36"/>
  <c r="R33"/>
  <c r="R39"/>
  <c r="R50"/>
  <c r="R42"/>
  <c r="C51"/>
  <c r="R41"/>
  <c r="R44"/>
  <c r="R11"/>
  <c r="R7"/>
  <c r="R10"/>
  <c r="R3"/>
  <c r="N91" l="1"/>
  <c r="N90"/>
  <c r="S70"/>
  <c r="N70"/>
  <c r="N71"/>
  <c r="N52"/>
  <c r="N51"/>
  <c r="S51"/>
  <c r="S25"/>
  <c r="V2" i="94" l="1"/>
  <c r="R124" i="102"/>
  <c r="R101"/>
  <c r="R80"/>
  <c r="R59"/>
  <c r="R38"/>
  <c r="N109" i="98"/>
  <c r="N107"/>
  <c r="N119"/>
  <c r="N111"/>
  <c r="N113"/>
  <c r="N115"/>
  <c r="N117"/>
  <c r="Y87"/>
  <c r="Y88"/>
  <c r="Y89"/>
  <c r="Y90"/>
  <c r="Y91"/>
  <c r="Y92"/>
  <c r="Y93"/>
  <c r="Y94"/>
  <c r="Y95"/>
  <c r="Y96"/>
  <c r="Y97"/>
  <c r="Y98"/>
  <c r="Y99"/>
  <c r="Y100"/>
  <c r="Y101"/>
  <c r="Y102"/>
  <c r="AJ91"/>
  <c r="BB91" s="1"/>
  <c r="U52"/>
  <c r="D2" i="99"/>
  <c r="D3"/>
  <c r="D4"/>
  <c r="D5"/>
  <c r="D6"/>
  <c r="D1"/>
  <c r="AV101" i="98"/>
  <c r="U86"/>
  <c r="AW86"/>
  <c r="AV86"/>
  <c r="AU86"/>
  <c r="AT86"/>
  <c r="AS86"/>
  <c r="AR86"/>
  <c r="AN86"/>
  <c r="AM86"/>
  <c r="AL86"/>
  <c r="AK86"/>
  <c r="BC86" s="1"/>
  <c r="AJ86"/>
  <c r="AI86"/>
  <c r="AV84"/>
  <c r="U69"/>
  <c r="AW69"/>
  <c r="AV69"/>
  <c r="AU69"/>
  <c r="BD69" s="1"/>
  <c r="AT69"/>
  <c r="AS69"/>
  <c r="AR69"/>
  <c r="AN69"/>
  <c r="AM69"/>
  <c r="AL69"/>
  <c r="AK69"/>
  <c r="AJ69"/>
  <c r="AI69"/>
  <c r="BA69" s="1"/>
  <c r="AV67"/>
  <c r="AW52"/>
  <c r="AV52"/>
  <c r="AU52"/>
  <c r="AT52"/>
  <c r="AS52"/>
  <c r="AR52"/>
  <c r="AN52"/>
  <c r="AM52"/>
  <c r="AL52"/>
  <c r="AK52"/>
  <c r="BC52" s="1"/>
  <c r="AJ52"/>
  <c r="AI52"/>
  <c r="AV50"/>
  <c r="U35"/>
  <c r="AW35"/>
  <c r="BF35" s="1"/>
  <c r="AV35"/>
  <c r="AU35"/>
  <c r="BD35" s="1"/>
  <c r="AT35"/>
  <c r="AS35"/>
  <c r="AR35"/>
  <c r="AN35"/>
  <c r="AM35"/>
  <c r="BE35" s="1"/>
  <c r="AL35"/>
  <c r="AK35"/>
  <c r="AJ35"/>
  <c r="BB35" s="1"/>
  <c r="AI35"/>
  <c r="BA35" s="1"/>
  <c r="AV33"/>
  <c r="U18"/>
  <c r="AW18"/>
  <c r="AV18"/>
  <c r="AU18"/>
  <c r="BD18" s="1"/>
  <c r="AT18"/>
  <c r="AS18"/>
  <c r="AR18"/>
  <c r="AN18"/>
  <c r="AM18"/>
  <c r="AL18"/>
  <c r="AK18"/>
  <c r="BC18" s="1"/>
  <c r="AJ18"/>
  <c r="AI18"/>
  <c r="AV16"/>
  <c r="AY102"/>
  <c r="AX102"/>
  <c r="AW102"/>
  <c r="AV102"/>
  <c r="AU102"/>
  <c r="AT102"/>
  <c r="AS102"/>
  <c r="AR102"/>
  <c r="AP102"/>
  <c r="BH102" s="1"/>
  <c r="AO102"/>
  <c r="BG102" s="1"/>
  <c r="AN102"/>
  <c r="BF102" s="1"/>
  <c r="AM102"/>
  <c r="BE102" s="1"/>
  <c r="AL102"/>
  <c r="BD102" s="1"/>
  <c r="AK102"/>
  <c r="AJ102"/>
  <c r="BB102" s="1"/>
  <c r="AI102"/>
  <c r="BA102" s="1"/>
  <c r="U102"/>
  <c r="AY101"/>
  <c r="AX101"/>
  <c r="AW101"/>
  <c r="AU101"/>
  <c r="AT101"/>
  <c r="AS101"/>
  <c r="AR101"/>
  <c r="AP101"/>
  <c r="AO101"/>
  <c r="AN101"/>
  <c r="AM101"/>
  <c r="AL101"/>
  <c r="BD101" s="1"/>
  <c r="AK101"/>
  <c r="BC101" s="1"/>
  <c r="AJ101"/>
  <c r="BB101" s="1"/>
  <c r="AI101"/>
  <c r="U101"/>
  <c r="AY100"/>
  <c r="AX100"/>
  <c r="AW100"/>
  <c r="AV100"/>
  <c r="AU100"/>
  <c r="AT100"/>
  <c r="AS100"/>
  <c r="AR100"/>
  <c r="AP100"/>
  <c r="BH100" s="1"/>
  <c r="AO100"/>
  <c r="BG100" s="1"/>
  <c r="AN100"/>
  <c r="BF100" s="1"/>
  <c r="AM100"/>
  <c r="BE100" s="1"/>
  <c r="AL100"/>
  <c r="BD100" s="1"/>
  <c r="AK100"/>
  <c r="BC100" s="1"/>
  <c r="AJ100"/>
  <c r="BB100" s="1"/>
  <c r="AI100"/>
  <c r="U100"/>
  <c r="AY99"/>
  <c r="AX99"/>
  <c r="AW99"/>
  <c r="AV99"/>
  <c r="AU99"/>
  <c r="AT99"/>
  <c r="AS99"/>
  <c r="AR99"/>
  <c r="AP99"/>
  <c r="BH99" s="1"/>
  <c r="AO99"/>
  <c r="BG99" s="1"/>
  <c r="AN99"/>
  <c r="BF99" s="1"/>
  <c r="AM99"/>
  <c r="BE99" s="1"/>
  <c r="AL99"/>
  <c r="BD99" s="1"/>
  <c r="AK99"/>
  <c r="BC99" s="1"/>
  <c r="AJ99"/>
  <c r="BB99" s="1"/>
  <c r="AI99"/>
  <c r="BA99" s="1"/>
  <c r="U99"/>
  <c r="AY98"/>
  <c r="AX98"/>
  <c r="AW98"/>
  <c r="AV98"/>
  <c r="AU98"/>
  <c r="AT98"/>
  <c r="AS98"/>
  <c r="AR98"/>
  <c r="AP98"/>
  <c r="BH98" s="1"/>
  <c r="AO98"/>
  <c r="BG98" s="1"/>
  <c r="AN98"/>
  <c r="BF98" s="1"/>
  <c r="AM98"/>
  <c r="BE98" s="1"/>
  <c r="AL98"/>
  <c r="BD98" s="1"/>
  <c r="AK98"/>
  <c r="BC98" s="1"/>
  <c r="AJ98"/>
  <c r="BB98" s="1"/>
  <c r="AI98"/>
  <c r="U98"/>
  <c r="AY97"/>
  <c r="AX97"/>
  <c r="AW97"/>
  <c r="AV97"/>
  <c r="AU97"/>
  <c r="AT97"/>
  <c r="AS97"/>
  <c r="AR97"/>
  <c r="AP97"/>
  <c r="BH97" s="1"/>
  <c r="AO97"/>
  <c r="BG97" s="1"/>
  <c r="AN97"/>
  <c r="AM97"/>
  <c r="BE97" s="1"/>
  <c r="AL97"/>
  <c r="BD97" s="1"/>
  <c r="AK97"/>
  <c r="BC97" s="1"/>
  <c r="AJ97"/>
  <c r="BB97" s="1"/>
  <c r="AI97"/>
  <c r="BA97" s="1"/>
  <c r="U97"/>
  <c r="AY96"/>
  <c r="AX96"/>
  <c r="AW96"/>
  <c r="AV96"/>
  <c r="AU96"/>
  <c r="AT96"/>
  <c r="AS96"/>
  <c r="AR96"/>
  <c r="AP96"/>
  <c r="BH96" s="1"/>
  <c r="AO96"/>
  <c r="BG96" s="1"/>
  <c r="AN96"/>
  <c r="BF96" s="1"/>
  <c r="AM96"/>
  <c r="AL96"/>
  <c r="BD96" s="1"/>
  <c r="AK96"/>
  <c r="AJ96"/>
  <c r="BB96" s="1"/>
  <c r="AI96"/>
  <c r="BA96" s="1"/>
  <c r="U96"/>
  <c r="AY95"/>
  <c r="AX95"/>
  <c r="AW95"/>
  <c r="AV95"/>
  <c r="AU95"/>
  <c r="AT95"/>
  <c r="AS95"/>
  <c r="AR95"/>
  <c r="AP95"/>
  <c r="BH95" s="1"/>
  <c r="AO95"/>
  <c r="BG95" s="1"/>
  <c r="AN95"/>
  <c r="BF95" s="1"/>
  <c r="AM95"/>
  <c r="BE95" s="1"/>
  <c r="AL95"/>
  <c r="BD95" s="1"/>
  <c r="AK95"/>
  <c r="BC95" s="1"/>
  <c r="AJ95"/>
  <c r="BB95" s="1"/>
  <c r="AI95"/>
  <c r="BA95" s="1"/>
  <c r="U95"/>
  <c r="AY94"/>
  <c r="AX94"/>
  <c r="AW94"/>
  <c r="AV94"/>
  <c r="AU94"/>
  <c r="AT94"/>
  <c r="AR94"/>
  <c r="AP94"/>
  <c r="AO94"/>
  <c r="AN94"/>
  <c r="AM94"/>
  <c r="AL94"/>
  <c r="AK94"/>
  <c r="AI94"/>
  <c r="AA94"/>
  <c r="AS94" s="1"/>
  <c r="U94"/>
  <c r="AY93"/>
  <c r="AX93"/>
  <c r="AW93"/>
  <c r="AV93"/>
  <c r="AU93"/>
  <c r="AT93"/>
  <c r="AS93"/>
  <c r="AR93"/>
  <c r="AP93"/>
  <c r="BH93" s="1"/>
  <c r="AO93"/>
  <c r="AN93"/>
  <c r="BF93" s="1"/>
  <c r="AM93"/>
  <c r="BE93" s="1"/>
  <c r="AL93"/>
  <c r="BD93" s="1"/>
  <c r="AK93"/>
  <c r="BC93" s="1"/>
  <c r="AJ93"/>
  <c r="BB93" s="1"/>
  <c r="AI93"/>
  <c r="BA93" s="1"/>
  <c r="U93"/>
  <c r="AY92"/>
  <c r="AX92"/>
  <c r="AW92"/>
  <c r="AV92"/>
  <c r="AU92"/>
  <c r="AT92"/>
  <c r="AS92"/>
  <c r="AR92"/>
  <c r="AP92"/>
  <c r="BH92" s="1"/>
  <c r="AO92"/>
  <c r="BG92" s="1"/>
  <c r="AN92"/>
  <c r="BF92" s="1"/>
  <c r="AM92"/>
  <c r="BE92" s="1"/>
  <c r="AL92"/>
  <c r="BD92" s="1"/>
  <c r="AK92"/>
  <c r="BC92" s="1"/>
  <c r="AJ92"/>
  <c r="BB92" s="1"/>
  <c r="AI92"/>
  <c r="BA92" s="1"/>
  <c r="U92"/>
  <c r="AY91"/>
  <c r="AX91"/>
  <c r="AW91"/>
  <c r="AV91"/>
  <c r="AU91"/>
  <c r="AT91"/>
  <c r="AS91"/>
  <c r="AR91"/>
  <c r="AP91"/>
  <c r="BH91" s="1"/>
  <c r="AO91"/>
  <c r="BG91" s="1"/>
  <c r="AN91"/>
  <c r="BF91" s="1"/>
  <c r="AM91"/>
  <c r="BE91" s="1"/>
  <c r="AL91"/>
  <c r="BD91" s="1"/>
  <c r="AK91"/>
  <c r="BC91" s="1"/>
  <c r="AI91"/>
  <c r="U91"/>
  <c r="AY90"/>
  <c r="AX90"/>
  <c r="AW90"/>
  <c r="AV90"/>
  <c r="AU90"/>
  <c r="AT90"/>
  <c r="AS90"/>
  <c r="AR90"/>
  <c r="AP90"/>
  <c r="BH90" s="1"/>
  <c r="AO90"/>
  <c r="BG90" s="1"/>
  <c r="AN90"/>
  <c r="BF90" s="1"/>
  <c r="AM90"/>
  <c r="BE90" s="1"/>
  <c r="AL90"/>
  <c r="BD90" s="1"/>
  <c r="AK90"/>
  <c r="BC90" s="1"/>
  <c r="AJ90"/>
  <c r="BB90" s="1"/>
  <c r="AI90"/>
  <c r="BA90" s="1"/>
  <c r="U90"/>
  <c r="AY89"/>
  <c r="AX89"/>
  <c r="AW89"/>
  <c r="AV89"/>
  <c r="AU89"/>
  <c r="AT89"/>
  <c r="AS89"/>
  <c r="AR89"/>
  <c r="AP89"/>
  <c r="BH89" s="1"/>
  <c r="AO89"/>
  <c r="BG89" s="1"/>
  <c r="AN89"/>
  <c r="AM89"/>
  <c r="BE89" s="1"/>
  <c r="AL89"/>
  <c r="BD89" s="1"/>
  <c r="AK89"/>
  <c r="BC89" s="1"/>
  <c r="AJ89"/>
  <c r="BB89" s="1"/>
  <c r="AI89"/>
  <c r="BA89" s="1"/>
  <c r="U89"/>
  <c r="AY88"/>
  <c r="AX88"/>
  <c r="AW88"/>
  <c r="AV88"/>
  <c r="AU88"/>
  <c r="AT88"/>
  <c r="AS88"/>
  <c r="AR88"/>
  <c r="AP88"/>
  <c r="BH88" s="1"/>
  <c r="AO88"/>
  <c r="AN88"/>
  <c r="BF88" s="1"/>
  <c r="AM88"/>
  <c r="BE88" s="1"/>
  <c r="AL88"/>
  <c r="BD88" s="1"/>
  <c r="AK88"/>
  <c r="BC88" s="1"/>
  <c r="AJ88"/>
  <c r="BB88" s="1"/>
  <c r="AI88"/>
  <c r="BA88" s="1"/>
  <c r="U88"/>
  <c r="AY87"/>
  <c r="AX87"/>
  <c r="AW87"/>
  <c r="AV87"/>
  <c r="AU87"/>
  <c r="AT87"/>
  <c r="AS87"/>
  <c r="AR87"/>
  <c r="AP87"/>
  <c r="BH87" s="1"/>
  <c r="AO87"/>
  <c r="BG87" s="1"/>
  <c r="AN87"/>
  <c r="BF87" s="1"/>
  <c r="AM87"/>
  <c r="BE87" s="1"/>
  <c r="AL87"/>
  <c r="AK87"/>
  <c r="BC87" s="1"/>
  <c r="AJ87"/>
  <c r="BB87" s="1"/>
  <c r="AI87"/>
  <c r="BA87" s="1"/>
  <c r="U87"/>
  <c r="AY85"/>
  <c r="AX85"/>
  <c r="AW85"/>
  <c r="AV85"/>
  <c r="AU85"/>
  <c r="AT85"/>
  <c r="AS85"/>
  <c r="AR85"/>
  <c r="AP85"/>
  <c r="BH85" s="1"/>
  <c r="AO85"/>
  <c r="BG85" s="1"/>
  <c r="AN85"/>
  <c r="BF85" s="1"/>
  <c r="AM85"/>
  <c r="BE85" s="1"/>
  <c r="AL85"/>
  <c r="BD85" s="1"/>
  <c r="AK85"/>
  <c r="BC85" s="1"/>
  <c r="AJ85"/>
  <c r="BB85" s="1"/>
  <c r="AI85"/>
  <c r="BA85" s="1"/>
  <c r="Y85"/>
  <c r="U85"/>
  <c r="AY84"/>
  <c r="AX84"/>
  <c r="BG84" s="1"/>
  <c r="AW84"/>
  <c r="AU84"/>
  <c r="AT84"/>
  <c r="AS84"/>
  <c r="AR84"/>
  <c r="AP84"/>
  <c r="BH84" s="1"/>
  <c r="AO84"/>
  <c r="AN84"/>
  <c r="AM84"/>
  <c r="BE84" s="1"/>
  <c r="AL84"/>
  <c r="BD84" s="1"/>
  <c r="AK84"/>
  <c r="BC84" s="1"/>
  <c r="AJ84"/>
  <c r="BB84" s="1"/>
  <c r="AI84"/>
  <c r="BA84" s="1"/>
  <c r="Y84"/>
  <c r="U84"/>
  <c r="AY83"/>
  <c r="AX83"/>
  <c r="AW83"/>
  <c r="AV83"/>
  <c r="AU83"/>
  <c r="AT83"/>
  <c r="AS83"/>
  <c r="AR83"/>
  <c r="AP83"/>
  <c r="BH83" s="1"/>
  <c r="AO83"/>
  <c r="BG83" s="1"/>
  <c r="AN83"/>
  <c r="BF83" s="1"/>
  <c r="AM83"/>
  <c r="BE83" s="1"/>
  <c r="AL83"/>
  <c r="BD83" s="1"/>
  <c r="AK83"/>
  <c r="BC83" s="1"/>
  <c r="AJ83"/>
  <c r="BB83" s="1"/>
  <c r="AI83"/>
  <c r="BA83" s="1"/>
  <c r="Y83"/>
  <c r="U83"/>
  <c r="AY82"/>
  <c r="AX82"/>
  <c r="AW82"/>
  <c r="AV82"/>
  <c r="AU82"/>
  <c r="AT82"/>
  <c r="AS82"/>
  <c r="AR82"/>
  <c r="AP82"/>
  <c r="BH82" s="1"/>
  <c r="AO82"/>
  <c r="BG82" s="1"/>
  <c r="AN82"/>
  <c r="BF82" s="1"/>
  <c r="AM82"/>
  <c r="BE82" s="1"/>
  <c r="AL82"/>
  <c r="BD82" s="1"/>
  <c r="AK82"/>
  <c r="BC82" s="1"/>
  <c r="AJ82"/>
  <c r="BB82" s="1"/>
  <c r="AI82"/>
  <c r="BA82" s="1"/>
  <c r="Y82"/>
  <c r="U82"/>
  <c r="AY81"/>
  <c r="AX81"/>
  <c r="AW81"/>
  <c r="AV81"/>
  <c r="AU81"/>
  <c r="AT81"/>
  <c r="AS81"/>
  <c r="AR81"/>
  <c r="AP81"/>
  <c r="BH81" s="1"/>
  <c r="AO81"/>
  <c r="BG81" s="1"/>
  <c r="AN81"/>
  <c r="BF81" s="1"/>
  <c r="AM81"/>
  <c r="BE81" s="1"/>
  <c r="AL81"/>
  <c r="BD81" s="1"/>
  <c r="AK81"/>
  <c r="BC81" s="1"/>
  <c r="AJ81"/>
  <c r="BB81" s="1"/>
  <c r="AI81"/>
  <c r="BA81" s="1"/>
  <c r="Y81"/>
  <c r="U81"/>
  <c r="AY80"/>
  <c r="AX80"/>
  <c r="AW80"/>
  <c r="AV80"/>
  <c r="AU80"/>
  <c r="AT80"/>
  <c r="AS80"/>
  <c r="AR80"/>
  <c r="AP80"/>
  <c r="BH80" s="1"/>
  <c r="AO80"/>
  <c r="BG80" s="1"/>
  <c r="AN80"/>
  <c r="BF80" s="1"/>
  <c r="AM80"/>
  <c r="BE80" s="1"/>
  <c r="AL80"/>
  <c r="BD80" s="1"/>
  <c r="AK80"/>
  <c r="BC80" s="1"/>
  <c r="AJ80"/>
  <c r="BB80" s="1"/>
  <c r="AI80"/>
  <c r="BA80" s="1"/>
  <c r="Y80"/>
  <c r="U80"/>
  <c r="AY79"/>
  <c r="AX79"/>
  <c r="AW79"/>
  <c r="AV79"/>
  <c r="AU79"/>
  <c r="AT79"/>
  <c r="AS79"/>
  <c r="AR79"/>
  <c r="AP79"/>
  <c r="BH79" s="1"/>
  <c r="AO79"/>
  <c r="BG79" s="1"/>
  <c r="AN79"/>
  <c r="BF79" s="1"/>
  <c r="AM79"/>
  <c r="BE79" s="1"/>
  <c r="AL79"/>
  <c r="BD79" s="1"/>
  <c r="AK79"/>
  <c r="BC79" s="1"/>
  <c r="AJ79"/>
  <c r="BB79" s="1"/>
  <c r="AI79"/>
  <c r="BA79" s="1"/>
  <c r="Y79"/>
  <c r="U79"/>
  <c r="AY78"/>
  <c r="AX78"/>
  <c r="AW78"/>
  <c r="AV78"/>
  <c r="AU78"/>
  <c r="AT78"/>
  <c r="AS78"/>
  <c r="AR78"/>
  <c r="AP78"/>
  <c r="BH78" s="1"/>
  <c r="AO78"/>
  <c r="BG78" s="1"/>
  <c r="AN78"/>
  <c r="BF78" s="1"/>
  <c r="AM78"/>
  <c r="BE78" s="1"/>
  <c r="AL78"/>
  <c r="AK78"/>
  <c r="BC78" s="1"/>
  <c r="AJ78"/>
  <c r="BB78" s="1"/>
  <c r="AI78"/>
  <c r="BA78" s="1"/>
  <c r="Y78"/>
  <c r="U78"/>
  <c r="AY77"/>
  <c r="AX77"/>
  <c r="AW77"/>
  <c r="AV77"/>
  <c r="AU77"/>
  <c r="AT77"/>
  <c r="AR77"/>
  <c r="AP77"/>
  <c r="AO77"/>
  <c r="AN77"/>
  <c r="AM77"/>
  <c r="AL77"/>
  <c r="AK77"/>
  <c r="AI77"/>
  <c r="AA77"/>
  <c r="AS77" s="1"/>
  <c r="Y77"/>
  <c r="U77"/>
  <c r="AY76"/>
  <c r="AX76"/>
  <c r="AW76"/>
  <c r="AV76"/>
  <c r="AU76"/>
  <c r="AT76"/>
  <c r="AS76"/>
  <c r="AR76"/>
  <c r="AP76"/>
  <c r="BH76" s="1"/>
  <c r="AO76"/>
  <c r="BG76" s="1"/>
  <c r="AN76"/>
  <c r="BF76" s="1"/>
  <c r="AM76"/>
  <c r="BE76" s="1"/>
  <c r="AL76"/>
  <c r="BD76" s="1"/>
  <c r="AK76"/>
  <c r="BC76" s="1"/>
  <c r="AJ76"/>
  <c r="BB76" s="1"/>
  <c r="AI76"/>
  <c r="BA76" s="1"/>
  <c r="Y76"/>
  <c r="U76"/>
  <c r="AY75"/>
  <c r="AX75"/>
  <c r="AW75"/>
  <c r="AV75"/>
  <c r="AU75"/>
  <c r="AT75"/>
  <c r="AS75"/>
  <c r="AR75"/>
  <c r="AP75"/>
  <c r="BH75" s="1"/>
  <c r="AO75"/>
  <c r="BG75" s="1"/>
  <c r="AN75"/>
  <c r="BF75" s="1"/>
  <c r="AM75"/>
  <c r="BE75" s="1"/>
  <c r="AL75"/>
  <c r="BD75" s="1"/>
  <c r="AK75"/>
  <c r="BC75" s="1"/>
  <c r="AJ75"/>
  <c r="BB75" s="1"/>
  <c r="AI75"/>
  <c r="BA75" s="1"/>
  <c r="Y75"/>
  <c r="U75"/>
  <c r="AY74"/>
  <c r="AX74"/>
  <c r="AW74"/>
  <c r="AV74"/>
  <c r="AU74"/>
  <c r="AT74"/>
  <c r="AS74"/>
  <c r="AR74"/>
  <c r="AP74"/>
  <c r="AO74"/>
  <c r="BG74" s="1"/>
  <c r="AN74"/>
  <c r="BF74" s="1"/>
  <c r="AM74"/>
  <c r="BE74" s="1"/>
  <c r="AL74"/>
  <c r="BD74" s="1"/>
  <c r="AK74"/>
  <c r="BC74" s="1"/>
  <c r="AJ74"/>
  <c r="BB74" s="1"/>
  <c r="AI74"/>
  <c r="BA74" s="1"/>
  <c r="Y74"/>
  <c r="U74"/>
  <c r="AY73"/>
  <c r="AX73"/>
  <c r="AW73"/>
  <c r="AV73"/>
  <c r="AU73"/>
  <c r="AT73"/>
  <c r="AS73"/>
  <c r="AR73"/>
  <c r="AP73"/>
  <c r="BH73" s="1"/>
  <c r="AO73"/>
  <c r="AN73"/>
  <c r="BF73" s="1"/>
  <c r="AM73"/>
  <c r="BE73" s="1"/>
  <c r="AL73"/>
  <c r="BD73" s="1"/>
  <c r="AK73"/>
  <c r="BC73" s="1"/>
  <c r="AJ73"/>
  <c r="BB73" s="1"/>
  <c r="AI73"/>
  <c r="BA73" s="1"/>
  <c r="Y73"/>
  <c r="U73"/>
  <c r="AY72"/>
  <c r="AX72"/>
  <c r="AW72"/>
  <c r="AV72"/>
  <c r="AU72"/>
  <c r="AT72"/>
  <c r="AS72"/>
  <c r="AR72"/>
  <c r="AP72"/>
  <c r="BH72" s="1"/>
  <c r="AO72"/>
  <c r="AN72"/>
  <c r="BF72" s="1"/>
  <c r="AM72"/>
  <c r="BE72" s="1"/>
  <c r="AL72"/>
  <c r="BD72" s="1"/>
  <c r="AK72"/>
  <c r="BC72" s="1"/>
  <c r="AJ72"/>
  <c r="BB72" s="1"/>
  <c r="AI72"/>
  <c r="BA72" s="1"/>
  <c r="Y72"/>
  <c r="U72"/>
  <c r="AY71"/>
  <c r="AX71"/>
  <c r="AW71"/>
  <c r="AV71"/>
  <c r="AU71"/>
  <c r="AT71"/>
  <c r="AS71"/>
  <c r="AR71"/>
  <c r="AP71"/>
  <c r="BH71" s="1"/>
  <c r="AO71"/>
  <c r="BG71" s="1"/>
  <c r="AN71"/>
  <c r="BF71" s="1"/>
  <c r="AM71"/>
  <c r="AL71"/>
  <c r="BD71" s="1"/>
  <c r="AK71"/>
  <c r="BC71" s="1"/>
  <c r="AJ71"/>
  <c r="BB71" s="1"/>
  <c r="AI71"/>
  <c r="BA71" s="1"/>
  <c r="Y71"/>
  <c r="U71"/>
  <c r="AY70"/>
  <c r="AX70"/>
  <c r="AW70"/>
  <c r="AV70"/>
  <c r="AU70"/>
  <c r="AT70"/>
  <c r="AS70"/>
  <c r="AR70"/>
  <c r="AP70"/>
  <c r="BH70" s="1"/>
  <c r="AO70"/>
  <c r="BG70" s="1"/>
  <c r="AN70"/>
  <c r="BF70" s="1"/>
  <c r="AM70"/>
  <c r="BE70" s="1"/>
  <c r="AL70"/>
  <c r="BD70" s="1"/>
  <c r="AK70"/>
  <c r="BC70" s="1"/>
  <c r="AJ70"/>
  <c r="BB70" s="1"/>
  <c r="AI70"/>
  <c r="BA70" s="1"/>
  <c r="Y70"/>
  <c r="U70"/>
  <c r="AY68"/>
  <c r="AX68"/>
  <c r="AW68"/>
  <c r="AV68"/>
  <c r="AU68"/>
  <c r="AT68"/>
  <c r="AS68"/>
  <c r="AR68"/>
  <c r="AP68"/>
  <c r="BH68" s="1"/>
  <c r="AO68"/>
  <c r="BG68" s="1"/>
  <c r="AN68"/>
  <c r="BF68" s="1"/>
  <c r="AM68"/>
  <c r="BE68" s="1"/>
  <c r="AL68"/>
  <c r="BD68" s="1"/>
  <c r="AK68"/>
  <c r="BC68" s="1"/>
  <c r="AJ68"/>
  <c r="BB68" s="1"/>
  <c r="AI68"/>
  <c r="BA68" s="1"/>
  <c r="Y68"/>
  <c r="U68"/>
  <c r="AY67"/>
  <c r="AX67"/>
  <c r="BG67" s="1"/>
  <c r="AW67"/>
  <c r="AU67"/>
  <c r="AT67"/>
  <c r="AS67"/>
  <c r="AR67"/>
  <c r="AP67"/>
  <c r="BH67" s="1"/>
  <c r="AO67"/>
  <c r="AN67"/>
  <c r="AM67"/>
  <c r="AL67"/>
  <c r="BD67" s="1"/>
  <c r="AK67"/>
  <c r="BC67" s="1"/>
  <c r="AJ67"/>
  <c r="BB67" s="1"/>
  <c r="AI67"/>
  <c r="BA67" s="1"/>
  <c r="Y67"/>
  <c r="U67"/>
  <c r="AY66"/>
  <c r="AX66"/>
  <c r="AW66"/>
  <c r="AV66"/>
  <c r="AU66"/>
  <c r="AT66"/>
  <c r="AS66"/>
  <c r="AR66"/>
  <c r="AP66"/>
  <c r="BH66" s="1"/>
  <c r="AO66"/>
  <c r="BG66" s="1"/>
  <c r="AN66"/>
  <c r="BF66" s="1"/>
  <c r="AM66"/>
  <c r="BE66" s="1"/>
  <c r="AL66"/>
  <c r="BD66" s="1"/>
  <c r="AK66"/>
  <c r="BC66" s="1"/>
  <c r="AJ66"/>
  <c r="AI66"/>
  <c r="BA66" s="1"/>
  <c r="Y66"/>
  <c r="U66"/>
  <c r="AY65"/>
  <c r="AX65"/>
  <c r="AW65"/>
  <c r="AV65"/>
  <c r="AU65"/>
  <c r="AT65"/>
  <c r="AS65"/>
  <c r="AR65"/>
  <c r="AP65"/>
  <c r="BH65" s="1"/>
  <c r="AO65"/>
  <c r="BG65" s="1"/>
  <c r="AN65"/>
  <c r="BF65" s="1"/>
  <c r="AM65"/>
  <c r="BE65" s="1"/>
  <c r="AL65"/>
  <c r="BD65" s="1"/>
  <c r="AK65"/>
  <c r="BC65" s="1"/>
  <c r="AJ65"/>
  <c r="BB65" s="1"/>
  <c r="AI65"/>
  <c r="BA65" s="1"/>
  <c r="Y65"/>
  <c r="U65"/>
  <c r="AY64"/>
  <c r="AX64"/>
  <c r="AW64"/>
  <c r="AV64"/>
  <c r="AU64"/>
  <c r="AT64"/>
  <c r="AS64"/>
  <c r="AR64"/>
  <c r="AP64"/>
  <c r="BH64" s="1"/>
  <c r="AO64"/>
  <c r="BG64" s="1"/>
  <c r="AN64"/>
  <c r="AM64"/>
  <c r="BE64" s="1"/>
  <c r="AL64"/>
  <c r="BD64" s="1"/>
  <c r="AK64"/>
  <c r="BC64" s="1"/>
  <c r="AJ64"/>
  <c r="BB64" s="1"/>
  <c r="AI64"/>
  <c r="BA64" s="1"/>
  <c r="Y64"/>
  <c r="U64"/>
  <c r="AY63"/>
  <c r="AX63"/>
  <c r="AW63"/>
  <c r="AV63"/>
  <c r="AU63"/>
  <c r="AT63"/>
  <c r="AS63"/>
  <c r="AR63"/>
  <c r="AP63"/>
  <c r="BH63" s="1"/>
  <c r="AO63"/>
  <c r="BG63" s="1"/>
  <c r="AN63"/>
  <c r="BF63" s="1"/>
  <c r="AM63"/>
  <c r="BE63" s="1"/>
  <c r="AL63"/>
  <c r="BD63" s="1"/>
  <c r="AK63"/>
  <c r="BC63" s="1"/>
  <c r="AJ63"/>
  <c r="BB63" s="1"/>
  <c r="AI63"/>
  <c r="BA63" s="1"/>
  <c r="Y63"/>
  <c r="U63"/>
  <c r="AY62"/>
  <c r="AX62"/>
  <c r="AW62"/>
  <c r="AV62"/>
  <c r="AU62"/>
  <c r="AT62"/>
  <c r="AS62"/>
  <c r="AR62"/>
  <c r="AP62"/>
  <c r="BH62" s="1"/>
  <c r="AO62"/>
  <c r="BG62" s="1"/>
  <c r="AN62"/>
  <c r="BF62" s="1"/>
  <c r="AM62"/>
  <c r="BE62" s="1"/>
  <c r="AL62"/>
  <c r="BD62" s="1"/>
  <c r="AK62"/>
  <c r="BC62" s="1"/>
  <c r="AJ62"/>
  <c r="BB62" s="1"/>
  <c r="AI62"/>
  <c r="BA62" s="1"/>
  <c r="Y62"/>
  <c r="U62"/>
  <c r="AY61"/>
  <c r="AX61"/>
  <c r="AW61"/>
  <c r="AV61"/>
  <c r="AU61"/>
  <c r="AT61"/>
  <c r="AS61"/>
  <c r="AR61"/>
  <c r="AP61"/>
  <c r="BH61" s="1"/>
  <c r="AO61"/>
  <c r="BG61" s="1"/>
  <c r="AN61"/>
  <c r="BF61" s="1"/>
  <c r="AM61"/>
  <c r="BE61" s="1"/>
  <c r="AL61"/>
  <c r="BD61" s="1"/>
  <c r="AK61"/>
  <c r="BC61" s="1"/>
  <c r="AJ61"/>
  <c r="BB61" s="1"/>
  <c r="AI61"/>
  <c r="BA61" s="1"/>
  <c r="Y61"/>
  <c r="U61"/>
  <c r="AY60"/>
  <c r="AX60"/>
  <c r="AW60"/>
  <c r="AV60"/>
  <c r="AU60"/>
  <c r="AT60"/>
  <c r="AR60"/>
  <c r="AP60"/>
  <c r="AO60"/>
  <c r="AN60"/>
  <c r="AM60"/>
  <c r="AL60"/>
  <c r="AK60"/>
  <c r="AI60"/>
  <c r="BA60" s="1"/>
  <c r="AA60"/>
  <c r="AS60" s="1"/>
  <c r="Y60"/>
  <c r="U60"/>
  <c r="AY59"/>
  <c r="AX59"/>
  <c r="AW59"/>
  <c r="AV59"/>
  <c r="AU59"/>
  <c r="AT59"/>
  <c r="AS59"/>
  <c r="AR59"/>
  <c r="AP59"/>
  <c r="BH59" s="1"/>
  <c r="AO59"/>
  <c r="AN59"/>
  <c r="BF59" s="1"/>
  <c r="AM59"/>
  <c r="BE59" s="1"/>
  <c r="AL59"/>
  <c r="BD59" s="1"/>
  <c r="AK59"/>
  <c r="BC59" s="1"/>
  <c r="AJ59"/>
  <c r="BB59" s="1"/>
  <c r="AI59"/>
  <c r="BA59" s="1"/>
  <c r="Y59"/>
  <c r="U59"/>
  <c r="AY58"/>
  <c r="AX58"/>
  <c r="AW58"/>
  <c r="AV58"/>
  <c r="AU58"/>
  <c r="AT58"/>
  <c r="AS58"/>
  <c r="AR58"/>
  <c r="AP58"/>
  <c r="BH58" s="1"/>
  <c r="AO58"/>
  <c r="BG58" s="1"/>
  <c r="AN58"/>
  <c r="BF58" s="1"/>
  <c r="AM58"/>
  <c r="BE58" s="1"/>
  <c r="AL58"/>
  <c r="BD58" s="1"/>
  <c r="AK58"/>
  <c r="BC58" s="1"/>
  <c r="AJ58"/>
  <c r="BB58" s="1"/>
  <c r="AI58"/>
  <c r="BA58" s="1"/>
  <c r="Y58"/>
  <c r="U58"/>
  <c r="AY57"/>
  <c r="AX57"/>
  <c r="AW57"/>
  <c r="AV57"/>
  <c r="AU57"/>
  <c r="AT57"/>
  <c r="AS57"/>
  <c r="AR57"/>
  <c r="AP57"/>
  <c r="BH57" s="1"/>
  <c r="AO57"/>
  <c r="BG57" s="1"/>
  <c r="AN57"/>
  <c r="BF57" s="1"/>
  <c r="AM57"/>
  <c r="BE57" s="1"/>
  <c r="AL57"/>
  <c r="BD57" s="1"/>
  <c r="AK57"/>
  <c r="BC57" s="1"/>
  <c r="AJ57"/>
  <c r="BB57" s="1"/>
  <c r="AI57"/>
  <c r="BA57" s="1"/>
  <c r="Y57"/>
  <c r="U57"/>
  <c r="AY56"/>
  <c r="AX56"/>
  <c r="AW56"/>
  <c r="AV56"/>
  <c r="AU56"/>
  <c r="AT56"/>
  <c r="AS56"/>
  <c r="AR56"/>
  <c r="AP56"/>
  <c r="BH56" s="1"/>
  <c r="AO56"/>
  <c r="BG56" s="1"/>
  <c r="AN56"/>
  <c r="BF56" s="1"/>
  <c r="AM56"/>
  <c r="BE56" s="1"/>
  <c r="AL56"/>
  <c r="BD56" s="1"/>
  <c r="AK56"/>
  <c r="BC56" s="1"/>
  <c r="AJ56"/>
  <c r="BB56" s="1"/>
  <c r="AI56"/>
  <c r="BA56" s="1"/>
  <c r="Y56"/>
  <c r="U56"/>
  <c r="AY55"/>
  <c r="AX55"/>
  <c r="AW55"/>
  <c r="AV55"/>
  <c r="AU55"/>
  <c r="AT55"/>
  <c r="AS55"/>
  <c r="AR55"/>
  <c r="AP55"/>
  <c r="BH55" s="1"/>
  <c r="AO55"/>
  <c r="AN55"/>
  <c r="AM55"/>
  <c r="BE55" s="1"/>
  <c r="AL55"/>
  <c r="BD55" s="1"/>
  <c r="AK55"/>
  <c r="BC55" s="1"/>
  <c r="AJ55"/>
  <c r="BB55" s="1"/>
  <c r="AI55"/>
  <c r="BA55" s="1"/>
  <c r="Y55"/>
  <c r="U55"/>
  <c r="AY54"/>
  <c r="AX54"/>
  <c r="AW54"/>
  <c r="AV54"/>
  <c r="AU54"/>
  <c r="AT54"/>
  <c r="AS54"/>
  <c r="AR54"/>
  <c r="AP54"/>
  <c r="AO54"/>
  <c r="BG54" s="1"/>
  <c r="AN54"/>
  <c r="BF54" s="1"/>
  <c r="AM54"/>
  <c r="BE54" s="1"/>
  <c r="AL54"/>
  <c r="BD54" s="1"/>
  <c r="AK54"/>
  <c r="BC54" s="1"/>
  <c r="AJ54"/>
  <c r="BB54" s="1"/>
  <c r="AI54"/>
  <c r="Y54"/>
  <c r="U54"/>
  <c r="AY53"/>
  <c r="AX53"/>
  <c r="AW53"/>
  <c r="AV53"/>
  <c r="AU53"/>
  <c r="AT53"/>
  <c r="AS53"/>
  <c r="AR53"/>
  <c r="AP53"/>
  <c r="BH53" s="1"/>
  <c r="AO53"/>
  <c r="BG53" s="1"/>
  <c r="AN53"/>
  <c r="BF53" s="1"/>
  <c r="AM53"/>
  <c r="BE53" s="1"/>
  <c r="AL53"/>
  <c r="BD53" s="1"/>
  <c r="AK53"/>
  <c r="AJ53"/>
  <c r="BB53" s="1"/>
  <c r="AI53"/>
  <c r="BA53" s="1"/>
  <c r="Y53"/>
  <c r="U53"/>
  <c r="AY51"/>
  <c r="AX51"/>
  <c r="AW51"/>
  <c r="AV51"/>
  <c r="AU51"/>
  <c r="AT51"/>
  <c r="AS51"/>
  <c r="AR51"/>
  <c r="AP51"/>
  <c r="BH51" s="1"/>
  <c r="AO51"/>
  <c r="BG51" s="1"/>
  <c r="AN51"/>
  <c r="BF51" s="1"/>
  <c r="AM51"/>
  <c r="BE51" s="1"/>
  <c r="AL51"/>
  <c r="BD51" s="1"/>
  <c r="AK51"/>
  <c r="BC51" s="1"/>
  <c r="AJ51"/>
  <c r="BB51" s="1"/>
  <c r="AI51"/>
  <c r="BA51" s="1"/>
  <c r="Y51"/>
  <c r="U51"/>
  <c r="AY50"/>
  <c r="AX50"/>
  <c r="AW50"/>
  <c r="AU50"/>
  <c r="AT50"/>
  <c r="AS50"/>
  <c r="AR50"/>
  <c r="AP50"/>
  <c r="AO50"/>
  <c r="AN50"/>
  <c r="AM50"/>
  <c r="AL50"/>
  <c r="BD50" s="1"/>
  <c r="AK50"/>
  <c r="BC50" s="1"/>
  <c r="AJ50"/>
  <c r="BB50" s="1"/>
  <c r="AI50"/>
  <c r="BA50" s="1"/>
  <c r="Y50"/>
  <c r="U50"/>
  <c r="AY49"/>
  <c r="AX49"/>
  <c r="AW49"/>
  <c r="AV49"/>
  <c r="AU49"/>
  <c r="AT49"/>
  <c r="AS49"/>
  <c r="AR49"/>
  <c r="AP49"/>
  <c r="BH49" s="1"/>
  <c r="AO49"/>
  <c r="BG49" s="1"/>
  <c r="AN49"/>
  <c r="BF49" s="1"/>
  <c r="AM49"/>
  <c r="BE49" s="1"/>
  <c r="AL49"/>
  <c r="BD49" s="1"/>
  <c r="AK49"/>
  <c r="BC49" s="1"/>
  <c r="AJ49"/>
  <c r="BB49" s="1"/>
  <c r="AI49"/>
  <c r="BA49" s="1"/>
  <c r="Y49"/>
  <c r="U49"/>
  <c r="AY48"/>
  <c r="AX48"/>
  <c r="AW48"/>
  <c r="AV48"/>
  <c r="AU48"/>
  <c r="AT48"/>
  <c r="AS48"/>
  <c r="AR48"/>
  <c r="AP48"/>
  <c r="BH48" s="1"/>
  <c r="AO48"/>
  <c r="BG48" s="1"/>
  <c r="AN48"/>
  <c r="BF48" s="1"/>
  <c r="AM48"/>
  <c r="BE48" s="1"/>
  <c r="AL48"/>
  <c r="BD48" s="1"/>
  <c r="AK48"/>
  <c r="AJ48"/>
  <c r="BB48" s="1"/>
  <c r="AI48"/>
  <c r="BA48" s="1"/>
  <c r="Y48"/>
  <c r="U48"/>
  <c r="AY47"/>
  <c r="AX47"/>
  <c r="AW47"/>
  <c r="AV47"/>
  <c r="AU47"/>
  <c r="AT47"/>
  <c r="AS47"/>
  <c r="AR47"/>
  <c r="AP47"/>
  <c r="BH47" s="1"/>
  <c r="AO47"/>
  <c r="BG47" s="1"/>
  <c r="AN47"/>
  <c r="BF47" s="1"/>
  <c r="AM47"/>
  <c r="BE47" s="1"/>
  <c r="AL47"/>
  <c r="AK47"/>
  <c r="BC47" s="1"/>
  <c r="AJ47"/>
  <c r="BB47" s="1"/>
  <c r="AI47"/>
  <c r="Y47"/>
  <c r="U47"/>
  <c r="AY46"/>
  <c r="AX46"/>
  <c r="AW46"/>
  <c r="AV46"/>
  <c r="AU46"/>
  <c r="AT46"/>
  <c r="AS46"/>
  <c r="AR46"/>
  <c r="AP46"/>
  <c r="BH46" s="1"/>
  <c r="AO46"/>
  <c r="BG46" s="1"/>
  <c r="AN46"/>
  <c r="BF46" s="1"/>
  <c r="AM46"/>
  <c r="BE46" s="1"/>
  <c r="AL46"/>
  <c r="BD46" s="1"/>
  <c r="AK46"/>
  <c r="BC46" s="1"/>
  <c r="AJ46"/>
  <c r="BB46" s="1"/>
  <c r="AI46"/>
  <c r="BA46" s="1"/>
  <c r="Y46"/>
  <c r="U46"/>
  <c r="AY45"/>
  <c r="AX45"/>
  <c r="AW45"/>
  <c r="AV45"/>
  <c r="AU45"/>
  <c r="AT45"/>
  <c r="AS45"/>
  <c r="AR45"/>
  <c r="AP45"/>
  <c r="BH45" s="1"/>
  <c r="AO45"/>
  <c r="BG45" s="1"/>
  <c r="AN45"/>
  <c r="BF45" s="1"/>
  <c r="AM45"/>
  <c r="BE45" s="1"/>
  <c r="AL45"/>
  <c r="BD45" s="1"/>
  <c r="AK45"/>
  <c r="BC45" s="1"/>
  <c r="AJ45"/>
  <c r="BB45" s="1"/>
  <c r="AI45"/>
  <c r="BA45" s="1"/>
  <c r="Y45"/>
  <c r="U45"/>
  <c r="AY44"/>
  <c r="AX44"/>
  <c r="AW44"/>
  <c r="AV44"/>
  <c r="AU44"/>
  <c r="AT44"/>
  <c r="AS44"/>
  <c r="AR44"/>
  <c r="AP44"/>
  <c r="BH44" s="1"/>
  <c r="AO44"/>
  <c r="AN44"/>
  <c r="BF44" s="1"/>
  <c r="AM44"/>
  <c r="BE44" s="1"/>
  <c r="AL44"/>
  <c r="BD44" s="1"/>
  <c r="AK44"/>
  <c r="BC44" s="1"/>
  <c r="AJ44"/>
  <c r="AI44"/>
  <c r="BA44" s="1"/>
  <c r="Y44"/>
  <c r="U44"/>
  <c r="AY43"/>
  <c r="AX43"/>
  <c r="AW43"/>
  <c r="AV43"/>
  <c r="AU43"/>
  <c r="AT43"/>
  <c r="AR43"/>
  <c r="AP43"/>
  <c r="AO43"/>
  <c r="AN43"/>
  <c r="BF43" s="1"/>
  <c r="AM43"/>
  <c r="AL43"/>
  <c r="AK43"/>
  <c r="AI43"/>
  <c r="BA43" s="1"/>
  <c r="AA43"/>
  <c r="AS43" s="1"/>
  <c r="Y43"/>
  <c r="U43"/>
  <c r="AY42"/>
  <c r="AX42"/>
  <c r="AW42"/>
  <c r="AV42"/>
  <c r="AU42"/>
  <c r="AT42"/>
  <c r="AS42"/>
  <c r="AR42"/>
  <c r="AP42"/>
  <c r="BH42" s="1"/>
  <c r="AO42"/>
  <c r="BG42" s="1"/>
  <c r="AN42"/>
  <c r="AM42"/>
  <c r="BE42" s="1"/>
  <c r="AL42"/>
  <c r="BD42" s="1"/>
  <c r="AK42"/>
  <c r="BC42" s="1"/>
  <c r="AJ42"/>
  <c r="BB42" s="1"/>
  <c r="AI42"/>
  <c r="BA42" s="1"/>
  <c r="Y42"/>
  <c r="U42"/>
  <c r="AY41"/>
  <c r="AX41"/>
  <c r="AW41"/>
  <c r="AV41"/>
  <c r="AU41"/>
  <c r="AT41"/>
  <c r="AS41"/>
  <c r="AR41"/>
  <c r="AP41"/>
  <c r="BH41" s="1"/>
  <c r="AO41"/>
  <c r="BG41" s="1"/>
  <c r="AN41"/>
  <c r="BF41" s="1"/>
  <c r="AM41"/>
  <c r="BE41" s="1"/>
  <c r="AL41"/>
  <c r="BD41" s="1"/>
  <c r="AK41"/>
  <c r="BC41" s="1"/>
  <c r="AJ41"/>
  <c r="BB41" s="1"/>
  <c r="AI41"/>
  <c r="BA41" s="1"/>
  <c r="Y41"/>
  <c r="U41"/>
  <c r="AY40"/>
  <c r="AX40"/>
  <c r="AW40"/>
  <c r="AV40"/>
  <c r="AU40"/>
  <c r="AT40"/>
  <c r="AS40"/>
  <c r="AR40"/>
  <c r="AP40"/>
  <c r="AO40"/>
  <c r="BG40" s="1"/>
  <c r="AN40"/>
  <c r="BF40" s="1"/>
  <c r="AM40"/>
  <c r="BE40" s="1"/>
  <c r="AL40"/>
  <c r="BD40" s="1"/>
  <c r="AK40"/>
  <c r="BC40" s="1"/>
  <c r="AJ40"/>
  <c r="BB40" s="1"/>
  <c r="AI40"/>
  <c r="BA40" s="1"/>
  <c r="Y40"/>
  <c r="U40"/>
  <c r="AY39"/>
  <c r="AX39"/>
  <c r="AW39"/>
  <c r="AV39"/>
  <c r="AU39"/>
  <c r="AT39"/>
  <c r="AS39"/>
  <c r="AR39"/>
  <c r="AP39"/>
  <c r="BH39" s="1"/>
  <c r="AO39"/>
  <c r="BG39" s="1"/>
  <c r="AN39"/>
  <c r="BF39" s="1"/>
  <c r="AM39"/>
  <c r="BE39" s="1"/>
  <c r="AL39"/>
  <c r="BD39" s="1"/>
  <c r="AK39"/>
  <c r="BC39" s="1"/>
  <c r="AJ39"/>
  <c r="BB39" s="1"/>
  <c r="AI39"/>
  <c r="BA39" s="1"/>
  <c r="Y39"/>
  <c r="U39"/>
  <c r="BC38"/>
  <c r="AY38"/>
  <c r="AX38"/>
  <c r="AW38"/>
  <c r="AV38"/>
  <c r="AU38"/>
  <c r="AT38"/>
  <c r="AS38"/>
  <c r="AR38"/>
  <c r="AP38"/>
  <c r="BH38" s="1"/>
  <c r="AO38"/>
  <c r="BG38" s="1"/>
  <c r="AN38"/>
  <c r="BF38" s="1"/>
  <c r="AM38"/>
  <c r="BE38" s="1"/>
  <c r="AL38"/>
  <c r="BD38" s="1"/>
  <c r="AK38"/>
  <c r="AJ38"/>
  <c r="BB38" s="1"/>
  <c r="AI38"/>
  <c r="BA38" s="1"/>
  <c r="Y38"/>
  <c r="U38"/>
  <c r="AY37"/>
  <c r="AX37"/>
  <c r="AW37"/>
  <c r="AV37"/>
  <c r="AU37"/>
  <c r="AT37"/>
  <c r="AS37"/>
  <c r="AR37"/>
  <c r="AP37"/>
  <c r="BH37" s="1"/>
  <c r="AO37"/>
  <c r="BG37" s="1"/>
  <c r="AN37"/>
  <c r="BF37" s="1"/>
  <c r="AM37"/>
  <c r="BE37" s="1"/>
  <c r="AL37"/>
  <c r="BD37" s="1"/>
  <c r="AK37"/>
  <c r="BC37" s="1"/>
  <c r="AJ37"/>
  <c r="BB37" s="1"/>
  <c r="AI37"/>
  <c r="BA37" s="1"/>
  <c r="Y37"/>
  <c r="U37"/>
  <c r="AY36"/>
  <c r="AX36"/>
  <c r="AW36"/>
  <c r="AV36"/>
  <c r="AU36"/>
  <c r="AT36"/>
  <c r="AS36"/>
  <c r="AR36"/>
  <c r="AP36"/>
  <c r="BH36" s="1"/>
  <c r="AO36"/>
  <c r="BG36" s="1"/>
  <c r="AN36"/>
  <c r="BF36" s="1"/>
  <c r="AM36"/>
  <c r="BE36" s="1"/>
  <c r="AL36"/>
  <c r="BD36" s="1"/>
  <c r="AK36"/>
  <c r="BC36" s="1"/>
  <c r="AJ36"/>
  <c r="BB36" s="1"/>
  <c r="AI36"/>
  <c r="BA36" s="1"/>
  <c r="Y36"/>
  <c r="U36"/>
  <c r="AY34"/>
  <c r="AX34"/>
  <c r="AW34"/>
  <c r="AV34"/>
  <c r="AU34"/>
  <c r="AT34"/>
  <c r="AS34"/>
  <c r="AR34"/>
  <c r="AP34"/>
  <c r="BH34" s="1"/>
  <c r="AO34"/>
  <c r="BG34" s="1"/>
  <c r="AN34"/>
  <c r="BF34" s="1"/>
  <c r="AM34"/>
  <c r="BE34" s="1"/>
  <c r="AL34"/>
  <c r="BD34" s="1"/>
  <c r="AK34"/>
  <c r="BC34" s="1"/>
  <c r="AJ34"/>
  <c r="AI34"/>
  <c r="BA34" s="1"/>
  <c r="Y34"/>
  <c r="U34"/>
  <c r="AY33"/>
  <c r="BH33" s="1"/>
  <c r="AX33"/>
  <c r="AW33"/>
  <c r="AU33"/>
  <c r="AT33"/>
  <c r="AS33"/>
  <c r="AR33"/>
  <c r="AP33"/>
  <c r="AO33"/>
  <c r="AN33"/>
  <c r="AM33"/>
  <c r="BE33" s="1"/>
  <c r="AL33"/>
  <c r="AK33"/>
  <c r="BC33" s="1"/>
  <c r="AJ33"/>
  <c r="BB33" s="1"/>
  <c r="AI33"/>
  <c r="BA33" s="1"/>
  <c r="Y33"/>
  <c r="U33"/>
  <c r="AY32"/>
  <c r="AX32"/>
  <c r="AW32"/>
  <c r="AV32"/>
  <c r="AU32"/>
  <c r="AT32"/>
  <c r="AS32"/>
  <c r="AR32"/>
  <c r="AP32"/>
  <c r="BH32" s="1"/>
  <c r="AO32"/>
  <c r="BG32" s="1"/>
  <c r="AN32"/>
  <c r="AM32"/>
  <c r="BE32" s="1"/>
  <c r="AL32"/>
  <c r="BD32" s="1"/>
  <c r="AK32"/>
  <c r="BC32" s="1"/>
  <c r="AJ32"/>
  <c r="BB32" s="1"/>
  <c r="AI32"/>
  <c r="BA32" s="1"/>
  <c r="Y32"/>
  <c r="U32"/>
  <c r="AY31"/>
  <c r="AX31"/>
  <c r="AW31"/>
  <c r="AV31"/>
  <c r="AU31"/>
  <c r="AT31"/>
  <c r="AS31"/>
  <c r="AR31"/>
  <c r="AP31"/>
  <c r="BH31" s="1"/>
  <c r="AO31"/>
  <c r="BG31" s="1"/>
  <c r="AN31"/>
  <c r="BF31" s="1"/>
  <c r="AM31"/>
  <c r="BE31" s="1"/>
  <c r="AL31"/>
  <c r="AK31"/>
  <c r="BC31" s="1"/>
  <c r="AJ31"/>
  <c r="BB31" s="1"/>
  <c r="AI31"/>
  <c r="Y31"/>
  <c r="U31"/>
  <c r="AY30"/>
  <c r="AX30"/>
  <c r="AW30"/>
  <c r="AV30"/>
  <c r="AU30"/>
  <c r="AT30"/>
  <c r="AS30"/>
  <c r="AR30"/>
  <c r="AP30"/>
  <c r="BH30" s="1"/>
  <c r="AO30"/>
  <c r="BG30" s="1"/>
  <c r="AN30"/>
  <c r="BF30" s="1"/>
  <c r="AM30"/>
  <c r="AL30"/>
  <c r="BD30" s="1"/>
  <c r="AK30"/>
  <c r="BC30" s="1"/>
  <c r="AJ30"/>
  <c r="BB30" s="1"/>
  <c r="AI30"/>
  <c r="BA30" s="1"/>
  <c r="Y30"/>
  <c r="U30"/>
  <c r="AY29"/>
  <c r="AX29"/>
  <c r="AW29"/>
  <c r="AV29"/>
  <c r="AU29"/>
  <c r="AT29"/>
  <c r="AS29"/>
  <c r="AR29"/>
  <c r="AP29"/>
  <c r="BH29" s="1"/>
  <c r="AO29"/>
  <c r="AN29"/>
  <c r="BF29" s="1"/>
  <c r="AM29"/>
  <c r="BE29" s="1"/>
  <c r="AL29"/>
  <c r="AK29"/>
  <c r="BC29" s="1"/>
  <c r="AJ29"/>
  <c r="BB29" s="1"/>
  <c r="AI29"/>
  <c r="BA29" s="1"/>
  <c r="Y29"/>
  <c r="U29"/>
  <c r="AY28"/>
  <c r="AX28"/>
  <c r="AW28"/>
  <c r="AV28"/>
  <c r="AU28"/>
  <c r="AT28"/>
  <c r="AS28"/>
  <c r="AR28"/>
  <c r="AP28"/>
  <c r="BH28" s="1"/>
  <c r="AO28"/>
  <c r="BG28" s="1"/>
  <c r="AN28"/>
  <c r="BF28" s="1"/>
  <c r="AM28"/>
  <c r="BE28" s="1"/>
  <c r="AL28"/>
  <c r="BD28" s="1"/>
  <c r="AK28"/>
  <c r="BC28" s="1"/>
  <c r="AJ28"/>
  <c r="BB28" s="1"/>
  <c r="AI28"/>
  <c r="Y28"/>
  <c r="U28"/>
  <c r="AY27"/>
  <c r="AX27"/>
  <c r="AW27"/>
  <c r="AV27"/>
  <c r="AU27"/>
  <c r="AT27"/>
  <c r="AS27"/>
  <c r="AR27"/>
  <c r="AP27"/>
  <c r="AO27"/>
  <c r="BG27" s="1"/>
  <c r="AN27"/>
  <c r="BF27" s="1"/>
  <c r="AM27"/>
  <c r="BE27" s="1"/>
  <c r="AL27"/>
  <c r="AK27"/>
  <c r="BC27" s="1"/>
  <c r="AJ27"/>
  <c r="BB27" s="1"/>
  <c r="AI27"/>
  <c r="BA27" s="1"/>
  <c r="Y27"/>
  <c r="U27"/>
  <c r="AY26"/>
  <c r="AX26"/>
  <c r="AW26"/>
  <c r="AV26"/>
  <c r="AU26"/>
  <c r="AT26"/>
  <c r="AR26"/>
  <c r="AP26"/>
  <c r="AO26"/>
  <c r="AN26"/>
  <c r="AM26"/>
  <c r="AL26"/>
  <c r="AK26"/>
  <c r="AI26"/>
  <c r="AA26"/>
  <c r="AS26" s="1"/>
  <c r="Y26"/>
  <c r="U26"/>
  <c r="AY25"/>
  <c r="AX25"/>
  <c r="AW25"/>
  <c r="AV25"/>
  <c r="AU25"/>
  <c r="AT25"/>
  <c r="AS25"/>
  <c r="AR25"/>
  <c r="AP25"/>
  <c r="BH25" s="1"/>
  <c r="AO25"/>
  <c r="BG25" s="1"/>
  <c r="AN25"/>
  <c r="BF25" s="1"/>
  <c r="AM25"/>
  <c r="BE25" s="1"/>
  <c r="AL25"/>
  <c r="BD25" s="1"/>
  <c r="AK25"/>
  <c r="BC25" s="1"/>
  <c r="AJ25"/>
  <c r="BB25" s="1"/>
  <c r="AI25"/>
  <c r="BA25" s="1"/>
  <c r="Y25"/>
  <c r="U25"/>
  <c r="AY24"/>
  <c r="AX24"/>
  <c r="AW24"/>
  <c r="AV24"/>
  <c r="AU24"/>
  <c r="AT24"/>
  <c r="AS24"/>
  <c r="AR24"/>
  <c r="AP24"/>
  <c r="BH24" s="1"/>
  <c r="AO24"/>
  <c r="BG24" s="1"/>
  <c r="AN24"/>
  <c r="BF24" s="1"/>
  <c r="AM24"/>
  <c r="BE24" s="1"/>
  <c r="AL24"/>
  <c r="BD24" s="1"/>
  <c r="AK24"/>
  <c r="BC24" s="1"/>
  <c r="AJ24"/>
  <c r="AI24"/>
  <c r="BA24" s="1"/>
  <c r="Y24"/>
  <c r="U24"/>
  <c r="AY23"/>
  <c r="AX23"/>
  <c r="AW23"/>
  <c r="AV23"/>
  <c r="AU23"/>
  <c r="AT23"/>
  <c r="AS23"/>
  <c r="AR23"/>
  <c r="AP23"/>
  <c r="BH23" s="1"/>
  <c r="AO23"/>
  <c r="AN23"/>
  <c r="BF23" s="1"/>
  <c r="AM23"/>
  <c r="BE23" s="1"/>
  <c r="AL23"/>
  <c r="BD23" s="1"/>
  <c r="AK23"/>
  <c r="BC23" s="1"/>
  <c r="AJ23"/>
  <c r="AI23"/>
  <c r="Y23"/>
  <c r="U23"/>
  <c r="AY22"/>
  <c r="AX22"/>
  <c r="AW22"/>
  <c r="AV22"/>
  <c r="AU22"/>
  <c r="AT22"/>
  <c r="AS22"/>
  <c r="AR22"/>
  <c r="AP22"/>
  <c r="AO22"/>
  <c r="BG22" s="1"/>
  <c r="AN22"/>
  <c r="BF22" s="1"/>
  <c r="AM22"/>
  <c r="BE22" s="1"/>
  <c r="AL22"/>
  <c r="BD22" s="1"/>
  <c r="AK22"/>
  <c r="BC22" s="1"/>
  <c r="AJ22"/>
  <c r="BB22" s="1"/>
  <c r="AI22"/>
  <c r="BA22" s="1"/>
  <c r="Y22"/>
  <c r="U22"/>
  <c r="AY21"/>
  <c r="AX21"/>
  <c r="AW21"/>
  <c r="AV21"/>
  <c r="AU21"/>
  <c r="AT21"/>
  <c r="AS21"/>
  <c r="AR21"/>
  <c r="AP21"/>
  <c r="BH21" s="1"/>
  <c r="AO21"/>
  <c r="BG21" s="1"/>
  <c r="AN21"/>
  <c r="BF21" s="1"/>
  <c r="AM21"/>
  <c r="BE21" s="1"/>
  <c r="AL21"/>
  <c r="BD21" s="1"/>
  <c r="AK21"/>
  <c r="BC21" s="1"/>
  <c r="AJ21"/>
  <c r="BB21" s="1"/>
  <c r="AI21"/>
  <c r="BA21" s="1"/>
  <c r="Y21"/>
  <c r="U21"/>
  <c r="AY20"/>
  <c r="AX20"/>
  <c r="AW20"/>
  <c r="AV20"/>
  <c r="AU20"/>
  <c r="AT20"/>
  <c r="AS20"/>
  <c r="AR20"/>
  <c r="AP20"/>
  <c r="BH20" s="1"/>
  <c r="AO20"/>
  <c r="BG20" s="1"/>
  <c r="AN20"/>
  <c r="BF20" s="1"/>
  <c r="AM20"/>
  <c r="AL20"/>
  <c r="BD20" s="1"/>
  <c r="AK20"/>
  <c r="BC20" s="1"/>
  <c r="AJ20"/>
  <c r="BB20" s="1"/>
  <c r="AI20"/>
  <c r="BA20" s="1"/>
  <c r="Y20"/>
  <c r="U20"/>
  <c r="AY19"/>
  <c r="AX19"/>
  <c r="AW19"/>
  <c r="AV19"/>
  <c r="AU19"/>
  <c r="AT19"/>
  <c r="AS19"/>
  <c r="AR19"/>
  <c r="AP19"/>
  <c r="BH19" s="1"/>
  <c r="AO19"/>
  <c r="BG19" s="1"/>
  <c r="AN19"/>
  <c r="BF19" s="1"/>
  <c r="AM19"/>
  <c r="BE19" s="1"/>
  <c r="AL19"/>
  <c r="BD19" s="1"/>
  <c r="AK19"/>
  <c r="BC19" s="1"/>
  <c r="AJ19"/>
  <c r="AI19"/>
  <c r="BA19" s="1"/>
  <c r="Y19"/>
  <c r="U19"/>
  <c r="AY17"/>
  <c r="AX17"/>
  <c r="AW17"/>
  <c r="AV17"/>
  <c r="AU17"/>
  <c r="AT17"/>
  <c r="AS17"/>
  <c r="AR17"/>
  <c r="AP17"/>
  <c r="BH17" s="1"/>
  <c r="AO17"/>
  <c r="BG17" s="1"/>
  <c r="AN17"/>
  <c r="BF17" s="1"/>
  <c r="AM17"/>
  <c r="BE17" s="1"/>
  <c r="AL17"/>
  <c r="BD17" s="1"/>
  <c r="AK17"/>
  <c r="BC17" s="1"/>
  <c r="AJ17"/>
  <c r="BB17" s="1"/>
  <c r="AI17"/>
  <c r="BA17" s="1"/>
  <c r="Y17"/>
  <c r="U17"/>
  <c r="AY16"/>
  <c r="AX16"/>
  <c r="BG16" s="1"/>
  <c r="AW16"/>
  <c r="AU16"/>
  <c r="AT16"/>
  <c r="AS16"/>
  <c r="AR16"/>
  <c r="AP16"/>
  <c r="AO16"/>
  <c r="AN16"/>
  <c r="AM16"/>
  <c r="AL16"/>
  <c r="BD16" s="1"/>
  <c r="AK16"/>
  <c r="BC16" s="1"/>
  <c r="AJ16"/>
  <c r="BB16" s="1"/>
  <c r="AI16"/>
  <c r="BA16" s="1"/>
  <c r="Y16"/>
  <c r="U16"/>
  <c r="AY15"/>
  <c r="AX15"/>
  <c r="AW15"/>
  <c r="AV15"/>
  <c r="AU15"/>
  <c r="AT15"/>
  <c r="AS15"/>
  <c r="AR15"/>
  <c r="AP15"/>
  <c r="BH15" s="1"/>
  <c r="AO15"/>
  <c r="AN15"/>
  <c r="BF15" s="1"/>
  <c r="AM15"/>
  <c r="AL15"/>
  <c r="BD15" s="1"/>
  <c r="AK15"/>
  <c r="BC15" s="1"/>
  <c r="AJ15"/>
  <c r="BB15" s="1"/>
  <c r="AI15"/>
  <c r="BA15" s="1"/>
  <c r="Y15"/>
  <c r="U15"/>
  <c r="AY14"/>
  <c r="AX14"/>
  <c r="AW14"/>
  <c r="AV14"/>
  <c r="AU14"/>
  <c r="AT14"/>
  <c r="AS14"/>
  <c r="AR14"/>
  <c r="AP14"/>
  <c r="BH14" s="1"/>
  <c r="AO14"/>
  <c r="BG14" s="1"/>
  <c r="AN14"/>
  <c r="BF14" s="1"/>
  <c r="AM14"/>
  <c r="BE14" s="1"/>
  <c r="AL14"/>
  <c r="BD14" s="1"/>
  <c r="AK14"/>
  <c r="BC14" s="1"/>
  <c r="AJ14"/>
  <c r="BB14" s="1"/>
  <c r="AI14"/>
  <c r="BA14" s="1"/>
  <c r="Y14"/>
  <c r="U14"/>
  <c r="AY13"/>
  <c r="AX13"/>
  <c r="AW13"/>
  <c r="AV13"/>
  <c r="AU13"/>
  <c r="AT13"/>
  <c r="AS13"/>
  <c r="AR13"/>
  <c r="AP13"/>
  <c r="BH13" s="1"/>
  <c r="AO13"/>
  <c r="BG13" s="1"/>
  <c r="AN13"/>
  <c r="BF13" s="1"/>
  <c r="AM13"/>
  <c r="BE13" s="1"/>
  <c r="AL13"/>
  <c r="BD13" s="1"/>
  <c r="AK13"/>
  <c r="BC13" s="1"/>
  <c r="AJ13"/>
  <c r="BB13" s="1"/>
  <c r="AI13"/>
  <c r="BA13" s="1"/>
  <c r="Y13"/>
  <c r="U13"/>
  <c r="AY12"/>
  <c r="AX12"/>
  <c r="AW12"/>
  <c r="AV12"/>
  <c r="AU12"/>
  <c r="AT12"/>
  <c r="AS12"/>
  <c r="AR12"/>
  <c r="AP12"/>
  <c r="BH12" s="1"/>
  <c r="AO12"/>
  <c r="BG12" s="1"/>
  <c r="AN12"/>
  <c r="BF12" s="1"/>
  <c r="AM12"/>
  <c r="AL12"/>
  <c r="AK12"/>
  <c r="BC12" s="1"/>
  <c r="AJ12"/>
  <c r="BB12" s="1"/>
  <c r="AI12"/>
  <c r="BA12" s="1"/>
  <c r="Y12"/>
  <c r="U12"/>
  <c r="AY11"/>
  <c r="AX11"/>
  <c r="AW11"/>
  <c r="AV11"/>
  <c r="AU11"/>
  <c r="AT11"/>
  <c r="AS11"/>
  <c r="AR11"/>
  <c r="AP11"/>
  <c r="BH11" s="1"/>
  <c r="AO11"/>
  <c r="BG11" s="1"/>
  <c r="AN11"/>
  <c r="BF11" s="1"/>
  <c r="AM11"/>
  <c r="BE11" s="1"/>
  <c r="AL11"/>
  <c r="BD11" s="1"/>
  <c r="AK11"/>
  <c r="BC11" s="1"/>
  <c r="AJ11"/>
  <c r="BB11" s="1"/>
  <c r="AI11"/>
  <c r="BA11" s="1"/>
  <c r="Y11"/>
  <c r="U11"/>
  <c r="AY10"/>
  <c r="AX10"/>
  <c r="AW10"/>
  <c r="AV10"/>
  <c r="AU10"/>
  <c r="AT10"/>
  <c r="AS10"/>
  <c r="AR10"/>
  <c r="AP10"/>
  <c r="BH10" s="1"/>
  <c r="AO10"/>
  <c r="AN10"/>
  <c r="BF10" s="1"/>
  <c r="AM10"/>
  <c r="BE10" s="1"/>
  <c r="AL10"/>
  <c r="BD10" s="1"/>
  <c r="AK10"/>
  <c r="BC10" s="1"/>
  <c r="AJ10"/>
  <c r="BB10" s="1"/>
  <c r="AI10"/>
  <c r="BA10" s="1"/>
  <c r="Y10"/>
  <c r="U10"/>
  <c r="AY9"/>
  <c r="AX9"/>
  <c r="AW9"/>
  <c r="AV9"/>
  <c r="AU9"/>
  <c r="AT9"/>
  <c r="AS9"/>
  <c r="AR9"/>
  <c r="AP9"/>
  <c r="BH9" s="1"/>
  <c r="AO9"/>
  <c r="BG9" s="1"/>
  <c r="AN9"/>
  <c r="BF9" s="1"/>
  <c r="AM9"/>
  <c r="BE9" s="1"/>
  <c r="AL9"/>
  <c r="BD9" s="1"/>
  <c r="AK9"/>
  <c r="BC9" s="1"/>
  <c r="AJ9"/>
  <c r="BB9" s="1"/>
  <c r="AI9"/>
  <c r="BA9" s="1"/>
  <c r="AA9"/>
  <c r="Y9"/>
  <c r="U9"/>
  <c r="AY8"/>
  <c r="AX8"/>
  <c r="AW8"/>
  <c r="AV8"/>
  <c r="AU8"/>
  <c r="AT8"/>
  <c r="AS8"/>
  <c r="AR8"/>
  <c r="AP8"/>
  <c r="AO8"/>
  <c r="AN8"/>
  <c r="BF8" s="1"/>
  <c r="AM8"/>
  <c r="AL8"/>
  <c r="BD8" s="1"/>
  <c r="AK8"/>
  <c r="BC8" s="1"/>
  <c r="AJ8"/>
  <c r="BB8" s="1"/>
  <c r="AI8"/>
  <c r="BA8" s="1"/>
  <c r="Y8"/>
  <c r="U8"/>
  <c r="AY7"/>
  <c r="AX7"/>
  <c r="AW7"/>
  <c r="AV7"/>
  <c r="AU7"/>
  <c r="AT7"/>
  <c r="AS7"/>
  <c r="AR7"/>
  <c r="AP7"/>
  <c r="BH7" s="1"/>
  <c r="AO7"/>
  <c r="AN7"/>
  <c r="BF7" s="1"/>
  <c r="AM7"/>
  <c r="AL7"/>
  <c r="BD7" s="1"/>
  <c r="AK7"/>
  <c r="BC7" s="1"/>
  <c r="AJ7"/>
  <c r="BB7" s="1"/>
  <c r="AI7"/>
  <c r="BA7" s="1"/>
  <c r="Y7"/>
  <c r="U7"/>
  <c r="AY6"/>
  <c r="AX6"/>
  <c r="AW6"/>
  <c r="AV6"/>
  <c r="AU6"/>
  <c r="AT6"/>
  <c r="AS6"/>
  <c r="AR6"/>
  <c r="AP6"/>
  <c r="BH6" s="1"/>
  <c r="AO6"/>
  <c r="BG6" s="1"/>
  <c r="AN6"/>
  <c r="BF6" s="1"/>
  <c r="AM6"/>
  <c r="BE6" s="1"/>
  <c r="AL6"/>
  <c r="BD6" s="1"/>
  <c r="AK6"/>
  <c r="BC6" s="1"/>
  <c r="AJ6"/>
  <c r="BB6" s="1"/>
  <c r="AI6"/>
  <c r="BA6" s="1"/>
  <c r="Y6"/>
  <c r="U6"/>
  <c r="AY5"/>
  <c r="AX5"/>
  <c r="AW5"/>
  <c r="AV5"/>
  <c r="AU5"/>
  <c r="AT5"/>
  <c r="AS5"/>
  <c r="AR5"/>
  <c r="AP5"/>
  <c r="BH5" s="1"/>
  <c r="AO5"/>
  <c r="BG5" s="1"/>
  <c r="AN5"/>
  <c r="BF5" s="1"/>
  <c r="AM5"/>
  <c r="BE5" s="1"/>
  <c r="AL5"/>
  <c r="BD5" s="1"/>
  <c r="AK5"/>
  <c r="AJ5"/>
  <c r="BB5" s="1"/>
  <c r="AI5"/>
  <c r="BA5" s="1"/>
  <c r="Y5"/>
  <c r="U5"/>
  <c r="AY4"/>
  <c r="AX4"/>
  <c r="AW4"/>
  <c r="AV4"/>
  <c r="AU4"/>
  <c r="AT4"/>
  <c r="AS4"/>
  <c r="AR4"/>
  <c r="AP4"/>
  <c r="AO4"/>
  <c r="BG4" s="1"/>
  <c r="AN4"/>
  <c r="BF4" s="1"/>
  <c r="AM4"/>
  <c r="BE4" s="1"/>
  <c r="AL4"/>
  <c r="BD4" s="1"/>
  <c r="AK4"/>
  <c r="BC4" s="1"/>
  <c r="AJ4"/>
  <c r="BB4" s="1"/>
  <c r="AI4"/>
  <c r="BA4" s="1"/>
  <c r="Y4"/>
  <c r="U4"/>
  <c r="AY3"/>
  <c r="AX3"/>
  <c r="AW3"/>
  <c r="AV3"/>
  <c r="AU3"/>
  <c r="AT3"/>
  <c r="AS3"/>
  <c r="AR3"/>
  <c r="AP3"/>
  <c r="BH3" s="1"/>
  <c r="AO3"/>
  <c r="BG3" s="1"/>
  <c r="AN3"/>
  <c r="AM3"/>
  <c r="BE3" s="1"/>
  <c r="AL3"/>
  <c r="BD3" s="1"/>
  <c r="AK3"/>
  <c r="BC3" s="1"/>
  <c r="AJ3"/>
  <c r="BB3" s="1"/>
  <c r="AI3"/>
  <c r="BA3" s="1"/>
  <c r="Y3"/>
  <c r="U3"/>
  <c r="AY2"/>
  <c r="AX2"/>
  <c r="AW2"/>
  <c r="AV2"/>
  <c r="AU2"/>
  <c r="AT2"/>
  <c r="AS2"/>
  <c r="AR2"/>
  <c r="AP2"/>
  <c r="BH2" s="1"/>
  <c r="AO2"/>
  <c r="BG2" s="1"/>
  <c r="AN2"/>
  <c r="BF2" s="1"/>
  <c r="AM2"/>
  <c r="BE2" s="1"/>
  <c r="AL2"/>
  <c r="BD2" s="1"/>
  <c r="AK2"/>
  <c r="BC2" s="1"/>
  <c r="AJ2"/>
  <c r="BB2" s="1"/>
  <c r="AI2"/>
  <c r="BA2" s="1"/>
  <c r="Y2"/>
  <c r="U2"/>
  <c r="C2" i="96"/>
  <c r="C3"/>
  <c r="C4"/>
  <c r="C5"/>
  <c r="C6"/>
  <c r="C7"/>
  <c r="C8"/>
  <c r="C9"/>
  <c r="C10"/>
  <c r="C11"/>
  <c r="C1"/>
  <c r="AN171" i="95"/>
  <c r="AM171"/>
  <c r="AL171"/>
  <c r="AK171"/>
  <c r="AJ171"/>
  <c r="AI171"/>
  <c r="AN154"/>
  <c r="AM154"/>
  <c r="AL154"/>
  <c r="AK154"/>
  <c r="AJ154"/>
  <c r="AI154"/>
  <c r="AN137"/>
  <c r="AM137"/>
  <c r="AL137"/>
  <c r="AK137"/>
  <c r="AJ137"/>
  <c r="AI137"/>
  <c r="AN120"/>
  <c r="AM120"/>
  <c r="AL120"/>
  <c r="AK120"/>
  <c r="AJ120"/>
  <c r="AI120"/>
  <c r="AN103"/>
  <c r="AM103"/>
  <c r="AL103"/>
  <c r="AK103"/>
  <c r="AJ103"/>
  <c r="AI103"/>
  <c r="AN86"/>
  <c r="AM86"/>
  <c r="AL86"/>
  <c r="AK86"/>
  <c r="AJ86"/>
  <c r="AI86"/>
  <c r="AN69"/>
  <c r="AM69"/>
  <c r="AL69"/>
  <c r="AK69"/>
  <c r="AJ69"/>
  <c r="AI69"/>
  <c r="AN52"/>
  <c r="AM52"/>
  <c r="AL52"/>
  <c r="AK52"/>
  <c r="AJ52"/>
  <c r="AI52"/>
  <c r="AN35"/>
  <c r="AM35"/>
  <c r="AL35"/>
  <c r="AK35"/>
  <c r="AJ35"/>
  <c r="AI35"/>
  <c r="AN18"/>
  <c r="AM18"/>
  <c r="AL18"/>
  <c r="AK18"/>
  <c r="AJ18"/>
  <c r="AI18"/>
  <c r="AY187"/>
  <c r="AX187"/>
  <c r="AW187"/>
  <c r="AV187"/>
  <c r="AU187"/>
  <c r="AT187"/>
  <c r="AS187"/>
  <c r="AR187"/>
  <c r="AP187"/>
  <c r="BH187" s="1"/>
  <c r="AO187"/>
  <c r="BG187" s="1"/>
  <c r="AN187"/>
  <c r="BF187" s="1"/>
  <c r="AM187"/>
  <c r="BE187" s="1"/>
  <c r="AL187"/>
  <c r="BD187" s="1"/>
  <c r="AK187"/>
  <c r="BC187" s="1"/>
  <c r="AJ187"/>
  <c r="BB187" s="1"/>
  <c r="AI187"/>
  <c r="BA187" s="1"/>
  <c r="Y187"/>
  <c r="U187"/>
  <c r="BD186"/>
  <c r="AY186"/>
  <c r="AX186"/>
  <c r="BG186" s="1"/>
  <c r="AW186"/>
  <c r="AU186"/>
  <c r="AT186"/>
  <c r="AS186"/>
  <c r="AR186"/>
  <c r="AP186"/>
  <c r="BH186" s="1"/>
  <c r="AO186"/>
  <c r="AN186"/>
  <c r="BF186" s="1"/>
  <c r="AM186"/>
  <c r="BE186" s="1"/>
  <c r="AL186"/>
  <c r="AK186"/>
  <c r="BC186" s="1"/>
  <c r="AJ186"/>
  <c r="BB186" s="1"/>
  <c r="AI186"/>
  <c r="BA186" s="1"/>
  <c r="Y186"/>
  <c r="U186"/>
  <c r="AY185"/>
  <c r="AX185"/>
  <c r="AW185"/>
  <c r="AV185"/>
  <c r="AU185"/>
  <c r="AT185"/>
  <c r="AS185"/>
  <c r="AR185"/>
  <c r="AP185"/>
  <c r="BH185" s="1"/>
  <c r="AO185"/>
  <c r="BG185" s="1"/>
  <c r="AN185"/>
  <c r="BF185" s="1"/>
  <c r="AM185"/>
  <c r="BE185" s="1"/>
  <c r="AL185"/>
  <c r="BD185" s="1"/>
  <c r="AK185"/>
  <c r="BC185" s="1"/>
  <c r="AJ185"/>
  <c r="BB185" s="1"/>
  <c r="AI185"/>
  <c r="BA185" s="1"/>
  <c r="Y185"/>
  <c r="U185"/>
  <c r="AY184"/>
  <c r="AX184"/>
  <c r="AW184"/>
  <c r="AV184"/>
  <c r="AU184"/>
  <c r="AT184"/>
  <c r="AS184"/>
  <c r="AR184"/>
  <c r="AP184"/>
  <c r="BH184" s="1"/>
  <c r="AO184"/>
  <c r="BG184" s="1"/>
  <c r="AN184"/>
  <c r="BF184" s="1"/>
  <c r="AM184"/>
  <c r="BE184" s="1"/>
  <c r="AL184"/>
  <c r="BD184" s="1"/>
  <c r="AK184"/>
  <c r="BC184" s="1"/>
  <c r="AJ184"/>
  <c r="BB184" s="1"/>
  <c r="AI184"/>
  <c r="BA184" s="1"/>
  <c r="Y184"/>
  <c r="U184"/>
  <c r="AY183"/>
  <c r="AX183"/>
  <c r="AW183"/>
  <c r="AV183"/>
  <c r="AU183"/>
  <c r="AT183"/>
  <c r="AS183"/>
  <c r="AR183"/>
  <c r="AP183"/>
  <c r="BH183" s="1"/>
  <c r="AO183"/>
  <c r="BG183" s="1"/>
  <c r="AN183"/>
  <c r="BF183" s="1"/>
  <c r="AM183"/>
  <c r="BE183" s="1"/>
  <c r="AL183"/>
  <c r="BD183" s="1"/>
  <c r="AK183"/>
  <c r="BC183" s="1"/>
  <c r="AJ183"/>
  <c r="BB183" s="1"/>
  <c r="AI183"/>
  <c r="BA183" s="1"/>
  <c r="Y183"/>
  <c r="U183"/>
  <c r="AY182"/>
  <c r="AX182"/>
  <c r="AW182"/>
  <c r="AV182"/>
  <c r="AU182"/>
  <c r="AT182"/>
  <c r="AS182"/>
  <c r="AR182"/>
  <c r="AP182"/>
  <c r="BH182" s="1"/>
  <c r="AO182"/>
  <c r="BG182" s="1"/>
  <c r="AN182"/>
  <c r="BF182" s="1"/>
  <c r="AM182"/>
  <c r="BE182" s="1"/>
  <c r="AL182"/>
  <c r="BD182" s="1"/>
  <c r="AK182"/>
  <c r="BC182" s="1"/>
  <c r="AJ182"/>
  <c r="BB182" s="1"/>
  <c r="AI182"/>
  <c r="BA182" s="1"/>
  <c r="Y182"/>
  <c r="U182"/>
  <c r="AY181"/>
  <c r="AX181"/>
  <c r="AW181"/>
  <c r="AV181"/>
  <c r="AU181"/>
  <c r="AT181"/>
  <c r="AS181"/>
  <c r="AR181"/>
  <c r="AP181"/>
  <c r="BH181" s="1"/>
  <c r="AO181"/>
  <c r="BG181" s="1"/>
  <c r="AN181"/>
  <c r="BF181" s="1"/>
  <c r="AM181"/>
  <c r="BE181" s="1"/>
  <c r="AL181"/>
  <c r="BD181" s="1"/>
  <c r="AK181"/>
  <c r="BC181" s="1"/>
  <c r="AJ181"/>
  <c r="BB181" s="1"/>
  <c r="AI181"/>
  <c r="BA181" s="1"/>
  <c r="Y181"/>
  <c r="U181"/>
  <c r="AY180"/>
  <c r="AX180"/>
  <c r="AW180"/>
  <c r="AV180"/>
  <c r="AU180"/>
  <c r="AT180"/>
  <c r="AS180"/>
  <c r="AR180"/>
  <c r="AP180"/>
  <c r="BH180" s="1"/>
  <c r="AO180"/>
  <c r="BG180" s="1"/>
  <c r="AN180"/>
  <c r="BF180" s="1"/>
  <c r="AM180"/>
  <c r="BE180" s="1"/>
  <c r="AL180"/>
  <c r="BD180" s="1"/>
  <c r="AK180"/>
  <c r="BC180" s="1"/>
  <c r="AJ180"/>
  <c r="BB180" s="1"/>
  <c r="AI180"/>
  <c r="BA180" s="1"/>
  <c r="Y180"/>
  <c r="U180"/>
  <c r="AY179"/>
  <c r="AX179"/>
  <c r="AW179"/>
  <c r="AV179"/>
  <c r="AU179"/>
  <c r="AT179"/>
  <c r="AR179"/>
  <c r="AP179"/>
  <c r="BH179" s="1"/>
  <c r="AO179"/>
  <c r="BG179" s="1"/>
  <c r="AN179"/>
  <c r="BF179" s="1"/>
  <c r="AM179"/>
  <c r="BE179" s="1"/>
  <c r="AL179"/>
  <c r="BD179" s="1"/>
  <c r="AK179"/>
  <c r="BC179" s="1"/>
  <c r="AI179"/>
  <c r="BA179" s="1"/>
  <c r="AA179"/>
  <c r="AS179" s="1"/>
  <c r="Y179"/>
  <c r="U179"/>
  <c r="AY178"/>
  <c r="AX178"/>
  <c r="AW178"/>
  <c r="AV178"/>
  <c r="AU178"/>
  <c r="AT178"/>
  <c r="AS178"/>
  <c r="AR178"/>
  <c r="AP178"/>
  <c r="BH178" s="1"/>
  <c r="AO178"/>
  <c r="BG178" s="1"/>
  <c r="AN178"/>
  <c r="BF178" s="1"/>
  <c r="AM178"/>
  <c r="BE178" s="1"/>
  <c r="AL178"/>
  <c r="BD178" s="1"/>
  <c r="AK178"/>
  <c r="BC178" s="1"/>
  <c r="AJ178"/>
  <c r="BB178" s="1"/>
  <c r="AI178"/>
  <c r="BA178" s="1"/>
  <c r="Y178"/>
  <c r="U178"/>
  <c r="AY177"/>
  <c r="AX177"/>
  <c r="AW177"/>
  <c r="AV177"/>
  <c r="AU177"/>
  <c r="AT177"/>
  <c r="AS177"/>
  <c r="AR177"/>
  <c r="AP177"/>
  <c r="BH177" s="1"/>
  <c r="AO177"/>
  <c r="BG177" s="1"/>
  <c r="AN177"/>
  <c r="BF177" s="1"/>
  <c r="AM177"/>
  <c r="BE177" s="1"/>
  <c r="AL177"/>
  <c r="BD177" s="1"/>
  <c r="AK177"/>
  <c r="BC177" s="1"/>
  <c r="AJ177"/>
  <c r="BB177" s="1"/>
  <c r="AI177"/>
  <c r="BA177" s="1"/>
  <c r="Y177"/>
  <c r="U177"/>
  <c r="AY176"/>
  <c r="AX176"/>
  <c r="AW176"/>
  <c r="AV176"/>
  <c r="AU176"/>
  <c r="AT176"/>
  <c r="AS176"/>
  <c r="AR176"/>
  <c r="AP176"/>
  <c r="BH176" s="1"/>
  <c r="AO176"/>
  <c r="BG176" s="1"/>
  <c r="AN176"/>
  <c r="BF176" s="1"/>
  <c r="AM176"/>
  <c r="BE176" s="1"/>
  <c r="AL176"/>
  <c r="BD176" s="1"/>
  <c r="AK176"/>
  <c r="BC176" s="1"/>
  <c r="AJ176"/>
  <c r="BB176" s="1"/>
  <c r="AI176"/>
  <c r="BA176" s="1"/>
  <c r="Y176"/>
  <c r="U176"/>
  <c r="AY175"/>
  <c r="AX175"/>
  <c r="AW175"/>
  <c r="AV175"/>
  <c r="AU175"/>
  <c r="AT175"/>
  <c r="AS175"/>
  <c r="AR175"/>
  <c r="AP175"/>
  <c r="BH175" s="1"/>
  <c r="AO175"/>
  <c r="BG175" s="1"/>
  <c r="AN175"/>
  <c r="BF175" s="1"/>
  <c r="AM175"/>
  <c r="BE175" s="1"/>
  <c r="AL175"/>
  <c r="BD175" s="1"/>
  <c r="AK175"/>
  <c r="BC175" s="1"/>
  <c r="AJ175"/>
  <c r="BB175" s="1"/>
  <c r="AI175"/>
  <c r="BA175" s="1"/>
  <c r="Y175"/>
  <c r="U175"/>
  <c r="AY174"/>
  <c r="AX174"/>
  <c r="AW174"/>
  <c r="AV174"/>
  <c r="AU174"/>
  <c r="AT174"/>
  <c r="AS174"/>
  <c r="AR174"/>
  <c r="AP174"/>
  <c r="BH174" s="1"/>
  <c r="AO174"/>
  <c r="BG174" s="1"/>
  <c r="AN174"/>
  <c r="BF174" s="1"/>
  <c r="AM174"/>
  <c r="BE174" s="1"/>
  <c r="AL174"/>
  <c r="BD174" s="1"/>
  <c r="AK174"/>
  <c r="BC174" s="1"/>
  <c r="AJ174"/>
  <c r="BB174" s="1"/>
  <c r="AI174"/>
  <c r="BA174" s="1"/>
  <c r="Y174"/>
  <c r="U174"/>
  <c r="AY173"/>
  <c r="AX173"/>
  <c r="AW173"/>
  <c r="AV173"/>
  <c r="AU173"/>
  <c r="AT173"/>
  <c r="AS173"/>
  <c r="AR173"/>
  <c r="AP173"/>
  <c r="BH173" s="1"/>
  <c r="AO173"/>
  <c r="BG173" s="1"/>
  <c r="AN173"/>
  <c r="BF173" s="1"/>
  <c r="AM173"/>
  <c r="BE173" s="1"/>
  <c r="AL173"/>
  <c r="BD173" s="1"/>
  <c r="AK173"/>
  <c r="BC173" s="1"/>
  <c r="AJ173"/>
  <c r="BB173" s="1"/>
  <c r="AI173"/>
  <c r="BA173" s="1"/>
  <c r="Y173"/>
  <c r="U173"/>
  <c r="AY172"/>
  <c r="AX172"/>
  <c r="AW172"/>
  <c r="AV172"/>
  <c r="AU172"/>
  <c r="AT172"/>
  <c r="AS172"/>
  <c r="AR172"/>
  <c r="AP172"/>
  <c r="BH172" s="1"/>
  <c r="AO172"/>
  <c r="BG172" s="1"/>
  <c r="AN172"/>
  <c r="BF172" s="1"/>
  <c r="AM172"/>
  <c r="BE172" s="1"/>
  <c r="AL172"/>
  <c r="BD172" s="1"/>
  <c r="AK172"/>
  <c r="BC172" s="1"/>
  <c r="AJ172"/>
  <c r="BB172" s="1"/>
  <c r="AI172"/>
  <c r="BA172" s="1"/>
  <c r="Y172"/>
  <c r="U172"/>
  <c r="AY170"/>
  <c r="AX170"/>
  <c r="AW170"/>
  <c r="AV170"/>
  <c r="AU170"/>
  <c r="AT170"/>
  <c r="AS170"/>
  <c r="AR170"/>
  <c r="AP170"/>
  <c r="BH170" s="1"/>
  <c r="AO170"/>
  <c r="BG170" s="1"/>
  <c r="AN170"/>
  <c r="BF170" s="1"/>
  <c r="AM170"/>
  <c r="BE170" s="1"/>
  <c r="AL170"/>
  <c r="BD170" s="1"/>
  <c r="AK170"/>
  <c r="BC170" s="1"/>
  <c r="AJ170"/>
  <c r="BB170" s="1"/>
  <c r="AI170"/>
  <c r="BA170" s="1"/>
  <c r="Y170"/>
  <c r="U170"/>
  <c r="AY169"/>
  <c r="AX169"/>
  <c r="BG169" s="1"/>
  <c r="AW169"/>
  <c r="AU169"/>
  <c r="AT169"/>
  <c r="AS169"/>
  <c r="AR169"/>
  <c r="AP169"/>
  <c r="BH169" s="1"/>
  <c r="AO169"/>
  <c r="AN169"/>
  <c r="BF169" s="1"/>
  <c r="AM169"/>
  <c r="BE169" s="1"/>
  <c r="AL169"/>
  <c r="BD169" s="1"/>
  <c r="AK169"/>
  <c r="BC169" s="1"/>
  <c r="AJ169"/>
  <c r="BB169" s="1"/>
  <c r="AI169"/>
  <c r="BA169" s="1"/>
  <c r="Y169"/>
  <c r="U169"/>
  <c r="AY168"/>
  <c r="AX168"/>
  <c r="AW168"/>
  <c r="AV168"/>
  <c r="AU168"/>
  <c r="AT168"/>
  <c r="AS168"/>
  <c r="AR168"/>
  <c r="AP168"/>
  <c r="BH168" s="1"/>
  <c r="AO168"/>
  <c r="BG168" s="1"/>
  <c r="AN168"/>
  <c r="BF168" s="1"/>
  <c r="AM168"/>
  <c r="BE168" s="1"/>
  <c r="AL168"/>
  <c r="BD168" s="1"/>
  <c r="AK168"/>
  <c r="BC168" s="1"/>
  <c r="AJ168"/>
  <c r="BB168" s="1"/>
  <c r="AI168"/>
  <c r="BA168" s="1"/>
  <c r="Y168"/>
  <c r="U168"/>
  <c r="AY167"/>
  <c r="AX167"/>
  <c r="AW167"/>
  <c r="AV167"/>
  <c r="AU167"/>
  <c r="AT167"/>
  <c r="AS167"/>
  <c r="AR167"/>
  <c r="AP167"/>
  <c r="BH167" s="1"/>
  <c r="AO167"/>
  <c r="BG167" s="1"/>
  <c r="AN167"/>
  <c r="BF167" s="1"/>
  <c r="AM167"/>
  <c r="BE167" s="1"/>
  <c r="AL167"/>
  <c r="BD167" s="1"/>
  <c r="AK167"/>
  <c r="BC167" s="1"/>
  <c r="AJ167"/>
  <c r="BB167" s="1"/>
  <c r="AI167"/>
  <c r="BA167" s="1"/>
  <c r="Y167"/>
  <c r="U167"/>
  <c r="AY166"/>
  <c r="AX166"/>
  <c r="AW166"/>
  <c r="AV166"/>
  <c r="AU166"/>
  <c r="AT166"/>
  <c r="AS166"/>
  <c r="AR166"/>
  <c r="AP166"/>
  <c r="BH166" s="1"/>
  <c r="AO166"/>
  <c r="BG166" s="1"/>
  <c r="AN166"/>
  <c r="BF166" s="1"/>
  <c r="AM166"/>
  <c r="BE166" s="1"/>
  <c r="AL166"/>
  <c r="BD166" s="1"/>
  <c r="AK166"/>
  <c r="BC166" s="1"/>
  <c r="AJ166"/>
  <c r="BB166" s="1"/>
  <c r="AI166"/>
  <c r="BA166" s="1"/>
  <c r="Y166"/>
  <c r="U166"/>
  <c r="AY165"/>
  <c r="AX165"/>
  <c r="AW165"/>
  <c r="AV165"/>
  <c r="AU165"/>
  <c r="AT165"/>
  <c r="AS165"/>
  <c r="AR165"/>
  <c r="AP165"/>
  <c r="BH165" s="1"/>
  <c r="AO165"/>
  <c r="BG165" s="1"/>
  <c r="AN165"/>
  <c r="BF165" s="1"/>
  <c r="AM165"/>
  <c r="BE165" s="1"/>
  <c r="AL165"/>
  <c r="BD165" s="1"/>
  <c r="AK165"/>
  <c r="BC165" s="1"/>
  <c r="AJ165"/>
  <c r="BB165" s="1"/>
  <c r="AI165"/>
  <c r="BA165" s="1"/>
  <c r="Y165"/>
  <c r="U165"/>
  <c r="AY164"/>
  <c r="AX164"/>
  <c r="AW164"/>
  <c r="AV164"/>
  <c r="AU164"/>
  <c r="AT164"/>
  <c r="AS164"/>
  <c r="AR164"/>
  <c r="AP164"/>
  <c r="BH164" s="1"/>
  <c r="AO164"/>
  <c r="BG164" s="1"/>
  <c r="AN164"/>
  <c r="BF164" s="1"/>
  <c r="AM164"/>
  <c r="BE164" s="1"/>
  <c r="AL164"/>
  <c r="BD164" s="1"/>
  <c r="AK164"/>
  <c r="BC164" s="1"/>
  <c r="AJ164"/>
  <c r="BB164" s="1"/>
  <c r="AI164"/>
  <c r="BA164" s="1"/>
  <c r="Y164"/>
  <c r="U164"/>
  <c r="AY163"/>
  <c r="AX163"/>
  <c r="AW163"/>
  <c r="AV163"/>
  <c r="AU163"/>
  <c r="AT163"/>
  <c r="AS163"/>
  <c r="AR163"/>
  <c r="AP163"/>
  <c r="BH163" s="1"/>
  <c r="AO163"/>
  <c r="BG163" s="1"/>
  <c r="AN163"/>
  <c r="BF163" s="1"/>
  <c r="AM163"/>
  <c r="BE163" s="1"/>
  <c r="AL163"/>
  <c r="BD163" s="1"/>
  <c r="AK163"/>
  <c r="BC163" s="1"/>
  <c r="AJ163"/>
  <c r="BB163" s="1"/>
  <c r="AI163"/>
  <c r="BA163" s="1"/>
  <c r="Y163"/>
  <c r="U163"/>
  <c r="AY162"/>
  <c r="AX162"/>
  <c r="AW162"/>
  <c r="AV162"/>
  <c r="AU162"/>
  <c r="AT162"/>
  <c r="AR162"/>
  <c r="AP162"/>
  <c r="BH162" s="1"/>
  <c r="AO162"/>
  <c r="BG162" s="1"/>
  <c r="AN162"/>
  <c r="BF162" s="1"/>
  <c r="AM162"/>
  <c r="BE162" s="1"/>
  <c r="AL162"/>
  <c r="BD162" s="1"/>
  <c r="AK162"/>
  <c r="BC162" s="1"/>
  <c r="AI162"/>
  <c r="BA162" s="1"/>
  <c r="AA162"/>
  <c r="AS162" s="1"/>
  <c r="Y162"/>
  <c r="U162"/>
  <c r="AY161"/>
  <c r="AX161"/>
  <c r="AW161"/>
  <c r="AV161"/>
  <c r="AU161"/>
  <c r="AT161"/>
  <c r="AS161"/>
  <c r="AR161"/>
  <c r="AP161"/>
  <c r="BH161" s="1"/>
  <c r="AO161"/>
  <c r="BG161" s="1"/>
  <c r="AN161"/>
  <c r="BF161" s="1"/>
  <c r="AM161"/>
  <c r="BE161" s="1"/>
  <c r="AL161"/>
  <c r="BD161" s="1"/>
  <c r="AK161"/>
  <c r="BC161" s="1"/>
  <c r="AJ161"/>
  <c r="BB161" s="1"/>
  <c r="AI161"/>
  <c r="BA161" s="1"/>
  <c r="Y161"/>
  <c r="U161"/>
  <c r="AY160"/>
  <c r="AX160"/>
  <c r="AW160"/>
  <c r="AV160"/>
  <c r="AU160"/>
  <c r="AT160"/>
  <c r="AS160"/>
  <c r="AR160"/>
  <c r="AP160"/>
  <c r="BH160" s="1"/>
  <c r="AO160"/>
  <c r="BG160" s="1"/>
  <c r="AN160"/>
  <c r="BF160" s="1"/>
  <c r="AM160"/>
  <c r="BE160" s="1"/>
  <c r="AL160"/>
  <c r="BD160" s="1"/>
  <c r="AK160"/>
  <c r="BC160" s="1"/>
  <c r="AJ160"/>
  <c r="BB160" s="1"/>
  <c r="AI160"/>
  <c r="BA160" s="1"/>
  <c r="Y160"/>
  <c r="U160"/>
  <c r="AY159"/>
  <c r="AX159"/>
  <c r="AW159"/>
  <c r="AV159"/>
  <c r="AU159"/>
  <c r="AT159"/>
  <c r="AS159"/>
  <c r="AR159"/>
  <c r="AP159"/>
  <c r="BH159" s="1"/>
  <c r="AO159"/>
  <c r="BG159" s="1"/>
  <c r="AN159"/>
  <c r="BF159" s="1"/>
  <c r="AM159"/>
  <c r="BE159" s="1"/>
  <c r="AL159"/>
  <c r="BD159" s="1"/>
  <c r="AK159"/>
  <c r="BC159" s="1"/>
  <c r="AJ159"/>
  <c r="BB159" s="1"/>
  <c r="AI159"/>
  <c r="BA159" s="1"/>
  <c r="Y159"/>
  <c r="U159"/>
  <c r="AY158"/>
  <c r="AX158"/>
  <c r="AW158"/>
  <c r="AV158"/>
  <c r="AU158"/>
  <c r="AT158"/>
  <c r="AS158"/>
  <c r="AR158"/>
  <c r="AP158"/>
  <c r="BH158" s="1"/>
  <c r="AO158"/>
  <c r="BG158" s="1"/>
  <c r="AN158"/>
  <c r="BF158" s="1"/>
  <c r="AM158"/>
  <c r="BE158" s="1"/>
  <c r="AL158"/>
  <c r="BD158" s="1"/>
  <c r="AK158"/>
  <c r="BC158" s="1"/>
  <c r="AJ158"/>
  <c r="BB158" s="1"/>
  <c r="AI158"/>
  <c r="BA158" s="1"/>
  <c r="Y158"/>
  <c r="U158"/>
  <c r="AY157"/>
  <c r="AX157"/>
  <c r="AW157"/>
  <c r="AV157"/>
  <c r="AU157"/>
  <c r="AT157"/>
  <c r="AS157"/>
  <c r="AR157"/>
  <c r="AP157"/>
  <c r="BH157" s="1"/>
  <c r="AO157"/>
  <c r="BG157" s="1"/>
  <c r="AN157"/>
  <c r="BF157" s="1"/>
  <c r="AM157"/>
  <c r="BE157" s="1"/>
  <c r="AL157"/>
  <c r="BD157" s="1"/>
  <c r="AK157"/>
  <c r="BC157" s="1"/>
  <c r="AJ157"/>
  <c r="BB157" s="1"/>
  <c r="AI157"/>
  <c r="BA157" s="1"/>
  <c r="Y157"/>
  <c r="U157"/>
  <c r="AY156"/>
  <c r="AX156"/>
  <c r="AW156"/>
  <c r="AV156"/>
  <c r="AU156"/>
  <c r="AT156"/>
  <c r="AS156"/>
  <c r="AR156"/>
  <c r="AP156"/>
  <c r="BH156" s="1"/>
  <c r="AO156"/>
  <c r="BG156" s="1"/>
  <c r="AN156"/>
  <c r="BF156" s="1"/>
  <c r="AM156"/>
  <c r="BE156" s="1"/>
  <c r="AL156"/>
  <c r="BD156" s="1"/>
  <c r="AK156"/>
  <c r="BC156" s="1"/>
  <c r="AJ156"/>
  <c r="BB156" s="1"/>
  <c r="AI156"/>
  <c r="BA156" s="1"/>
  <c r="Y156"/>
  <c r="U156"/>
  <c r="AY155"/>
  <c r="AX155"/>
  <c r="AW155"/>
  <c r="AV155"/>
  <c r="AU155"/>
  <c r="AT155"/>
  <c r="AS155"/>
  <c r="AR155"/>
  <c r="AP155"/>
  <c r="BH155" s="1"/>
  <c r="AO155"/>
  <c r="BG155" s="1"/>
  <c r="AN155"/>
  <c r="BF155" s="1"/>
  <c r="AM155"/>
  <c r="BE155" s="1"/>
  <c r="AL155"/>
  <c r="BD155" s="1"/>
  <c r="AK155"/>
  <c r="BC155" s="1"/>
  <c r="AJ155"/>
  <c r="BB155" s="1"/>
  <c r="AI155"/>
  <c r="BA155" s="1"/>
  <c r="Y155"/>
  <c r="U155"/>
  <c r="AY153"/>
  <c r="AX153"/>
  <c r="AW153"/>
  <c r="AV153"/>
  <c r="AU153"/>
  <c r="AT153"/>
  <c r="AS153"/>
  <c r="AR153"/>
  <c r="AP153"/>
  <c r="BH153" s="1"/>
  <c r="AO153"/>
  <c r="BG153" s="1"/>
  <c r="AN153"/>
  <c r="BF153" s="1"/>
  <c r="AM153"/>
  <c r="BE153" s="1"/>
  <c r="AL153"/>
  <c r="BD153" s="1"/>
  <c r="AK153"/>
  <c r="BC153" s="1"/>
  <c r="AJ153"/>
  <c r="BB153" s="1"/>
  <c r="AI153"/>
  <c r="BA153" s="1"/>
  <c r="Y153"/>
  <c r="U153"/>
  <c r="AY152"/>
  <c r="AX152"/>
  <c r="AW152"/>
  <c r="AU152"/>
  <c r="AT152"/>
  <c r="AS152"/>
  <c r="AR152"/>
  <c r="AP152"/>
  <c r="BH152" s="1"/>
  <c r="AO152"/>
  <c r="BG152" s="1"/>
  <c r="AN152"/>
  <c r="AM152"/>
  <c r="BE152" s="1"/>
  <c r="AL152"/>
  <c r="BD152" s="1"/>
  <c r="AK152"/>
  <c r="BC152" s="1"/>
  <c r="AJ152"/>
  <c r="BB152" s="1"/>
  <c r="AI152"/>
  <c r="BA152" s="1"/>
  <c r="Y152"/>
  <c r="U152"/>
  <c r="AY151"/>
  <c r="AX151"/>
  <c r="AW151"/>
  <c r="AV151"/>
  <c r="AU151"/>
  <c r="AT151"/>
  <c r="AS151"/>
  <c r="AR151"/>
  <c r="AP151"/>
  <c r="BH151" s="1"/>
  <c r="AO151"/>
  <c r="BG151" s="1"/>
  <c r="AN151"/>
  <c r="BF151" s="1"/>
  <c r="AM151"/>
  <c r="BE151" s="1"/>
  <c r="AL151"/>
  <c r="BD151" s="1"/>
  <c r="AK151"/>
  <c r="BC151" s="1"/>
  <c r="AJ151"/>
  <c r="BB151" s="1"/>
  <c r="AI151"/>
  <c r="BA151" s="1"/>
  <c r="Y151"/>
  <c r="U151"/>
  <c r="AY150"/>
  <c r="AX150"/>
  <c r="AW150"/>
  <c r="AV150"/>
  <c r="AU150"/>
  <c r="AT150"/>
  <c r="AS150"/>
  <c r="AR150"/>
  <c r="AP150"/>
  <c r="BH150" s="1"/>
  <c r="AO150"/>
  <c r="BG150" s="1"/>
  <c r="AN150"/>
  <c r="BF150" s="1"/>
  <c r="AM150"/>
  <c r="BE150" s="1"/>
  <c r="AL150"/>
  <c r="BD150" s="1"/>
  <c r="AK150"/>
  <c r="BC150" s="1"/>
  <c r="AJ150"/>
  <c r="BB150" s="1"/>
  <c r="AI150"/>
  <c r="BA150" s="1"/>
  <c r="Y150"/>
  <c r="U150"/>
  <c r="AY149"/>
  <c r="AX149"/>
  <c r="AW149"/>
  <c r="AV149"/>
  <c r="AU149"/>
  <c r="AT149"/>
  <c r="AS149"/>
  <c r="AR149"/>
  <c r="AP149"/>
  <c r="BH149" s="1"/>
  <c r="AO149"/>
  <c r="BG149" s="1"/>
  <c r="AN149"/>
  <c r="BF149" s="1"/>
  <c r="AM149"/>
  <c r="BE149" s="1"/>
  <c r="AL149"/>
  <c r="BD149" s="1"/>
  <c r="AK149"/>
  <c r="BC149" s="1"/>
  <c r="AJ149"/>
  <c r="BB149" s="1"/>
  <c r="AI149"/>
  <c r="BA149" s="1"/>
  <c r="Y149"/>
  <c r="U149"/>
  <c r="AY148"/>
  <c r="AX148"/>
  <c r="AW148"/>
  <c r="AV148"/>
  <c r="AU148"/>
  <c r="AT148"/>
  <c r="AS148"/>
  <c r="AR148"/>
  <c r="AP148"/>
  <c r="BH148" s="1"/>
  <c r="AO148"/>
  <c r="BG148" s="1"/>
  <c r="AN148"/>
  <c r="BF148" s="1"/>
  <c r="AM148"/>
  <c r="BE148" s="1"/>
  <c r="AL148"/>
  <c r="BD148" s="1"/>
  <c r="AK148"/>
  <c r="BC148" s="1"/>
  <c r="AJ148"/>
  <c r="BB148" s="1"/>
  <c r="AI148"/>
  <c r="BA148" s="1"/>
  <c r="Y148"/>
  <c r="U148"/>
  <c r="AY147"/>
  <c r="AX147"/>
  <c r="AW147"/>
  <c r="AV147"/>
  <c r="AU147"/>
  <c r="AT147"/>
  <c r="AS147"/>
  <c r="AR147"/>
  <c r="AP147"/>
  <c r="BH147" s="1"/>
  <c r="AO147"/>
  <c r="BG147" s="1"/>
  <c r="AN147"/>
  <c r="BF147" s="1"/>
  <c r="AM147"/>
  <c r="BE147" s="1"/>
  <c r="AL147"/>
  <c r="BD147" s="1"/>
  <c r="AK147"/>
  <c r="BC147" s="1"/>
  <c r="AJ147"/>
  <c r="BB147" s="1"/>
  <c r="AI147"/>
  <c r="BA147" s="1"/>
  <c r="Y147"/>
  <c r="U147"/>
  <c r="AY146"/>
  <c r="AX146"/>
  <c r="AW146"/>
  <c r="AV146"/>
  <c r="AU146"/>
  <c r="AT146"/>
  <c r="AS146"/>
  <c r="AR146"/>
  <c r="AP146"/>
  <c r="BH146" s="1"/>
  <c r="AO146"/>
  <c r="BG146" s="1"/>
  <c r="AN146"/>
  <c r="BF146" s="1"/>
  <c r="AM146"/>
  <c r="BE146" s="1"/>
  <c r="AL146"/>
  <c r="BD146" s="1"/>
  <c r="AK146"/>
  <c r="BC146" s="1"/>
  <c r="AJ146"/>
  <c r="BB146" s="1"/>
  <c r="AI146"/>
  <c r="BA146" s="1"/>
  <c r="Y146"/>
  <c r="U146"/>
  <c r="AY145"/>
  <c r="AX145"/>
  <c r="AW145"/>
  <c r="AV145"/>
  <c r="AU145"/>
  <c r="AT145"/>
  <c r="AS145"/>
  <c r="AR145"/>
  <c r="AP145"/>
  <c r="BH145" s="1"/>
  <c r="AO145"/>
  <c r="BG145" s="1"/>
  <c r="AN145"/>
  <c r="BF145" s="1"/>
  <c r="AM145"/>
  <c r="BE145" s="1"/>
  <c r="AL145"/>
  <c r="BD145" s="1"/>
  <c r="AK145"/>
  <c r="BC145" s="1"/>
  <c r="AJ145"/>
  <c r="BB145" s="1"/>
  <c r="AI145"/>
  <c r="BA145" s="1"/>
  <c r="AA145"/>
  <c r="Y145"/>
  <c r="U145"/>
  <c r="AY144"/>
  <c r="AX144"/>
  <c r="AW144"/>
  <c r="AV144"/>
  <c r="AU144"/>
  <c r="AT144"/>
  <c r="AS144"/>
  <c r="AR144"/>
  <c r="AP144"/>
  <c r="BH144" s="1"/>
  <c r="AO144"/>
  <c r="BG144" s="1"/>
  <c r="AN144"/>
  <c r="BF144" s="1"/>
  <c r="AM144"/>
  <c r="BE144" s="1"/>
  <c r="AL144"/>
  <c r="BD144" s="1"/>
  <c r="AK144"/>
  <c r="BC144" s="1"/>
  <c r="AJ144"/>
  <c r="BB144" s="1"/>
  <c r="AI144"/>
  <c r="BA144" s="1"/>
  <c r="Y144"/>
  <c r="U144"/>
  <c r="AY143"/>
  <c r="AX143"/>
  <c r="AW143"/>
  <c r="AV143"/>
  <c r="AU143"/>
  <c r="AT143"/>
  <c r="AS143"/>
  <c r="AR143"/>
  <c r="AP143"/>
  <c r="BH143" s="1"/>
  <c r="AO143"/>
  <c r="BG143" s="1"/>
  <c r="AN143"/>
  <c r="BF143" s="1"/>
  <c r="AM143"/>
  <c r="BE143" s="1"/>
  <c r="AL143"/>
  <c r="BD143" s="1"/>
  <c r="AK143"/>
  <c r="BC143" s="1"/>
  <c r="AJ143"/>
  <c r="BB143" s="1"/>
  <c r="AI143"/>
  <c r="BA143" s="1"/>
  <c r="Y143"/>
  <c r="U143"/>
  <c r="AY142"/>
  <c r="AX142"/>
  <c r="AW142"/>
  <c r="AV142"/>
  <c r="AU142"/>
  <c r="AT142"/>
  <c r="AS142"/>
  <c r="AR142"/>
  <c r="AP142"/>
  <c r="BH142" s="1"/>
  <c r="AO142"/>
  <c r="BG142" s="1"/>
  <c r="AN142"/>
  <c r="BF142" s="1"/>
  <c r="AM142"/>
  <c r="BE142" s="1"/>
  <c r="AL142"/>
  <c r="BD142" s="1"/>
  <c r="AK142"/>
  <c r="BC142" s="1"/>
  <c r="AJ142"/>
  <c r="BB142" s="1"/>
  <c r="AI142"/>
  <c r="BA142" s="1"/>
  <c r="Y142"/>
  <c r="U142"/>
  <c r="AY141"/>
  <c r="AX141"/>
  <c r="AW141"/>
  <c r="AV141"/>
  <c r="AU141"/>
  <c r="AT141"/>
  <c r="AS141"/>
  <c r="AR141"/>
  <c r="AP141"/>
  <c r="BH141" s="1"/>
  <c r="AO141"/>
  <c r="BG141" s="1"/>
  <c r="AN141"/>
  <c r="BF141" s="1"/>
  <c r="AM141"/>
  <c r="BE141" s="1"/>
  <c r="AL141"/>
  <c r="BD141" s="1"/>
  <c r="AK141"/>
  <c r="BC141" s="1"/>
  <c r="AJ141"/>
  <c r="BB141" s="1"/>
  <c r="AI141"/>
  <c r="BA141" s="1"/>
  <c r="Y141"/>
  <c r="U141"/>
  <c r="AY140"/>
  <c r="AX140"/>
  <c r="AW140"/>
  <c r="AV140"/>
  <c r="AU140"/>
  <c r="AT140"/>
  <c r="AS140"/>
  <c r="AR140"/>
  <c r="AP140"/>
  <c r="BH140" s="1"/>
  <c r="AO140"/>
  <c r="BG140" s="1"/>
  <c r="AN140"/>
  <c r="BF140" s="1"/>
  <c r="AM140"/>
  <c r="BE140" s="1"/>
  <c r="AL140"/>
  <c r="BD140" s="1"/>
  <c r="AK140"/>
  <c r="BC140" s="1"/>
  <c r="AJ140"/>
  <c r="BB140" s="1"/>
  <c r="AI140"/>
  <c r="BA140" s="1"/>
  <c r="Y140"/>
  <c r="U140"/>
  <c r="AY139"/>
  <c r="AX139"/>
  <c r="AW139"/>
  <c r="AV139"/>
  <c r="AU139"/>
  <c r="AT139"/>
  <c r="AS139"/>
  <c r="AR139"/>
  <c r="AP139"/>
  <c r="BH139" s="1"/>
  <c r="AO139"/>
  <c r="BG139" s="1"/>
  <c r="AN139"/>
  <c r="BF139" s="1"/>
  <c r="AM139"/>
  <c r="BE139" s="1"/>
  <c r="AL139"/>
  <c r="BD139" s="1"/>
  <c r="AK139"/>
  <c r="BC139" s="1"/>
  <c r="AJ139"/>
  <c r="BB139" s="1"/>
  <c r="AI139"/>
  <c r="BA139" s="1"/>
  <c r="Y139"/>
  <c r="U139"/>
  <c r="AY138"/>
  <c r="AX138"/>
  <c r="AW138"/>
  <c r="AV138"/>
  <c r="AU138"/>
  <c r="AT138"/>
  <c r="AS138"/>
  <c r="AR138"/>
  <c r="AP138"/>
  <c r="BH138" s="1"/>
  <c r="AO138"/>
  <c r="BG138" s="1"/>
  <c r="AN138"/>
  <c r="BF138" s="1"/>
  <c r="AM138"/>
  <c r="BE138" s="1"/>
  <c r="AL138"/>
  <c r="BD138" s="1"/>
  <c r="AK138"/>
  <c r="BC138" s="1"/>
  <c r="AJ138"/>
  <c r="BB138" s="1"/>
  <c r="AI138"/>
  <c r="BA138" s="1"/>
  <c r="Y138"/>
  <c r="U138"/>
  <c r="AY136"/>
  <c r="AX136"/>
  <c r="AW136"/>
  <c r="AV136"/>
  <c r="AU136"/>
  <c r="AT136"/>
  <c r="AS136"/>
  <c r="AR136"/>
  <c r="AP136"/>
  <c r="BH136" s="1"/>
  <c r="AO136"/>
  <c r="BG136" s="1"/>
  <c r="AN136"/>
  <c r="BF136" s="1"/>
  <c r="AM136"/>
  <c r="BE136" s="1"/>
  <c r="AL136"/>
  <c r="BD136" s="1"/>
  <c r="AK136"/>
  <c r="BC136" s="1"/>
  <c r="AJ136"/>
  <c r="BB136" s="1"/>
  <c r="AI136"/>
  <c r="BA136" s="1"/>
  <c r="Y136"/>
  <c r="U136"/>
  <c r="BE135"/>
  <c r="BD135"/>
  <c r="AY135"/>
  <c r="AX135"/>
  <c r="AW135"/>
  <c r="AU135"/>
  <c r="AT135"/>
  <c r="AS135"/>
  <c r="AR135"/>
  <c r="AP135"/>
  <c r="BH135" s="1"/>
  <c r="AO135"/>
  <c r="BG135" s="1"/>
  <c r="AN135"/>
  <c r="BF135" s="1"/>
  <c r="AM135"/>
  <c r="AL135"/>
  <c r="AK135"/>
  <c r="BC135" s="1"/>
  <c r="AJ135"/>
  <c r="BB135" s="1"/>
  <c r="AI135"/>
  <c r="BA135" s="1"/>
  <c r="Y135"/>
  <c r="U135"/>
  <c r="AY134"/>
  <c r="AX134"/>
  <c r="AW134"/>
  <c r="AV134"/>
  <c r="AU134"/>
  <c r="AT134"/>
  <c r="AS134"/>
  <c r="AR134"/>
  <c r="AP134"/>
  <c r="BH134" s="1"/>
  <c r="AO134"/>
  <c r="BG134" s="1"/>
  <c r="AN134"/>
  <c r="BF134" s="1"/>
  <c r="AM134"/>
  <c r="BE134" s="1"/>
  <c r="AL134"/>
  <c r="BD134" s="1"/>
  <c r="AK134"/>
  <c r="BC134" s="1"/>
  <c r="AJ134"/>
  <c r="BB134" s="1"/>
  <c r="AI134"/>
  <c r="BA134" s="1"/>
  <c r="Y134"/>
  <c r="U134"/>
  <c r="AY133"/>
  <c r="AX133"/>
  <c r="AW133"/>
  <c r="AV133"/>
  <c r="AU133"/>
  <c r="AT133"/>
  <c r="AS133"/>
  <c r="AR133"/>
  <c r="AP133"/>
  <c r="BH133" s="1"/>
  <c r="AO133"/>
  <c r="BG133" s="1"/>
  <c r="AN133"/>
  <c r="BF133" s="1"/>
  <c r="AM133"/>
  <c r="BE133" s="1"/>
  <c r="AL133"/>
  <c r="BD133" s="1"/>
  <c r="AK133"/>
  <c r="BC133" s="1"/>
  <c r="AJ133"/>
  <c r="BB133" s="1"/>
  <c r="AI133"/>
  <c r="BA133" s="1"/>
  <c r="Y133"/>
  <c r="U133"/>
  <c r="AY132"/>
  <c r="AX132"/>
  <c r="AW132"/>
  <c r="AV132"/>
  <c r="AU132"/>
  <c r="AT132"/>
  <c r="AS132"/>
  <c r="AR132"/>
  <c r="AP132"/>
  <c r="BH132" s="1"/>
  <c r="AO132"/>
  <c r="BG132" s="1"/>
  <c r="AN132"/>
  <c r="BF132" s="1"/>
  <c r="AM132"/>
  <c r="BE132" s="1"/>
  <c r="AL132"/>
  <c r="BD132" s="1"/>
  <c r="AK132"/>
  <c r="BC132" s="1"/>
  <c r="AJ132"/>
  <c r="BB132" s="1"/>
  <c r="AI132"/>
  <c r="BA132" s="1"/>
  <c r="Y132"/>
  <c r="U132"/>
  <c r="AY131"/>
  <c r="AX131"/>
  <c r="AW131"/>
  <c r="AV131"/>
  <c r="AU131"/>
  <c r="AT131"/>
  <c r="AS131"/>
  <c r="AR131"/>
  <c r="AP131"/>
  <c r="BH131" s="1"/>
  <c r="AO131"/>
  <c r="BG131" s="1"/>
  <c r="AN131"/>
  <c r="BF131" s="1"/>
  <c r="AM131"/>
  <c r="BE131" s="1"/>
  <c r="AL131"/>
  <c r="BD131" s="1"/>
  <c r="AK131"/>
  <c r="BC131" s="1"/>
  <c r="AJ131"/>
  <c r="BB131" s="1"/>
  <c r="AI131"/>
  <c r="BA131" s="1"/>
  <c r="Y131"/>
  <c r="U131"/>
  <c r="AY130"/>
  <c r="AX130"/>
  <c r="AW130"/>
  <c r="AV130"/>
  <c r="AU130"/>
  <c r="AT130"/>
  <c r="AS130"/>
  <c r="AR130"/>
  <c r="AP130"/>
  <c r="BH130" s="1"/>
  <c r="AO130"/>
  <c r="BG130" s="1"/>
  <c r="AN130"/>
  <c r="BF130" s="1"/>
  <c r="AM130"/>
  <c r="BE130" s="1"/>
  <c r="AL130"/>
  <c r="BD130" s="1"/>
  <c r="AK130"/>
  <c r="BC130" s="1"/>
  <c r="AJ130"/>
  <c r="BB130" s="1"/>
  <c r="AI130"/>
  <c r="BA130" s="1"/>
  <c r="Y130"/>
  <c r="U130"/>
  <c r="AY129"/>
  <c r="AX129"/>
  <c r="AW129"/>
  <c r="AV129"/>
  <c r="AU129"/>
  <c r="AT129"/>
  <c r="AS129"/>
  <c r="AR129"/>
  <c r="AP129"/>
  <c r="BH129" s="1"/>
  <c r="AO129"/>
  <c r="BG129" s="1"/>
  <c r="AN129"/>
  <c r="BF129" s="1"/>
  <c r="AM129"/>
  <c r="BE129" s="1"/>
  <c r="AL129"/>
  <c r="BD129" s="1"/>
  <c r="AK129"/>
  <c r="BC129" s="1"/>
  <c r="AJ129"/>
  <c r="BB129" s="1"/>
  <c r="AI129"/>
  <c r="BA129" s="1"/>
  <c r="Y129"/>
  <c r="U129"/>
  <c r="AY128"/>
  <c r="AX128"/>
  <c r="AW128"/>
  <c r="AV128"/>
  <c r="AU128"/>
  <c r="AT128"/>
  <c r="AS128"/>
  <c r="AR128"/>
  <c r="AP128"/>
  <c r="BH128" s="1"/>
  <c r="AO128"/>
  <c r="BG128" s="1"/>
  <c r="AN128"/>
  <c r="BF128" s="1"/>
  <c r="AM128"/>
  <c r="BE128" s="1"/>
  <c r="AL128"/>
  <c r="BD128" s="1"/>
  <c r="AK128"/>
  <c r="BC128" s="1"/>
  <c r="AJ128"/>
  <c r="BB128" s="1"/>
  <c r="AI128"/>
  <c r="BA128" s="1"/>
  <c r="AA128"/>
  <c r="Y128"/>
  <c r="U128"/>
  <c r="AY127"/>
  <c r="AX127"/>
  <c r="AW127"/>
  <c r="AV127"/>
  <c r="AU127"/>
  <c r="AT127"/>
  <c r="AS127"/>
  <c r="AR127"/>
  <c r="AP127"/>
  <c r="BH127" s="1"/>
  <c r="AO127"/>
  <c r="BG127" s="1"/>
  <c r="AN127"/>
  <c r="BF127" s="1"/>
  <c r="AM127"/>
  <c r="BE127" s="1"/>
  <c r="AL127"/>
  <c r="BD127" s="1"/>
  <c r="AK127"/>
  <c r="BC127" s="1"/>
  <c r="AJ127"/>
  <c r="BB127" s="1"/>
  <c r="AI127"/>
  <c r="BA127" s="1"/>
  <c r="Y127"/>
  <c r="U127"/>
  <c r="AY126"/>
  <c r="AX126"/>
  <c r="AW126"/>
  <c r="AV126"/>
  <c r="AU126"/>
  <c r="AT126"/>
  <c r="AS126"/>
  <c r="AR126"/>
  <c r="AP126"/>
  <c r="BH126" s="1"/>
  <c r="AO126"/>
  <c r="BG126" s="1"/>
  <c r="AN126"/>
  <c r="BF126" s="1"/>
  <c r="AM126"/>
  <c r="BE126" s="1"/>
  <c r="AL126"/>
  <c r="BD126" s="1"/>
  <c r="AK126"/>
  <c r="BC126" s="1"/>
  <c r="AJ126"/>
  <c r="BB126" s="1"/>
  <c r="AI126"/>
  <c r="BA126" s="1"/>
  <c r="Y126"/>
  <c r="U126"/>
  <c r="BD125"/>
  <c r="AY125"/>
  <c r="AX125"/>
  <c r="AW125"/>
  <c r="AV125"/>
  <c r="AU125"/>
  <c r="AT125"/>
  <c r="AS125"/>
  <c r="AR125"/>
  <c r="AP125"/>
  <c r="BH125" s="1"/>
  <c r="AO125"/>
  <c r="BG125" s="1"/>
  <c r="AN125"/>
  <c r="BF125" s="1"/>
  <c r="AM125"/>
  <c r="BE125" s="1"/>
  <c r="AL125"/>
  <c r="AK125"/>
  <c r="BC125" s="1"/>
  <c r="AJ125"/>
  <c r="BB125" s="1"/>
  <c r="AI125"/>
  <c r="BA125" s="1"/>
  <c r="Y125"/>
  <c r="U125"/>
  <c r="AY124"/>
  <c r="AX124"/>
  <c r="AW124"/>
  <c r="AV124"/>
  <c r="AU124"/>
  <c r="AT124"/>
  <c r="AS124"/>
  <c r="AR124"/>
  <c r="AP124"/>
  <c r="BH124" s="1"/>
  <c r="AO124"/>
  <c r="BG124" s="1"/>
  <c r="AN124"/>
  <c r="BF124" s="1"/>
  <c r="AM124"/>
  <c r="BE124" s="1"/>
  <c r="AL124"/>
  <c r="BD124" s="1"/>
  <c r="AK124"/>
  <c r="BC124" s="1"/>
  <c r="AJ124"/>
  <c r="BB124" s="1"/>
  <c r="AI124"/>
  <c r="BA124" s="1"/>
  <c r="Y124"/>
  <c r="U124"/>
  <c r="AY123"/>
  <c r="AX123"/>
  <c r="AW123"/>
  <c r="AV123"/>
  <c r="AU123"/>
  <c r="AT123"/>
  <c r="AS123"/>
  <c r="AR123"/>
  <c r="AP123"/>
  <c r="BH123" s="1"/>
  <c r="AO123"/>
  <c r="BG123" s="1"/>
  <c r="AN123"/>
  <c r="BF123" s="1"/>
  <c r="AM123"/>
  <c r="BE123" s="1"/>
  <c r="AL123"/>
  <c r="BD123" s="1"/>
  <c r="AK123"/>
  <c r="BC123" s="1"/>
  <c r="AJ123"/>
  <c r="BB123" s="1"/>
  <c r="AI123"/>
  <c r="BA123" s="1"/>
  <c r="Y123"/>
  <c r="U123"/>
  <c r="AY122"/>
  <c r="AX122"/>
  <c r="AW122"/>
  <c r="AV122"/>
  <c r="AU122"/>
  <c r="AT122"/>
  <c r="AS122"/>
  <c r="AR122"/>
  <c r="AP122"/>
  <c r="BH122" s="1"/>
  <c r="AO122"/>
  <c r="BG122" s="1"/>
  <c r="AN122"/>
  <c r="BF122" s="1"/>
  <c r="AM122"/>
  <c r="BE122" s="1"/>
  <c r="AL122"/>
  <c r="BD122" s="1"/>
  <c r="AK122"/>
  <c r="BC122" s="1"/>
  <c r="AJ122"/>
  <c r="BB122" s="1"/>
  <c r="AI122"/>
  <c r="BA122" s="1"/>
  <c r="Y122"/>
  <c r="U122"/>
  <c r="AY121"/>
  <c r="AX121"/>
  <c r="AW121"/>
  <c r="AV121"/>
  <c r="AU121"/>
  <c r="AT121"/>
  <c r="AS121"/>
  <c r="AR121"/>
  <c r="AP121"/>
  <c r="BH121" s="1"/>
  <c r="AO121"/>
  <c r="BG121" s="1"/>
  <c r="AN121"/>
  <c r="BF121" s="1"/>
  <c r="AM121"/>
  <c r="BE121" s="1"/>
  <c r="AL121"/>
  <c r="BD121" s="1"/>
  <c r="AK121"/>
  <c r="BC121" s="1"/>
  <c r="AJ121"/>
  <c r="BB121" s="1"/>
  <c r="AI121"/>
  <c r="BA121" s="1"/>
  <c r="Y121"/>
  <c r="U121"/>
  <c r="AY119"/>
  <c r="AX119"/>
  <c r="AW119"/>
  <c r="AV119"/>
  <c r="AU119"/>
  <c r="AT119"/>
  <c r="AS119"/>
  <c r="AR119"/>
  <c r="AP119"/>
  <c r="BH119" s="1"/>
  <c r="AO119"/>
  <c r="BG119" s="1"/>
  <c r="AN119"/>
  <c r="BF119" s="1"/>
  <c r="AM119"/>
  <c r="BE119" s="1"/>
  <c r="AL119"/>
  <c r="BD119" s="1"/>
  <c r="AK119"/>
  <c r="BC119" s="1"/>
  <c r="AJ119"/>
  <c r="BB119" s="1"/>
  <c r="AI119"/>
  <c r="BA119" s="1"/>
  <c r="Y119"/>
  <c r="U119"/>
  <c r="AY118"/>
  <c r="AX118"/>
  <c r="BG118" s="1"/>
  <c r="AW118"/>
  <c r="AU118"/>
  <c r="AT118"/>
  <c r="AS118"/>
  <c r="AR118"/>
  <c r="AP118"/>
  <c r="BH118" s="1"/>
  <c r="AO118"/>
  <c r="AN118"/>
  <c r="AM118"/>
  <c r="BE118" s="1"/>
  <c r="AL118"/>
  <c r="BD118" s="1"/>
  <c r="AK118"/>
  <c r="BC118" s="1"/>
  <c r="AJ118"/>
  <c r="BB118" s="1"/>
  <c r="AI118"/>
  <c r="BA118" s="1"/>
  <c r="Y118"/>
  <c r="U118"/>
  <c r="AY117"/>
  <c r="AX117"/>
  <c r="AW117"/>
  <c r="AV117"/>
  <c r="AU117"/>
  <c r="AT117"/>
  <c r="AS117"/>
  <c r="AR117"/>
  <c r="AP117"/>
  <c r="BH117" s="1"/>
  <c r="AO117"/>
  <c r="BG117" s="1"/>
  <c r="AN117"/>
  <c r="BF117" s="1"/>
  <c r="AM117"/>
  <c r="BE117" s="1"/>
  <c r="AL117"/>
  <c r="BD117" s="1"/>
  <c r="AK117"/>
  <c r="BC117" s="1"/>
  <c r="AJ117"/>
  <c r="BB117" s="1"/>
  <c r="AI117"/>
  <c r="BA117" s="1"/>
  <c r="Y117"/>
  <c r="U117"/>
  <c r="BF116"/>
  <c r="AY116"/>
  <c r="AX116"/>
  <c r="AW116"/>
  <c r="AV116"/>
  <c r="AU116"/>
  <c r="AT116"/>
  <c r="AS116"/>
  <c r="AR116"/>
  <c r="AP116"/>
  <c r="BH116" s="1"/>
  <c r="AO116"/>
  <c r="BG116" s="1"/>
  <c r="AN116"/>
  <c r="AM116"/>
  <c r="BE116" s="1"/>
  <c r="AL116"/>
  <c r="BD116" s="1"/>
  <c r="AK116"/>
  <c r="BC116" s="1"/>
  <c r="AJ116"/>
  <c r="BB116" s="1"/>
  <c r="AI116"/>
  <c r="BA116" s="1"/>
  <c r="Y116"/>
  <c r="U116"/>
  <c r="AY115"/>
  <c r="AX115"/>
  <c r="AW115"/>
  <c r="AV115"/>
  <c r="AU115"/>
  <c r="AT115"/>
  <c r="AS115"/>
  <c r="AR115"/>
  <c r="AP115"/>
  <c r="BH115" s="1"/>
  <c r="AO115"/>
  <c r="BG115" s="1"/>
  <c r="AN115"/>
  <c r="BF115" s="1"/>
  <c r="AM115"/>
  <c r="BE115" s="1"/>
  <c r="AL115"/>
  <c r="BD115" s="1"/>
  <c r="AK115"/>
  <c r="BC115" s="1"/>
  <c r="AJ115"/>
  <c r="BB115" s="1"/>
  <c r="AI115"/>
  <c r="BA115" s="1"/>
  <c r="Y115"/>
  <c r="U115"/>
  <c r="AY114"/>
  <c r="AX114"/>
  <c r="AW114"/>
  <c r="AV114"/>
  <c r="AU114"/>
  <c r="AT114"/>
  <c r="AS114"/>
  <c r="AR114"/>
  <c r="AP114"/>
  <c r="BH114" s="1"/>
  <c r="AO114"/>
  <c r="BG114" s="1"/>
  <c r="AN114"/>
  <c r="BF114" s="1"/>
  <c r="AM114"/>
  <c r="BE114" s="1"/>
  <c r="AL114"/>
  <c r="BD114" s="1"/>
  <c r="AK114"/>
  <c r="BC114" s="1"/>
  <c r="AJ114"/>
  <c r="BB114" s="1"/>
  <c r="AI114"/>
  <c r="BA114" s="1"/>
  <c r="Y114"/>
  <c r="U114"/>
  <c r="AY113"/>
  <c r="AX113"/>
  <c r="AW113"/>
  <c r="AV113"/>
  <c r="AU113"/>
  <c r="AT113"/>
  <c r="AS113"/>
  <c r="AR113"/>
  <c r="AP113"/>
  <c r="BH113" s="1"/>
  <c r="AO113"/>
  <c r="BG113" s="1"/>
  <c r="AN113"/>
  <c r="BF113" s="1"/>
  <c r="AM113"/>
  <c r="BE113" s="1"/>
  <c r="AL113"/>
  <c r="BD113" s="1"/>
  <c r="AK113"/>
  <c r="BC113" s="1"/>
  <c r="AJ113"/>
  <c r="BB113" s="1"/>
  <c r="AI113"/>
  <c r="BA113" s="1"/>
  <c r="Y113"/>
  <c r="U113"/>
  <c r="AY112"/>
  <c r="AX112"/>
  <c r="AW112"/>
  <c r="AV112"/>
  <c r="AU112"/>
  <c r="AT112"/>
  <c r="AS112"/>
  <c r="AR112"/>
  <c r="AP112"/>
  <c r="BH112" s="1"/>
  <c r="AO112"/>
  <c r="BG112" s="1"/>
  <c r="AN112"/>
  <c r="BF112" s="1"/>
  <c r="AM112"/>
  <c r="BE112" s="1"/>
  <c r="AL112"/>
  <c r="BD112" s="1"/>
  <c r="AK112"/>
  <c r="BC112" s="1"/>
  <c r="AJ112"/>
  <c r="BB112" s="1"/>
  <c r="AI112"/>
  <c r="BA112" s="1"/>
  <c r="Y112"/>
  <c r="U112"/>
  <c r="AY111"/>
  <c r="AX111"/>
  <c r="AW111"/>
  <c r="AV111"/>
  <c r="AU111"/>
  <c r="AT111"/>
  <c r="AR111"/>
  <c r="AP111"/>
  <c r="BH111" s="1"/>
  <c r="AO111"/>
  <c r="BG111" s="1"/>
  <c r="AN111"/>
  <c r="BF111" s="1"/>
  <c r="AM111"/>
  <c r="BE111" s="1"/>
  <c r="AL111"/>
  <c r="BD111" s="1"/>
  <c r="AK111"/>
  <c r="BC111" s="1"/>
  <c r="AI111"/>
  <c r="BA111" s="1"/>
  <c r="AA111"/>
  <c r="AS111" s="1"/>
  <c r="Y111"/>
  <c r="U111"/>
  <c r="AY110"/>
  <c r="AX110"/>
  <c r="AW110"/>
  <c r="AV110"/>
  <c r="AU110"/>
  <c r="AT110"/>
  <c r="AS110"/>
  <c r="AR110"/>
  <c r="AP110"/>
  <c r="BH110" s="1"/>
  <c r="AO110"/>
  <c r="BG110" s="1"/>
  <c r="AN110"/>
  <c r="BF110" s="1"/>
  <c r="AM110"/>
  <c r="BE110" s="1"/>
  <c r="AL110"/>
  <c r="BD110" s="1"/>
  <c r="AK110"/>
  <c r="BC110" s="1"/>
  <c r="AJ110"/>
  <c r="BB110" s="1"/>
  <c r="AI110"/>
  <c r="BA110" s="1"/>
  <c r="Y110"/>
  <c r="U110"/>
  <c r="AY109"/>
  <c r="AX109"/>
  <c r="AW109"/>
  <c r="AV109"/>
  <c r="AU109"/>
  <c r="AT109"/>
  <c r="AS109"/>
  <c r="AR109"/>
  <c r="AP109"/>
  <c r="BH109" s="1"/>
  <c r="AO109"/>
  <c r="BG109" s="1"/>
  <c r="AN109"/>
  <c r="BF109" s="1"/>
  <c r="AM109"/>
  <c r="BE109" s="1"/>
  <c r="AL109"/>
  <c r="BD109" s="1"/>
  <c r="AK109"/>
  <c r="BC109" s="1"/>
  <c r="AJ109"/>
  <c r="BB109" s="1"/>
  <c r="AI109"/>
  <c r="BA109" s="1"/>
  <c r="Y109"/>
  <c r="U109"/>
  <c r="AY108"/>
  <c r="AX108"/>
  <c r="AW108"/>
  <c r="AV108"/>
  <c r="AU108"/>
  <c r="AT108"/>
  <c r="AS108"/>
  <c r="AR108"/>
  <c r="AP108"/>
  <c r="BH108" s="1"/>
  <c r="AO108"/>
  <c r="BG108" s="1"/>
  <c r="AN108"/>
  <c r="BF108" s="1"/>
  <c r="AM108"/>
  <c r="BE108" s="1"/>
  <c r="AL108"/>
  <c r="BD108" s="1"/>
  <c r="AK108"/>
  <c r="BC108" s="1"/>
  <c r="AJ108"/>
  <c r="BB108" s="1"/>
  <c r="AI108"/>
  <c r="BA108" s="1"/>
  <c r="Y108"/>
  <c r="U108"/>
  <c r="AY107"/>
  <c r="AX107"/>
  <c r="AW107"/>
  <c r="AV107"/>
  <c r="AU107"/>
  <c r="AT107"/>
  <c r="AS107"/>
  <c r="AR107"/>
  <c r="AP107"/>
  <c r="BH107" s="1"/>
  <c r="AO107"/>
  <c r="BG107" s="1"/>
  <c r="AN107"/>
  <c r="BF107" s="1"/>
  <c r="AM107"/>
  <c r="BE107" s="1"/>
  <c r="AL107"/>
  <c r="BD107" s="1"/>
  <c r="AK107"/>
  <c r="BC107" s="1"/>
  <c r="AJ107"/>
  <c r="BB107" s="1"/>
  <c r="AI107"/>
  <c r="BA107" s="1"/>
  <c r="Y107"/>
  <c r="U107"/>
  <c r="AY106"/>
  <c r="AX106"/>
  <c r="AW106"/>
  <c r="AV106"/>
  <c r="AU106"/>
  <c r="AT106"/>
  <c r="AS106"/>
  <c r="AR106"/>
  <c r="AP106"/>
  <c r="BH106" s="1"/>
  <c r="AO106"/>
  <c r="BG106" s="1"/>
  <c r="AN106"/>
  <c r="BF106" s="1"/>
  <c r="AM106"/>
  <c r="BE106" s="1"/>
  <c r="AL106"/>
  <c r="BD106" s="1"/>
  <c r="AK106"/>
  <c r="BC106" s="1"/>
  <c r="AJ106"/>
  <c r="BB106" s="1"/>
  <c r="AI106"/>
  <c r="BA106" s="1"/>
  <c r="Y106"/>
  <c r="U106"/>
  <c r="AY105"/>
  <c r="AX105"/>
  <c r="AW105"/>
  <c r="AV105"/>
  <c r="AU105"/>
  <c r="AT105"/>
  <c r="AS105"/>
  <c r="AR105"/>
  <c r="AP105"/>
  <c r="BH105" s="1"/>
  <c r="AO105"/>
  <c r="BG105" s="1"/>
  <c r="AN105"/>
  <c r="BF105" s="1"/>
  <c r="AM105"/>
  <c r="BE105" s="1"/>
  <c r="AL105"/>
  <c r="BD105" s="1"/>
  <c r="AK105"/>
  <c r="BC105" s="1"/>
  <c r="AJ105"/>
  <c r="BB105" s="1"/>
  <c r="AI105"/>
  <c r="BA105" s="1"/>
  <c r="Y105"/>
  <c r="U105"/>
  <c r="AY104"/>
  <c r="AX104"/>
  <c r="AW104"/>
  <c r="AV104"/>
  <c r="AU104"/>
  <c r="AT104"/>
  <c r="AS104"/>
  <c r="AR104"/>
  <c r="AP104"/>
  <c r="BH104" s="1"/>
  <c r="AO104"/>
  <c r="BG104" s="1"/>
  <c r="AN104"/>
  <c r="BF104" s="1"/>
  <c r="AM104"/>
  <c r="BE104" s="1"/>
  <c r="AL104"/>
  <c r="BD104" s="1"/>
  <c r="AK104"/>
  <c r="BC104" s="1"/>
  <c r="AJ104"/>
  <c r="BB104" s="1"/>
  <c r="AI104"/>
  <c r="BA104" s="1"/>
  <c r="Y104"/>
  <c r="U104"/>
  <c r="AY102"/>
  <c r="AX102"/>
  <c r="AW102"/>
  <c r="AV102"/>
  <c r="AU102"/>
  <c r="AT102"/>
  <c r="AS102"/>
  <c r="AR102"/>
  <c r="AP102"/>
  <c r="BH102" s="1"/>
  <c r="AO102"/>
  <c r="BG102" s="1"/>
  <c r="AN102"/>
  <c r="BF102" s="1"/>
  <c r="AM102"/>
  <c r="BE102" s="1"/>
  <c r="AL102"/>
  <c r="BD102" s="1"/>
  <c r="AK102"/>
  <c r="BC102" s="1"/>
  <c r="AJ102"/>
  <c r="BB102" s="1"/>
  <c r="AI102"/>
  <c r="BA102" s="1"/>
  <c r="Y102"/>
  <c r="U102"/>
  <c r="AY101"/>
  <c r="AX101"/>
  <c r="BG101" s="1"/>
  <c r="AW101"/>
  <c r="AU101"/>
  <c r="AT101"/>
  <c r="AS101"/>
  <c r="AR101"/>
  <c r="AP101"/>
  <c r="BH101" s="1"/>
  <c r="AO101"/>
  <c r="AN101"/>
  <c r="BF101" s="1"/>
  <c r="AM101"/>
  <c r="BE101" s="1"/>
  <c r="AL101"/>
  <c r="BD101" s="1"/>
  <c r="AK101"/>
  <c r="BC101" s="1"/>
  <c r="AJ101"/>
  <c r="BB101" s="1"/>
  <c r="AI101"/>
  <c r="BA101" s="1"/>
  <c r="Y101"/>
  <c r="U101"/>
  <c r="AY100"/>
  <c r="AX100"/>
  <c r="AW100"/>
  <c r="AV100"/>
  <c r="AU100"/>
  <c r="AT100"/>
  <c r="AS100"/>
  <c r="AR100"/>
  <c r="AP100"/>
  <c r="BH100" s="1"/>
  <c r="AO100"/>
  <c r="BG100" s="1"/>
  <c r="AN100"/>
  <c r="BF100" s="1"/>
  <c r="AM100"/>
  <c r="BE100" s="1"/>
  <c r="AL100"/>
  <c r="BD100" s="1"/>
  <c r="AK100"/>
  <c r="BC100" s="1"/>
  <c r="AJ100"/>
  <c r="BB100" s="1"/>
  <c r="AI100"/>
  <c r="BA100" s="1"/>
  <c r="Y100"/>
  <c r="U100"/>
  <c r="AY99"/>
  <c r="AX99"/>
  <c r="AW99"/>
  <c r="AV99"/>
  <c r="AU99"/>
  <c r="AT99"/>
  <c r="AS99"/>
  <c r="AR99"/>
  <c r="AP99"/>
  <c r="BH99" s="1"/>
  <c r="AO99"/>
  <c r="BG99" s="1"/>
  <c r="AN99"/>
  <c r="BF99" s="1"/>
  <c r="AM99"/>
  <c r="BE99" s="1"/>
  <c r="AL99"/>
  <c r="BD99" s="1"/>
  <c r="AK99"/>
  <c r="BC99" s="1"/>
  <c r="AJ99"/>
  <c r="BB99" s="1"/>
  <c r="AI99"/>
  <c r="BA99" s="1"/>
  <c r="Y99"/>
  <c r="U99"/>
  <c r="AY98"/>
  <c r="AX98"/>
  <c r="AW98"/>
  <c r="AV98"/>
  <c r="AU98"/>
  <c r="AT98"/>
  <c r="AS98"/>
  <c r="AR98"/>
  <c r="AP98"/>
  <c r="BH98" s="1"/>
  <c r="AO98"/>
  <c r="BG98" s="1"/>
  <c r="AN98"/>
  <c r="BF98" s="1"/>
  <c r="AM98"/>
  <c r="BE98" s="1"/>
  <c r="AL98"/>
  <c r="BD98" s="1"/>
  <c r="AK98"/>
  <c r="BC98" s="1"/>
  <c r="AJ98"/>
  <c r="BB98" s="1"/>
  <c r="AI98"/>
  <c r="BA98" s="1"/>
  <c r="Y98"/>
  <c r="U98"/>
  <c r="AY97"/>
  <c r="AX97"/>
  <c r="AW97"/>
  <c r="AV97"/>
  <c r="AU97"/>
  <c r="AT97"/>
  <c r="AS97"/>
  <c r="AR97"/>
  <c r="AP97"/>
  <c r="BH97" s="1"/>
  <c r="AO97"/>
  <c r="BG97" s="1"/>
  <c r="AN97"/>
  <c r="BF97" s="1"/>
  <c r="AM97"/>
  <c r="BE97" s="1"/>
  <c r="AL97"/>
  <c r="BD97" s="1"/>
  <c r="AK97"/>
  <c r="BC97" s="1"/>
  <c r="AJ97"/>
  <c r="BB97" s="1"/>
  <c r="AI97"/>
  <c r="BA97" s="1"/>
  <c r="Y97"/>
  <c r="U97"/>
  <c r="AY96"/>
  <c r="AX96"/>
  <c r="AW96"/>
  <c r="AV96"/>
  <c r="AU96"/>
  <c r="AT96"/>
  <c r="AS96"/>
  <c r="AR96"/>
  <c r="AP96"/>
  <c r="BH96" s="1"/>
  <c r="AO96"/>
  <c r="BG96" s="1"/>
  <c r="AN96"/>
  <c r="BF96" s="1"/>
  <c r="AM96"/>
  <c r="BE96" s="1"/>
  <c r="AL96"/>
  <c r="BD96" s="1"/>
  <c r="AK96"/>
  <c r="BC96" s="1"/>
  <c r="AJ96"/>
  <c r="BB96" s="1"/>
  <c r="AI96"/>
  <c r="BA96" s="1"/>
  <c r="Y96"/>
  <c r="U96"/>
  <c r="AY95"/>
  <c r="AX95"/>
  <c r="AW95"/>
  <c r="AV95"/>
  <c r="AU95"/>
  <c r="AT95"/>
  <c r="AS95"/>
  <c r="AR95"/>
  <c r="AP95"/>
  <c r="BH95" s="1"/>
  <c r="AO95"/>
  <c r="BG95" s="1"/>
  <c r="AN95"/>
  <c r="BF95" s="1"/>
  <c r="AM95"/>
  <c r="BE95" s="1"/>
  <c r="AL95"/>
  <c r="BD95" s="1"/>
  <c r="AK95"/>
  <c r="BC95" s="1"/>
  <c r="AJ95"/>
  <c r="BB95" s="1"/>
  <c r="AI95"/>
  <c r="BA95" s="1"/>
  <c r="Y95"/>
  <c r="U95"/>
  <c r="AY94"/>
  <c r="AX94"/>
  <c r="AW94"/>
  <c r="AV94"/>
  <c r="AU94"/>
  <c r="AT94"/>
  <c r="AR94"/>
  <c r="AP94"/>
  <c r="BH94" s="1"/>
  <c r="AO94"/>
  <c r="BG94" s="1"/>
  <c r="AN94"/>
  <c r="BF94" s="1"/>
  <c r="AM94"/>
  <c r="BE94" s="1"/>
  <c r="AL94"/>
  <c r="BD94" s="1"/>
  <c r="AK94"/>
  <c r="BC94" s="1"/>
  <c r="AI94"/>
  <c r="BA94" s="1"/>
  <c r="AA94"/>
  <c r="AS94" s="1"/>
  <c r="Y94"/>
  <c r="U94"/>
  <c r="AY93"/>
  <c r="AX93"/>
  <c r="AW93"/>
  <c r="AV93"/>
  <c r="AU93"/>
  <c r="AT93"/>
  <c r="AS93"/>
  <c r="AR93"/>
  <c r="AP93"/>
  <c r="BH93" s="1"/>
  <c r="AO93"/>
  <c r="BG93" s="1"/>
  <c r="AN93"/>
  <c r="BF93" s="1"/>
  <c r="AM93"/>
  <c r="BE93" s="1"/>
  <c r="AL93"/>
  <c r="BD93" s="1"/>
  <c r="AK93"/>
  <c r="BC93" s="1"/>
  <c r="AJ93"/>
  <c r="BB93" s="1"/>
  <c r="AI93"/>
  <c r="BA93" s="1"/>
  <c r="Y93"/>
  <c r="U93"/>
  <c r="BA92"/>
  <c r="AY92"/>
  <c r="AX92"/>
  <c r="AW92"/>
  <c r="AV92"/>
  <c r="AU92"/>
  <c r="AT92"/>
  <c r="AS92"/>
  <c r="AR92"/>
  <c r="AP92"/>
  <c r="BH92" s="1"/>
  <c r="AO92"/>
  <c r="BG92" s="1"/>
  <c r="AN92"/>
  <c r="BF92" s="1"/>
  <c r="AM92"/>
  <c r="BE92" s="1"/>
  <c r="AL92"/>
  <c r="BD92" s="1"/>
  <c r="AK92"/>
  <c r="BC92" s="1"/>
  <c r="AJ92"/>
  <c r="BB92" s="1"/>
  <c r="AI92"/>
  <c r="Y92"/>
  <c r="U92"/>
  <c r="AY91"/>
  <c r="AX91"/>
  <c r="AW91"/>
  <c r="AV91"/>
  <c r="AU91"/>
  <c r="AT91"/>
  <c r="AS91"/>
  <c r="AR91"/>
  <c r="AP91"/>
  <c r="BH91" s="1"/>
  <c r="AO91"/>
  <c r="BG91" s="1"/>
  <c r="AN91"/>
  <c r="BF91" s="1"/>
  <c r="AM91"/>
  <c r="BE91" s="1"/>
  <c r="AL91"/>
  <c r="BD91" s="1"/>
  <c r="AK91"/>
  <c r="BC91" s="1"/>
  <c r="AJ91"/>
  <c r="BB91" s="1"/>
  <c r="AI91"/>
  <c r="BA91" s="1"/>
  <c r="Y91"/>
  <c r="U91"/>
  <c r="AY90"/>
  <c r="AX90"/>
  <c r="AW90"/>
  <c r="AV90"/>
  <c r="AU90"/>
  <c r="AT90"/>
  <c r="AS90"/>
  <c r="AR90"/>
  <c r="AP90"/>
  <c r="BH90" s="1"/>
  <c r="AO90"/>
  <c r="BG90" s="1"/>
  <c r="AN90"/>
  <c r="BF90" s="1"/>
  <c r="AM90"/>
  <c r="BE90" s="1"/>
  <c r="AL90"/>
  <c r="BD90" s="1"/>
  <c r="AK90"/>
  <c r="BC90" s="1"/>
  <c r="AJ90"/>
  <c r="BB90" s="1"/>
  <c r="AI90"/>
  <c r="BA90" s="1"/>
  <c r="Y90"/>
  <c r="U90"/>
  <c r="AY89"/>
  <c r="AX89"/>
  <c r="AW89"/>
  <c r="AV89"/>
  <c r="AU89"/>
  <c r="AT89"/>
  <c r="AS89"/>
  <c r="AR89"/>
  <c r="AP89"/>
  <c r="BH89" s="1"/>
  <c r="AO89"/>
  <c r="BG89" s="1"/>
  <c r="AN89"/>
  <c r="BF89" s="1"/>
  <c r="AM89"/>
  <c r="BE89" s="1"/>
  <c r="AL89"/>
  <c r="BD89" s="1"/>
  <c r="AK89"/>
  <c r="BC89" s="1"/>
  <c r="AJ89"/>
  <c r="BB89" s="1"/>
  <c r="AI89"/>
  <c r="BA89" s="1"/>
  <c r="Y89"/>
  <c r="U89"/>
  <c r="AY88"/>
  <c r="AX88"/>
  <c r="AW88"/>
  <c r="AV88"/>
  <c r="AU88"/>
  <c r="AT88"/>
  <c r="AS88"/>
  <c r="AR88"/>
  <c r="AP88"/>
  <c r="BH88" s="1"/>
  <c r="AO88"/>
  <c r="BG88" s="1"/>
  <c r="AN88"/>
  <c r="BF88" s="1"/>
  <c r="AM88"/>
  <c r="BE88" s="1"/>
  <c r="AL88"/>
  <c r="BD88" s="1"/>
  <c r="AK88"/>
  <c r="BC88" s="1"/>
  <c r="AJ88"/>
  <c r="BB88" s="1"/>
  <c r="AI88"/>
  <c r="BA88" s="1"/>
  <c r="Y88"/>
  <c r="U88"/>
  <c r="AY87"/>
  <c r="AX87"/>
  <c r="AW87"/>
  <c r="AV87"/>
  <c r="AU87"/>
  <c r="AT87"/>
  <c r="AS87"/>
  <c r="AR87"/>
  <c r="AP87"/>
  <c r="BH87" s="1"/>
  <c r="AO87"/>
  <c r="BG87" s="1"/>
  <c r="AN87"/>
  <c r="BF87" s="1"/>
  <c r="AM87"/>
  <c r="BE87" s="1"/>
  <c r="AL87"/>
  <c r="BD87" s="1"/>
  <c r="AK87"/>
  <c r="BC87" s="1"/>
  <c r="AJ87"/>
  <c r="BB87" s="1"/>
  <c r="AI87"/>
  <c r="BA87" s="1"/>
  <c r="Y87"/>
  <c r="U87"/>
  <c r="AY85"/>
  <c r="AX85"/>
  <c r="AW85"/>
  <c r="AV85"/>
  <c r="AU85"/>
  <c r="AT85"/>
  <c r="AS85"/>
  <c r="AR85"/>
  <c r="AP85"/>
  <c r="BH85" s="1"/>
  <c r="AO85"/>
  <c r="BG85" s="1"/>
  <c r="AN85"/>
  <c r="BF85" s="1"/>
  <c r="AM85"/>
  <c r="BE85" s="1"/>
  <c r="AL85"/>
  <c r="BD85" s="1"/>
  <c r="AK85"/>
  <c r="BC85" s="1"/>
  <c r="AJ85"/>
  <c r="BB85" s="1"/>
  <c r="AI85"/>
  <c r="BA85" s="1"/>
  <c r="Y85"/>
  <c r="U85"/>
  <c r="BC84"/>
  <c r="AY84"/>
  <c r="AX84"/>
  <c r="BG84" s="1"/>
  <c r="AW84"/>
  <c r="AU84"/>
  <c r="AT84"/>
  <c r="AS84"/>
  <c r="AR84"/>
  <c r="AP84"/>
  <c r="BH84" s="1"/>
  <c r="AO84"/>
  <c r="AN84"/>
  <c r="BF84" s="1"/>
  <c r="AM84"/>
  <c r="BE84" s="1"/>
  <c r="AL84"/>
  <c r="BD84" s="1"/>
  <c r="AK84"/>
  <c r="AJ84"/>
  <c r="BB84" s="1"/>
  <c r="AI84"/>
  <c r="BA84" s="1"/>
  <c r="Y84"/>
  <c r="U84"/>
  <c r="AY83"/>
  <c r="AX83"/>
  <c r="AW83"/>
  <c r="AV83"/>
  <c r="AU83"/>
  <c r="AT83"/>
  <c r="AS83"/>
  <c r="AR83"/>
  <c r="AP83"/>
  <c r="BH83" s="1"/>
  <c r="AO83"/>
  <c r="BG83" s="1"/>
  <c r="AN83"/>
  <c r="BF83" s="1"/>
  <c r="AM83"/>
  <c r="BE83" s="1"/>
  <c r="AL83"/>
  <c r="BD83" s="1"/>
  <c r="AK83"/>
  <c r="BC83" s="1"/>
  <c r="AJ83"/>
  <c r="BB83" s="1"/>
  <c r="AI83"/>
  <c r="BA83" s="1"/>
  <c r="Y83"/>
  <c r="U83"/>
  <c r="AY82"/>
  <c r="AX82"/>
  <c r="AW82"/>
  <c r="AV82"/>
  <c r="AU82"/>
  <c r="AT82"/>
  <c r="AS82"/>
  <c r="AR82"/>
  <c r="AP82"/>
  <c r="BH82" s="1"/>
  <c r="AO82"/>
  <c r="BG82" s="1"/>
  <c r="AN82"/>
  <c r="BF82" s="1"/>
  <c r="AM82"/>
  <c r="BE82" s="1"/>
  <c r="AL82"/>
  <c r="BD82" s="1"/>
  <c r="AK82"/>
  <c r="BC82" s="1"/>
  <c r="AJ82"/>
  <c r="BB82" s="1"/>
  <c r="AI82"/>
  <c r="BA82" s="1"/>
  <c r="Y82"/>
  <c r="U82"/>
  <c r="AY81"/>
  <c r="AX81"/>
  <c r="AW81"/>
  <c r="AV81"/>
  <c r="AU81"/>
  <c r="AT81"/>
  <c r="AS81"/>
  <c r="AR81"/>
  <c r="AP81"/>
  <c r="BH81" s="1"/>
  <c r="AO81"/>
  <c r="BG81" s="1"/>
  <c r="AN81"/>
  <c r="BF81" s="1"/>
  <c r="AM81"/>
  <c r="BE81" s="1"/>
  <c r="AL81"/>
  <c r="BD81" s="1"/>
  <c r="AK81"/>
  <c r="BC81" s="1"/>
  <c r="AJ81"/>
  <c r="BB81" s="1"/>
  <c r="AI81"/>
  <c r="BA81" s="1"/>
  <c r="Y81"/>
  <c r="U81"/>
  <c r="AY80"/>
  <c r="AX80"/>
  <c r="AW80"/>
  <c r="AV80"/>
  <c r="AU80"/>
  <c r="AT80"/>
  <c r="AS80"/>
  <c r="AR80"/>
  <c r="AP80"/>
  <c r="BH80" s="1"/>
  <c r="AO80"/>
  <c r="BG80" s="1"/>
  <c r="AN80"/>
  <c r="BF80" s="1"/>
  <c r="AM80"/>
  <c r="BE80" s="1"/>
  <c r="AL80"/>
  <c r="BD80" s="1"/>
  <c r="AK80"/>
  <c r="BC80" s="1"/>
  <c r="AJ80"/>
  <c r="BB80" s="1"/>
  <c r="AI80"/>
  <c r="BA80" s="1"/>
  <c r="Y80"/>
  <c r="U80"/>
  <c r="AY79"/>
  <c r="AX79"/>
  <c r="AW79"/>
  <c r="AV79"/>
  <c r="AU79"/>
  <c r="AT79"/>
  <c r="AS79"/>
  <c r="AR79"/>
  <c r="AP79"/>
  <c r="BH79" s="1"/>
  <c r="AO79"/>
  <c r="BG79" s="1"/>
  <c r="AN79"/>
  <c r="BF79" s="1"/>
  <c r="AM79"/>
  <c r="BE79" s="1"/>
  <c r="AL79"/>
  <c r="BD79" s="1"/>
  <c r="AK79"/>
  <c r="BC79" s="1"/>
  <c r="AJ79"/>
  <c r="BB79" s="1"/>
  <c r="AI79"/>
  <c r="BA79" s="1"/>
  <c r="Y79"/>
  <c r="U79"/>
  <c r="AY78"/>
  <c r="AX78"/>
  <c r="AW78"/>
  <c r="AV78"/>
  <c r="AU78"/>
  <c r="AT78"/>
  <c r="AS78"/>
  <c r="AR78"/>
  <c r="AP78"/>
  <c r="BH78" s="1"/>
  <c r="AO78"/>
  <c r="BG78" s="1"/>
  <c r="AN78"/>
  <c r="BF78" s="1"/>
  <c r="AM78"/>
  <c r="BE78" s="1"/>
  <c r="AL78"/>
  <c r="BD78" s="1"/>
  <c r="AK78"/>
  <c r="BC78" s="1"/>
  <c r="AJ78"/>
  <c r="BB78" s="1"/>
  <c r="AI78"/>
  <c r="BA78" s="1"/>
  <c r="Y78"/>
  <c r="U78"/>
  <c r="AY77"/>
  <c r="AX77"/>
  <c r="AW77"/>
  <c r="AV77"/>
  <c r="AU77"/>
  <c r="AT77"/>
  <c r="AR77"/>
  <c r="AP77"/>
  <c r="BH77" s="1"/>
  <c r="AO77"/>
  <c r="BG77" s="1"/>
  <c r="AN77"/>
  <c r="BF77" s="1"/>
  <c r="AM77"/>
  <c r="BE77" s="1"/>
  <c r="AL77"/>
  <c r="BD77" s="1"/>
  <c r="AK77"/>
  <c r="BC77" s="1"/>
  <c r="AI77"/>
  <c r="BA77" s="1"/>
  <c r="AA77"/>
  <c r="AS77" s="1"/>
  <c r="Y77"/>
  <c r="U77"/>
  <c r="AY76"/>
  <c r="AX76"/>
  <c r="AW76"/>
  <c r="AV76"/>
  <c r="AU76"/>
  <c r="AT76"/>
  <c r="AS76"/>
  <c r="AR76"/>
  <c r="AP76"/>
  <c r="BH76" s="1"/>
  <c r="AO76"/>
  <c r="BG76" s="1"/>
  <c r="AN76"/>
  <c r="BF76" s="1"/>
  <c r="AM76"/>
  <c r="BE76" s="1"/>
  <c r="AL76"/>
  <c r="BD76" s="1"/>
  <c r="AK76"/>
  <c r="BC76" s="1"/>
  <c r="AJ76"/>
  <c r="BB76" s="1"/>
  <c r="AI76"/>
  <c r="BA76" s="1"/>
  <c r="Y76"/>
  <c r="U76"/>
  <c r="AY75"/>
  <c r="AX75"/>
  <c r="AW75"/>
  <c r="AV75"/>
  <c r="AU75"/>
  <c r="AT75"/>
  <c r="AS75"/>
  <c r="AR75"/>
  <c r="AP75"/>
  <c r="BH75" s="1"/>
  <c r="AO75"/>
  <c r="BG75" s="1"/>
  <c r="AN75"/>
  <c r="BF75" s="1"/>
  <c r="AM75"/>
  <c r="BE75" s="1"/>
  <c r="AL75"/>
  <c r="BD75" s="1"/>
  <c r="AK75"/>
  <c r="BC75" s="1"/>
  <c r="AJ75"/>
  <c r="BB75" s="1"/>
  <c r="AI75"/>
  <c r="BA75" s="1"/>
  <c r="Y75"/>
  <c r="U75"/>
  <c r="AY74"/>
  <c r="AX74"/>
  <c r="AW74"/>
  <c r="AV74"/>
  <c r="AU74"/>
  <c r="AT74"/>
  <c r="AS74"/>
  <c r="AR74"/>
  <c r="AP74"/>
  <c r="BH74" s="1"/>
  <c r="AO74"/>
  <c r="BG74" s="1"/>
  <c r="AN74"/>
  <c r="BF74" s="1"/>
  <c r="AM74"/>
  <c r="BE74" s="1"/>
  <c r="AL74"/>
  <c r="BD74" s="1"/>
  <c r="AK74"/>
  <c r="BC74" s="1"/>
  <c r="AJ74"/>
  <c r="BB74" s="1"/>
  <c r="AI74"/>
  <c r="BA74" s="1"/>
  <c r="Y74"/>
  <c r="U74"/>
  <c r="AY73"/>
  <c r="AX73"/>
  <c r="AW73"/>
  <c r="AV73"/>
  <c r="AU73"/>
  <c r="AT73"/>
  <c r="AS73"/>
  <c r="AR73"/>
  <c r="AP73"/>
  <c r="BH73" s="1"/>
  <c r="AO73"/>
  <c r="BG73" s="1"/>
  <c r="AN73"/>
  <c r="BF73" s="1"/>
  <c r="AM73"/>
  <c r="BE73" s="1"/>
  <c r="AL73"/>
  <c r="BD73" s="1"/>
  <c r="AK73"/>
  <c r="BC73" s="1"/>
  <c r="AJ73"/>
  <c r="BB73" s="1"/>
  <c r="AI73"/>
  <c r="BA73" s="1"/>
  <c r="Y73"/>
  <c r="U73"/>
  <c r="AY72"/>
  <c r="AX72"/>
  <c r="AW72"/>
  <c r="AV72"/>
  <c r="AU72"/>
  <c r="AT72"/>
  <c r="AS72"/>
  <c r="AR72"/>
  <c r="AP72"/>
  <c r="BH72" s="1"/>
  <c r="AO72"/>
  <c r="BG72" s="1"/>
  <c r="AN72"/>
  <c r="BF72" s="1"/>
  <c r="AM72"/>
  <c r="BE72" s="1"/>
  <c r="AL72"/>
  <c r="BD72" s="1"/>
  <c r="AK72"/>
  <c r="BC72" s="1"/>
  <c r="AJ72"/>
  <c r="BB72" s="1"/>
  <c r="AI72"/>
  <c r="BA72" s="1"/>
  <c r="Y72"/>
  <c r="U72"/>
  <c r="AY71"/>
  <c r="AX71"/>
  <c r="AW71"/>
  <c r="AV71"/>
  <c r="AU71"/>
  <c r="AT71"/>
  <c r="AS71"/>
  <c r="AR71"/>
  <c r="AP71"/>
  <c r="BH71" s="1"/>
  <c r="AO71"/>
  <c r="BG71" s="1"/>
  <c r="AN71"/>
  <c r="BF71" s="1"/>
  <c r="AM71"/>
  <c r="BE71" s="1"/>
  <c r="AL71"/>
  <c r="BD71" s="1"/>
  <c r="AK71"/>
  <c r="BC71" s="1"/>
  <c r="AJ71"/>
  <c r="BB71" s="1"/>
  <c r="AI71"/>
  <c r="BA71" s="1"/>
  <c r="Y71"/>
  <c r="U71"/>
  <c r="AY70"/>
  <c r="AX70"/>
  <c r="AW70"/>
  <c r="AV70"/>
  <c r="AU70"/>
  <c r="AT70"/>
  <c r="AS70"/>
  <c r="AR70"/>
  <c r="AP70"/>
  <c r="BH70" s="1"/>
  <c r="AO70"/>
  <c r="BG70" s="1"/>
  <c r="AN70"/>
  <c r="BF70" s="1"/>
  <c r="AM70"/>
  <c r="BE70" s="1"/>
  <c r="AL70"/>
  <c r="BD70" s="1"/>
  <c r="AK70"/>
  <c r="BC70" s="1"/>
  <c r="AJ70"/>
  <c r="BB70" s="1"/>
  <c r="AI70"/>
  <c r="BA70" s="1"/>
  <c r="Y70"/>
  <c r="U70"/>
  <c r="AY68"/>
  <c r="AX68"/>
  <c r="AW68"/>
  <c r="AV68"/>
  <c r="AU68"/>
  <c r="AT68"/>
  <c r="AS68"/>
  <c r="AR68"/>
  <c r="AP68"/>
  <c r="BH68" s="1"/>
  <c r="AO68"/>
  <c r="BG68" s="1"/>
  <c r="AN68"/>
  <c r="BF68" s="1"/>
  <c r="AM68"/>
  <c r="BE68" s="1"/>
  <c r="AL68"/>
  <c r="BD68" s="1"/>
  <c r="AK68"/>
  <c r="BC68" s="1"/>
  <c r="AJ68"/>
  <c r="BB68" s="1"/>
  <c r="AI68"/>
  <c r="BA68" s="1"/>
  <c r="Y68"/>
  <c r="U68"/>
  <c r="BA67"/>
  <c r="AY67"/>
  <c r="AX67"/>
  <c r="AW67"/>
  <c r="AU67"/>
  <c r="AT67"/>
  <c r="AS67"/>
  <c r="AR67"/>
  <c r="AP67"/>
  <c r="BH67" s="1"/>
  <c r="AO67"/>
  <c r="BG67" s="1"/>
  <c r="AN67"/>
  <c r="AM67"/>
  <c r="BE67" s="1"/>
  <c r="AL67"/>
  <c r="BD67" s="1"/>
  <c r="AK67"/>
  <c r="BC67" s="1"/>
  <c r="AJ67"/>
  <c r="BB67" s="1"/>
  <c r="AI67"/>
  <c r="Y67"/>
  <c r="U67"/>
  <c r="AY66"/>
  <c r="AX66"/>
  <c r="AW66"/>
  <c r="AV66"/>
  <c r="AU66"/>
  <c r="AT66"/>
  <c r="AS66"/>
  <c r="AR66"/>
  <c r="AP66"/>
  <c r="BH66" s="1"/>
  <c r="AO66"/>
  <c r="BG66" s="1"/>
  <c r="AN66"/>
  <c r="BF66" s="1"/>
  <c r="AM66"/>
  <c r="BE66" s="1"/>
  <c r="AL66"/>
  <c r="BD66" s="1"/>
  <c r="AK66"/>
  <c r="BC66" s="1"/>
  <c r="AJ66"/>
  <c r="BB66" s="1"/>
  <c r="AI66"/>
  <c r="BA66" s="1"/>
  <c r="Y66"/>
  <c r="U66"/>
  <c r="AY65"/>
  <c r="AX65"/>
  <c r="AW65"/>
  <c r="AV65"/>
  <c r="AU65"/>
  <c r="AT65"/>
  <c r="AS65"/>
  <c r="AR65"/>
  <c r="AP65"/>
  <c r="BH65" s="1"/>
  <c r="AO65"/>
  <c r="BG65" s="1"/>
  <c r="AN65"/>
  <c r="BF65" s="1"/>
  <c r="AM65"/>
  <c r="BE65" s="1"/>
  <c r="AL65"/>
  <c r="BD65" s="1"/>
  <c r="AK65"/>
  <c r="BC65" s="1"/>
  <c r="AJ65"/>
  <c r="BB65" s="1"/>
  <c r="AI65"/>
  <c r="BA65" s="1"/>
  <c r="Y65"/>
  <c r="U65"/>
  <c r="AY64"/>
  <c r="AX64"/>
  <c r="AW64"/>
  <c r="AV64"/>
  <c r="AU64"/>
  <c r="AT64"/>
  <c r="AS64"/>
  <c r="AR64"/>
  <c r="AP64"/>
  <c r="BH64" s="1"/>
  <c r="AO64"/>
  <c r="BG64" s="1"/>
  <c r="AN64"/>
  <c r="BF64" s="1"/>
  <c r="AM64"/>
  <c r="BE64" s="1"/>
  <c r="AL64"/>
  <c r="BD64" s="1"/>
  <c r="AK64"/>
  <c r="BC64" s="1"/>
  <c r="AJ64"/>
  <c r="BB64" s="1"/>
  <c r="AI64"/>
  <c r="BA64" s="1"/>
  <c r="Y64"/>
  <c r="U64"/>
  <c r="AY63"/>
  <c r="AX63"/>
  <c r="AW63"/>
  <c r="AV63"/>
  <c r="AU63"/>
  <c r="AT63"/>
  <c r="AS63"/>
  <c r="AR63"/>
  <c r="AP63"/>
  <c r="BH63" s="1"/>
  <c r="AO63"/>
  <c r="BG63" s="1"/>
  <c r="AN63"/>
  <c r="BF63" s="1"/>
  <c r="AM63"/>
  <c r="BE63" s="1"/>
  <c r="AL63"/>
  <c r="BD63" s="1"/>
  <c r="AK63"/>
  <c r="BC63" s="1"/>
  <c r="AJ63"/>
  <c r="BB63" s="1"/>
  <c r="AI63"/>
  <c r="BA63" s="1"/>
  <c r="Y63"/>
  <c r="U63"/>
  <c r="AY62"/>
  <c r="AX62"/>
  <c r="AW62"/>
  <c r="AV62"/>
  <c r="AU62"/>
  <c r="AT62"/>
  <c r="AS62"/>
  <c r="AR62"/>
  <c r="AP62"/>
  <c r="BH62" s="1"/>
  <c r="AO62"/>
  <c r="BG62" s="1"/>
  <c r="AN62"/>
  <c r="BF62" s="1"/>
  <c r="AM62"/>
  <c r="BE62" s="1"/>
  <c r="AL62"/>
  <c r="BD62" s="1"/>
  <c r="AK62"/>
  <c r="BC62" s="1"/>
  <c r="AJ62"/>
  <c r="BB62" s="1"/>
  <c r="AI62"/>
  <c r="BA62" s="1"/>
  <c r="Y62"/>
  <c r="U62"/>
  <c r="AY61"/>
  <c r="AX61"/>
  <c r="AW61"/>
  <c r="AV61"/>
  <c r="AU61"/>
  <c r="AT61"/>
  <c r="AS61"/>
  <c r="AR61"/>
  <c r="AP61"/>
  <c r="BH61" s="1"/>
  <c r="AO61"/>
  <c r="BG61" s="1"/>
  <c r="AN61"/>
  <c r="BF61" s="1"/>
  <c r="AM61"/>
  <c r="BE61" s="1"/>
  <c r="AL61"/>
  <c r="BD61" s="1"/>
  <c r="AK61"/>
  <c r="BC61" s="1"/>
  <c r="AJ61"/>
  <c r="BB61" s="1"/>
  <c r="AI61"/>
  <c r="BA61" s="1"/>
  <c r="Y61"/>
  <c r="U61"/>
  <c r="AY60"/>
  <c r="AX60"/>
  <c r="AW60"/>
  <c r="AV60"/>
  <c r="AU60"/>
  <c r="AT60"/>
  <c r="AS60"/>
  <c r="AR60"/>
  <c r="AP60"/>
  <c r="BH60" s="1"/>
  <c r="AO60"/>
  <c r="BG60" s="1"/>
  <c r="AN60"/>
  <c r="BF60" s="1"/>
  <c r="AM60"/>
  <c r="BE60" s="1"/>
  <c r="AL60"/>
  <c r="BD60" s="1"/>
  <c r="AK60"/>
  <c r="BC60" s="1"/>
  <c r="AJ60"/>
  <c r="BB60" s="1"/>
  <c r="AI60"/>
  <c r="BA60" s="1"/>
  <c r="AA60"/>
  <c r="Y60"/>
  <c r="U60"/>
  <c r="AY59"/>
  <c r="AX59"/>
  <c r="AW59"/>
  <c r="AV59"/>
  <c r="AU59"/>
  <c r="AT59"/>
  <c r="AS59"/>
  <c r="AR59"/>
  <c r="AP59"/>
  <c r="BH59" s="1"/>
  <c r="AO59"/>
  <c r="BG59" s="1"/>
  <c r="AN59"/>
  <c r="BF59" s="1"/>
  <c r="AM59"/>
  <c r="BE59" s="1"/>
  <c r="AL59"/>
  <c r="BD59" s="1"/>
  <c r="AK59"/>
  <c r="BC59" s="1"/>
  <c r="AJ59"/>
  <c r="BB59" s="1"/>
  <c r="AI59"/>
  <c r="BA59" s="1"/>
  <c r="Y59"/>
  <c r="U59"/>
  <c r="AY58"/>
  <c r="AX58"/>
  <c r="AW58"/>
  <c r="AV58"/>
  <c r="AU58"/>
  <c r="AT58"/>
  <c r="AS58"/>
  <c r="AR58"/>
  <c r="AP58"/>
  <c r="BH58" s="1"/>
  <c r="AO58"/>
  <c r="BG58" s="1"/>
  <c r="AN58"/>
  <c r="BF58" s="1"/>
  <c r="AM58"/>
  <c r="BE58" s="1"/>
  <c r="AL58"/>
  <c r="BD58" s="1"/>
  <c r="AK58"/>
  <c r="BC58" s="1"/>
  <c r="AJ58"/>
  <c r="BB58" s="1"/>
  <c r="AI58"/>
  <c r="BA58" s="1"/>
  <c r="Y58"/>
  <c r="U58"/>
  <c r="AY57"/>
  <c r="AX57"/>
  <c r="AW57"/>
  <c r="AV57"/>
  <c r="AU57"/>
  <c r="AT57"/>
  <c r="AS57"/>
  <c r="AR57"/>
  <c r="AP57"/>
  <c r="BH57" s="1"/>
  <c r="AO57"/>
  <c r="BG57" s="1"/>
  <c r="AN57"/>
  <c r="BF57" s="1"/>
  <c r="AM57"/>
  <c r="BE57" s="1"/>
  <c r="AL57"/>
  <c r="BD57" s="1"/>
  <c r="AK57"/>
  <c r="BC57" s="1"/>
  <c r="AJ57"/>
  <c r="BB57" s="1"/>
  <c r="AI57"/>
  <c r="BA57" s="1"/>
  <c r="Y57"/>
  <c r="U57"/>
  <c r="AY56"/>
  <c r="AX56"/>
  <c r="AW56"/>
  <c r="AV56"/>
  <c r="AU56"/>
  <c r="AT56"/>
  <c r="AS56"/>
  <c r="AR56"/>
  <c r="AP56"/>
  <c r="BH56" s="1"/>
  <c r="AO56"/>
  <c r="BG56" s="1"/>
  <c r="AN56"/>
  <c r="BF56" s="1"/>
  <c r="AM56"/>
  <c r="BE56" s="1"/>
  <c r="AL56"/>
  <c r="BD56" s="1"/>
  <c r="AK56"/>
  <c r="BC56" s="1"/>
  <c r="AJ56"/>
  <c r="BB56" s="1"/>
  <c r="AI56"/>
  <c r="BA56" s="1"/>
  <c r="Y56"/>
  <c r="U56"/>
  <c r="AY55"/>
  <c r="AX55"/>
  <c r="AW55"/>
  <c r="AV55"/>
  <c r="AU55"/>
  <c r="AT55"/>
  <c r="AS55"/>
  <c r="AR55"/>
  <c r="AP55"/>
  <c r="BH55" s="1"/>
  <c r="AO55"/>
  <c r="BG55" s="1"/>
  <c r="AN55"/>
  <c r="BF55" s="1"/>
  <c r="AM55"/>
  <c r="BE55" s="1"/>
  <c r="AL55"/>
  <c r="BD55" s="1"/>
  <c r="AK55"/>
  <c r="BC55" s="1"/>
  <c r="AJ55"/>
  <c r="BB55" s="1"/>
  <c r="AI55"/>
  <c r="BA55" s="1"/>
  <c r="Y55"/>
  <c r="U55"/>
  <c r="AY54"/>
  <c r="AX54"/>
  <c r="AW54"/>
  <c r="AV54"/>
  <c r="AU54"/>
  <c r="AT54"/>
  <c r="AS54"/>
  <c r="AR54"/>
  <c r="AP54"/>
  <c r="BH54" s="1"/>
  <c r="AO54"/>
  <c r="BG54" s="1"/>
  <c r="AN54"/>
  <c r="BF54" s="1"/>
  <c r="AM54"/>
  <c r="BE54" s="1"/>
  <c r="AL54"/>
  <c r="BD54" s="1"/>
  <c r="AK54"/>
  <c r="BC54" s="1"/>
  <c r="AJ54"/>
  <c r="BB54" s="1"/>
  <c r="AI54"/>
  <c r="BA54" s="1"/>
  <c r="Y54"/>
  <c r="U54"/>
  <c r="AY53"/>
  <c r="AX53"/>
  <c r="AW53"/>
  <c r="AV53"/>
  <c r="AU53"/>
  <c r="AT53"/>
  <c r="AS53"/>
  <c r="AR53"/>
  <c r="AP53"/>
  <c r="BH53" s="1"/>
  <c r="AO53"/>
  <c r="BG53" s="1"/>
  <c r="AN53"/>
  <c r="BF53" s="1"/>
  <c r="AM53"/>
  <c r="BE53" s="1"/>
  <c r="AL53"/>
  <c r="BD53" s="1"/>
  <c r="AK53"/>
  <c r="BC53" s="1"/>
  <c r="AJ53"/>
  <c r="BB53" s="1"/>
  <c r="AI53"/>
  <c r="BA53" s="1"/>
  <c r="Y53"/>
  <c r="U53"/>
  <c r="AY51"/>
  <c r="AX51"/>
  <c r="AW51"/>
  <c r="AV51"/>
  <c r="AU51"/>
  <c r="AT51"/>
  <c r="AS51"/>
  <c r="AR51"/>
  <c r="AP51"/>
  <c r="BH51" s="1"/>
  <c r="AO51"/>
  <c r="BG51" s="1"/>
  <c r="AN51"/>
  <c r="BF51" s="1"/>
  <c r="AM51"/>
  <c r="BE51" s="1"/>
  <c r="AL51"/>
  <c r="BD51" s="1"/>
  <c r="AK51"/>
  <c r="BC51" s="1"/>
  <c r="AJ51"/>
  <c r="BB51" s="1"/>
  <c r="AI51"/>
  <c r="BA51" s="1"/>
  <c r="Y51"/>
  <c r="U51"/>
  <c r="AY50"/>
  <c r="AX50"/>
  <c r="AW50"/>
  <c r="BF50" s="1"/>
  <c r="AU50"/>
  <c r="AT50"/>
  <c r="AS50"/>
  <c r="AR50"/>
  <c r="AP50"/>
  <c r="BH50" s="1"/>
  <c r="AO50"/>
  <c r="BG50" s="1"/>
  <c r="AN50"/>
  <c r="AM50"/>
  <c r="BE50" s="1"/>
  <c r="AL50"/>
  <c r="BD50" s="1"/>
  <c r="AK50"/>
  <c r="BC50" s="1"/>
  <c r="AJ50"/>
  <c r="BB50" s="1"/>
  <c r="AI50"/>
  <c r="BA50" s="1"/>
  <c r="Y50"/>
  <c r="U50"/>
  <c r="AY49"/>
  <c r="AX49"/>
  <c r="AW49"/>
  <c r="AV49"/>
  <c r="AU49"/>
  <c r="AT49"/>
  <c r="AS49"/>
  <c r="AR49"/>
  <c r="AP49"/>
  <c r="BH49" s="1"/>
  <c r="AO49"/>
  <c r="BG49" s="1"/>
  <c r="AN49"/>
  <c r="BF49" s="1"/>
  <c r="AM49"/>
  <c r="BE49" s="1"/>
  <c r="AL49"/>
  <c r="BD49" s="1"/>
  <c r="AK49"/>
  <c r="BC49" s="1"/>
  <c r="AJ49"/>
  <c r="BB49" s="1"/>
  <c r="AI49"/>
  <c r="BA49" s="1"/>
  <c r="Y49"/>
  <c r="U49"/>
  <c r="AY48"/>
  <c r="AX48"/>
  <c r="AW48"/>
  <c r="AV48"/>
  <c r="AU48"/>
  <c r="AT48"/>
  <c r="AS48"/>
  <c r="AR48"/>
  <c r="AP48"/>
  <c r="BH48" s="1"/>
  <c r="AO48"/>
  <c r="BG48" s="1"/>
  <c r="AN48"/>
  <c r="BF48" s="1"/>
  <c r="AM48"/>
  <c r="BE48" s="1"/>
  <c r="AL48"/>
  <c r="BD48" s="1"/>
  <c r="AK48"/>
  <c r="BC48" s="1"/>
  <c r="AJ48"/>
  <c r="BB48" s="1"/>
  <c r="AI48"/>
  <c r="BA48" s="1"/>
  <c r="Y48"/>
  <c r="U48"/>
  <c r="AY47"/>
  <c r="AX47"/>
  <c r="AW47"/>
  <c r="AV47"/>
  <c r="AU47"/>
  <c r="AT47"/>
  <c r="AS47"/>
  <c r="AR47"/>
  <c r="AP47"/>
  <c r="BH47" s="1"/>
  <c r="AO47"/>
  <c r="BG47" s="1"/>
  <c r="AN47"/>
  <c r="BF47" s="1"/>
  <c r="AM47"/>
  <c r="BE47" s="1"/>
  <c r="AL47"/>
  <c r="BD47" s="1"/>
  <c r="AK47"/>
  <c r="BC47" s="1"/>
  <c r="AJ47"/>
  <c r="BB47" s="1"/>
  <c r="AI47"/>
  <c r="BA47" s="1"/>
  <c r="Y47"/>
  <c r="U47"/>
  <c r="AY46"/>
  <c r="AX46"/>
  <c r="AW46"/>
  <c r="AV46"/>
  <c r="AU46"/>
  <c r="AT46"/>
  <c r="AS46"/>
  <c r="AR46"/>
  <c r="AP46"/>
  <c r="BH46" s="1"/>
  <c r="AO46"/>
  <c r="BG46" s="1"/>
  <c r="AN46"/>
  <c r="BF46" s="1"/>
  <c r="AM46"/>
  <c r="BE46" s="1"/>
  <c r="AL46"/>
  <c r="BD46" s="1"/>
  <c r="AK46"/>
  <c r="BC46" s="1"/>
  <c r="AJ46"/>
  <c r="BB46" s="1"/>
  <c r="AI46"/>
  <c r="BA46" s="1"/>
  <c r="Y46"/>
  <c r="U46"/>
  <c r="AY45"/>
  <c r="AX45"/>
  <c r="AW45"/>
  <c r="AV45"/>
  <c r="AU45"/>
  <c r="AT45"/>
  <c r="AS45"/>
  <c r="AR45"/>
  <c r="AP45"/>
  <c r="BH45" s="1"/>
  <c r="AO45"/>
  <c r="BG45" s="1"/>
  <c r="AN45"/>
  <c r="BF45" s="1"/>
  <c r="AM45"/>
  <c r="BE45" s="1"/>
  <c r="AL45"/>
  <c r="BD45" s="1"/>
  <c r="AK45"/>
  <c r="BC45" s="1"/>
  <c r="AJ45"/>
  <c r="BB45" s="1"/>
  <c r="AI45"/>
  <c r="BA45" s="1"/>
  <c r="Y45"/>
  <c r="U45"/>
  <c r="AY44"/>
  <c r="AX44"/>
  <c r="AW44"/>
  <c r="AV44"/>
  <c r="AU44"/>
  <c r="AT44"/>
  <c r="AS44"/>
  <c r="AR44"/>
  <c r="AP44"/>
  <c r="BH44" s="1"/>
  <c r="AO44"/>
  <c r="BG44" s="1"/>
  <c r="AN44"/>
  <c r="BF44" s="1"/>
  <c r="AM44"/>
  <c r="BE44" s="1"/>
  <c r="AL44"/>
  <c r="BD44" s="1"/>
  <c r="AK44"/>
  <c r="BC44" s="1"/>
  <c r="AJ44"/>
  <c r="BB44" s="1"/>
  <c r="AI44"/>
  <c r="BA44" s="1"/>
  <c r="Y44"/>
  <c r="U44"/>
  <c r="AY43"/>
  <c r="AX43"/>
  <c r="AW43"/>
  <c r="AV43"/>
  <c r="AU43"/>
  <c r="AT43"/>
  <c r="AS43"/>
  <c r="AR43"/>
  <c r="AP43"/>
  <c r="BH43" s="1"/>
  <c r="AO43"/>
  <c r="BG43" s="1"/>
  <c r="AN43"/>
  <c r="BF43" s="1"/>
  <c r="AM43"/>
  <c r="BE43" s="1"/>
  <c r="AL43"/>
  <c r="BD43" s="1"/>
  <c r="AK43"/>
  <c r="BC43" s="1"/>
  <c r="AJ43"/>
  <c r="BB43" s="1"/>
  <c r="AI43"/>
  <c r="BA43" s="1"/>
  <c r="AA43"/>
  <c r="Y43"/>
  <c r="U43"/>
  <c r="AY42"/>
  <c r="AX42"/>
  <c r="AW42"/>
  <c r="AV42"/>
  <c r="AU42"/>
  <c r="AT42"/>
  <c r="AS42"/>
  <c r="AR42"/>
  <c r="AP42"/>
  <c r="BH42" s="1"/>
  <c r="AO42"/>
  <c r="BG42" s="1"/>
  <c r="AN42"/>
  <c r="BF42" s="1"/>
  <c r="AM42"/>
  <c r="BE42" s="1"/>
  <c r="AL42"/>
  <c r="BD42" s="1"/>
  <c r="AK42"/>
  <c r="BC42" s="1"/>
  <c r="AJ42"/>
  <c r="BB42" s="1"/>
  <c r="AI42"/>
  <c r="BA42" s="1"/>
  <c r="Y42"/>
  <c r="U42"/>
  <c r="AY41"/>
  <c r="AX41"/>
  <c r="AW41"/>
  <c r="AV41"/>
  <c r="AU41"/>
  <c r="AT41"/>
  <c r="AS41"/>
  <c r="AR41"/>
  <c r="AP41"/>
  <c r="BH41" s="1"/>
  <c r="AO41"/>
  <c r="BG41" s="1"/>
  <c r="AN41"/>
  <c r="BF41" s="1"/>
  <c r="AM41"/>
  <c r="BE41" s="1"/>
  <c r="AL41"/>
  <c r="BD41" s="1"/>
  <c r="AK41"/>
  <c r="BC41" s="1"/>
  <c r="AJ41"/>
  <c r="BB41" s="1"/>
  <c r="AI41"/>
  <c r="BA41" s="1"/>
  <c r="Y41"/>
  <c r="U41"/>
  <c r="AY40"/>
  <c r="AX40"/>
  <c r="AW40"/>
  <c r="AV40"/>
  <c r="AU40"/>
  <c r="AT40"/>
  <c r="AS40"/>
  <c r="AR40"/>
  <c r="AP40"/>
  <c r="BH40" s="1"/>
  <c r="AO40"/>
  <c r="BG40" s="1"/>
  <c r="AN40"/>
  <c r="BF40" s="1"/>
  <c r="AM40"/>
  <c r="BE40" s="1"/>
  <c r="AL40"/>
  <c r="BD40" s="1"/>
  <c r="AK40"/>
  <c r="BC40" s="1"/>
  <c r="AJ40"/>
  <c r="BB40" s="1"/>
  <c r="AI40"/>
  <c r="BA40" s="1"/>
  <c r="Y40"/>
  <c r="U40"/>
  <c r="AY39"/>
  <c r="AX39"/>
  <c r="AW39"/>
  <c r="AV39"/>
  <c r="AU39"/>
  <c r="AT39"/>
  <c r="AS39"/>
  <c r="AR39"/>
  <c r="AP39"/>
  <c r="BH39" s="1"/>
  <c r="AO39"/>
  <c r="BG39" s="1"/>
  <c r="AN39"/>
  <c r="BF39" s="1"/>
  <c r="AM39"/>
  <c r="BE39" s="1"/>
  <c r="AL39"/>
  <c r="BD39" s="1"/>
  <c r="AK39"/>
  <c r="BC39" s="1"/>
  <c r="AJ39"/>
  <c r="BB39" s="1"/>
  <c r="AI39"/>
  <c r="BA39" s="1"/>
  <c r="Y39"/>
  <c r="U39"/>
  <c r="BD38"/>
  <c r="AY38"/>
  <c r="AX38"/>
  <c r="AW38"/>
  <c r="AV38"/>
  <c r="AU38"/>
  <c r="AT38"/>
  <c r="AS38"/>
  <c r="AR38"/>
  <c r="AP38"/>
  <c r="BH38" s="1"/>
  <c r="AO38"/>
  <c r="BG38" s="1"/>
  <c r="AN38"/>
  <c r="BF38" s="1"/>
  <c r="AM38"/>
  <c r="BE38" s="1"/>
  <c r="AL38"/>
  <c r="AK38"/>
  <c r="BC38" s="1"/>
  <c r="AJ38"/>
  <c r="BB38" s="1"/>
  <c r="AI38"/>
  <c r="BA38" s="1"/>
  <c r="Y38"/>
  <c r="U38"/>
  <c r="AY37"/>
  <c r="AX37"/>
  <c r="AW37"/>
  <c r="AV37"/>
  <c r="AU37"/>
  <c r="AT37"/>
  <c r="AS37"/>
  <c r="AR37"/>
  <c r="AP37"/>
  <c r="BH37" s="1"/>
  <c r="AO37"/>
  <c r="BG37" s="1"/>
  <c r="AN37"/>
  <c r="BF37" s="1"/>
  <c r="AM37"/>
  <c r="BE37" s="1"/>
  <c r="AL37"/>
  <c r="BD37" s="1"/>
  <c r="AK37"/>
  <c r="BC37" s="1"/>
  <c r="AJ37"/>
  <c r="BB37" s="1"/>
  <c r="AI37"/>
  <c r="BA37" s="1"/>
  <c r="Y37"/>
  <c r="U37"/>
  <c r="AY36"/>
  <c r="AX36"/>
  <c r="AW36"/>
  <c r="AV36"/>
  <c r="AU36"/>
  <c r="AT36"/>
  <c r="AS36"/>
  <c r="AR36"/>
  <c r="AP36"/>
  <c r="BH36" s="1"/>
  <c r="AO36"/>
  <c r="BG36" s="1"/>
  <c r="AN36"/>
  <c r="BF36" s="1"/>
  <c r="AM36"/>
  <c r="BE36" s="1"/>
  <c r="AL36"/>
  <c r="BD36" s="1"/>
  <c r="AK36"/>
  <c r="BC36" s="1"/>
  <c r="AJ36"/>
  <c r="BB36" s="1"/>
  <c r="AI36"/>
  <c r="BA36" s="1"/>
  <c r="Y36"/>
  <c r="U36"/>
  <c r="AY34"/>
  <c r="AX34"/>
  <c r="AW34"/>
  <c r="AV34"/>
  <c r="AU34"/>
  <c r="AT34"/>
  <c r="AS34"/>
  <c r="AR34"/>
  <c r="AP34"/>
  <c r="BH34" s="1"/>
  <c r="AO34"/>
  <c r="BG34" s="1"/>
  <c r="AN34"/>
  <c r="BF34" s="1"/>
  <c r="AM34"/>
  <c r="BE34" s="1"/>
  <c r="AL34"/>
  <c r="BD34" s="1"/>
  <c r="AK34"/>
  <c r="BC34" s="1"/>
  <c r="AJ34"/>
  <c r="BB34" s="1"/>
  <c r="AI34"/>
  <c r="BA34" s="1"/>
  <c r="Y34"/>
  <c r="U34"/>
  <c r="AY33"/>
  <c r="AX33"/>
  <c r="AW33"/>
  <c r="AU33"/>
  <c r="AT33"/>
  <c r="AS33"/>
  <c r="AR33"/>
  <c r="AP33"/>
  <c r="BH33" s="1"/>
  <c r="AO33"/>
  <c r="BG33" s="1"/>
  <c r="AN33"/>
  <c r="AM33"/>
  <c r="BE33" s="1"/>
  <c r="AL33"/>
  <c r="BD33" s="1"/>
  <c r="AK33"/>
  <c r="BC33" s="1"/>
  <c r="AJ33"/>
  <c r="BB33" s="1"/>
  <c r="AI33"/>
  <c r="BA33" s="1"/>
  <c r="Y33"/>
  <c r="U33"/>
  <c r="AY32"/>
  <c r="AX32"/>
  <c r="AW32"/>
  <c r="AV32"/>
  <c r="AU32"/>
  <c r="AT32"/>
  <c r="AS32"/>
  <c r="AR32"/>
  <c r="AP32"/>
  <c r="BH32" s="1"/>
  <c r="AO32"/>
  <c r="BG32" s="1"/>
  <c r="AN32"/>
  <c r="BF32" s="1"/>
  <c r="AM32"/>
  <c r="BE32" s="1"/>
  <c r="AL32"/>
  <c r="BD32" s="1"/>
  <c r="AK32"/>
  <c r="BC32" s="1"/>
  <c r="AJ32"/>
  <c r="BB32" s="1"/>
  <c r="AI32"/>
  <c r="BA32" s="1"/>
  <c r="Y32"/>
  <c r="U32"/>
  <c r="AY31"/>
  <c r="AX31"/>
  <c r="AW31"/>
  <c r="AV31"/>
  <c r="AU31"/>
  <c r="AT31"/>
  <c r="AS31"/>
  <c r="AR31"/>
  <c r="AP31"/>
  <c r="BH31" s="1"/>
  <c r="AO31"/>
  <c r="BG31" s="1"/>
  <c r="AN31"/>
  <c r="BF31" s="1"/>
  <c r="AM31"/>
  <c r="BE31" s="1"/>
  <c r="AL31"/>
  <c r="BD31" s="1"/>
  <c r="AK31"/>
  <c r="BC31" s="1"/>
  <c r="AJ31"/>
  <c r="BB31" s="1"/>
  <c r="AI31"/>
  <c r="BA31" s="1"/>
  <c r="Y31"/>
  <c r="U31"/>
  <c r="AY30"/>
  <c r="AX30"/>
  <c r="AW30"/>
  <c r="AV30"/>
  <c r="AU30"/>
  <c r="AT30"/>
  <c r="AS30"/>
  <c r="AR30"/>
  <c r="AP30"/>
  <c r="BH30" s="1"/>
  <c r="AO30"/>
  <c r="BG30" s="1"/>
  <c r="AN30"/>
  <c r="BF30" s="1"/>
  <c r="AM30"/>
  <c r="BE30" s="1"/>
  <c r="AL30"/>
  <c r="BD30" s="1"/>
  <c r="AK30"/>
  <c r="BC30" s="1"/>
  <c r="AJ30"/>
  <c r="BB30" s="1"/>
  <c r="AI30"/>
  <c r="BA30" s="1"/>
  <c r="Y30"/>
  <c r="U30"/>
  <c r="AY29"/>
  <c r="AX29"/>
  <c r="AW29"/>
  <c r="AV29"/>
  <c r="AU29"/>
  <c r="AT29"/>
  <c r="AS29"/>
  <c r="AR29"/>
  <c r="AP29"/>
  <c r="BH29" s="1"/>
  <c r="AO29"/>
  <c r="BG29" s="1"/>
  <c r="AN29"/>
  <c r="BF29" s="1"/>
  <c r="AM29"/>
  <c r="BE29" s="1"/>
  <c r="AL29"/>
  <c r="BD29" s="1"/>
  <c r="AK29"/>
  <c r="BC29" s="1"/>
  <c r="AJ29"/>
  <c r="BB29" s="1"/>
  <c r="AI29"/>
  <c r="BA29" s="1"/>
  <c r="Y29"/>
  <c r="U29"/>
  <c r="AY28"/>
  <c r="AX28"/>
  <c r="AW28"/>
  <c r="AV28"/>
  <c r="AU28"/>
  <c r="AT28"/>
  <c r="AS28"/>
  <c r="AR28"/>
  <c r="AP28"/>
  <c r="BH28" s="1"/>
  <c r="AO28"/>
  <c r="BG28" s="1"/>
  <c r="AN28"/>
  <c r="BF28" s="1"/>
  <c r="AM28"/>
  <c r="BE28" s="1"/>
  <c r="AL28"/>
  <c r="BD28" s="1"/>
  <c r="AK28"/>
  <c r="BC28" s="1"/>
  <c r="AJ28"/>
  <c r="BB28" s="1"/>
  <c r="AI28"/>
  <c r="BA28" s="1"/>
  <c r="Y28"/>
  <c r="U28"/>
  <c r="AY27"/>
  <c r="AX27"/>
  <c r="AW27"/>
  <c r="AV27"/>
  <c r="AU27"/>
  <c r="AT27"/>
  <c r="AS27"/>
  <c r="AR27"/>
  <c r="AP27"/>
  <c r="BH27" s="1"/>
  <c r="AO27"/>
  <c r="BG27" s="1"/>
  <c r="AN27"/>
  <c r="BF27" s="1"/>
  <c r="AM27"/>
  <c r="BE27" s="1"/>
  <c r="AL27"/>
  <c r="BD27" s="1"/>
  <c r="AK27"/>
  <c r="BC27" s="1"/>
  <c r="AJ27"/>
  <c r="BB27" s="1"/>
  <c r="AI27"/>
  <c r="BA27" s="1"/>
  <c r="Y27"/>
  <c r="U27"/>
  <c r="AY26"/>
  <c r="AX26"/>
  <c r="AW26"/>
  <c r="AV26"/>
  <c r="AU26"/>
  <c r="AT26"/>
  <c r="AS26"/>
  <c r="AR26"/>
  <c r="AP26"/>
  <c r="BH26" s="1"/>
  <c r="AO26"/>
  <c r="BG26" s="1"/>
  <c r="AN26"/>
  <c r="BF26" s="1"/>
  <c r="AM26"/>
  <c r="BE26" s="1"/>
  <c r="AL26"/>
  <c r="BD26" s="1"/>
  <c r="AK26"/>
  <c r="BC26" s="1"/>
  <c r="AJ26"/>
  <c r="BB26" s="1"/>
  <c r="AI26"/>
  <c r="BA26" s="1"/>
  <c r="AA26"/>
  <c r="Y26"/>
  <c r="U26"/>
  <c r="AY25"/>
  <c r="AX25"/>
  <c r="AW25"/>
  <c r="AV25"/>
  <c r="AU25"/>
  <c r="AT25"/>
  <c r="AS25"/>
  <c r="AR25"/>
  <c r="AP25"/>
  <c r="BH25" s="1"/>
  <c r="AO25"/>
  <c r="BG25" s="1"/>
  <c r="AN25"/>
  <c r="BF25" s="1"/>
  <c r="AM25"/>
  <c r="BE25" s="1"/>
  <c r="AL25"/>
  <c r="BD25" s="1"/>
  <c r="AK25"/>
  <c r="BC25" s="1"/>
  <c r="AJ25"/>
  <c r="BB25" s="1"/>
  <c r="AI25"/>
  <c r="BA25" s="1"/>
  <c r="Y25"/>
  <c r="U25"/>
  <c r="AY24"/>
  <c r="AX24"/>
  <c r="AW24"/>
  <c r="AV24"/>
  <c r="AU24"/>
  <c r="AT24"/>
  <c r="AS24"/>
  <c r="AR24"/>
  <c r="AP24"/>
  <c r="BH24" s="1"/>
  <c r="AO24"/>
  <c r="BG24" s="1"/>
  <c r="AN24"/>
  <c r="BF24" s="1"/>
  <c r="AM24"/>
  <c r="BE24" s="1"/>
  <c r="AL24"/>
  <c r="BD24" s="1"/>
  <c r="AK24"/>
  <c r="BC24" s="1"/>
  <c r="AJ24"/>
  <c r="BB24" s="1"/>
  <c r="AI24"/>
  <c r="BA24" s="1"/>
  <c r="Y24"/>
  <c r="U24"/>
  <c r="AY23"/>
  <c r="AX23"/>
  <c r="AW23"/>
  <c r="AV23"/>
  <c r="AU23"/>
  <c r="AT23"/>
  <c r="AS23"/>
  <c r="AR23"/>
  <c r="AP23"/>
  <c r="BH23" s="1"/>
  <c r="AO23"/>
  <c r="BG23" s="1"/>
  <c r="AN23"/>
  <c r="BF23" s="1"/>
  <c r="AM23"/>
  <c r="BE23" s="1"/>
  <c r="AL23"/>
  <c r="BD23" s="1"/>
  <c r="AK23"/>
  <c r="BC23" s="1"/>
  <c r="AJ23"/>
  <c r="BB23" s="1"/>
  <c r="AI23"/>
  <c r="BA23" s="1"/>
  <c r="Y23"/>
  <c r="U23"/>
  <c r="AY22"/>
  <c r="AX22"/>
  <c r="AW22"/>
  <c r="AV22"/>
  <c r="AU22"/>
  <c r="AT22"/>
  <c r="AS22"/>
  <c r="AR22"/>
  <c r="AP22"/>
  <c r="BH22" s="1"/>
  <c r="AO22"/>
  <c r="BG22" s="1"/>
  <c r="AN22"/>
  <c r="BF22" s="1"/>
  <c r="AM22"/>
  <c r="BE22" s="1"/>
  <c r="AL22"/>
  <c r="BD22" s="1"/>
  <c r="AK22"/>
  <c r="BC22" s="1"/>
  <c r="AJ22"/>
  <c r="BB22" s="1"/>
  <c r="AI22"/>
  <c r="BA22" s="1"/>
  <c r="Y22"/>
  <c r="U22"/>
  <c r="AY21"/>
  <c r="AX21"/>
  <c r="AW21"/>
  <c r="AV21"/>
  <c r="AU21"/>
  <c r="AT21"/>
  <c r="AS21"/>
  <c r="AR21"/>
  <c r="AP21"/>
  <c r="BH21" s="1"/>
  <c r="AO21"/>
  <c r="BG21" s="1"/>
  <c r="AN21"/>
  <c r="BF21" s="1"/>
  <c r="AM21"/>
  <c r="BE21" s="1"/>
  <c r="AL21"/>
  <c r="BD21" s="1"/>
  <c r="AK21"/>
  <c r="BC21" s="1"/>
  <c r="AJ21"/>
  <c r="BB21" s="1"/>
  <c r="AI21"/>
  <c r="BA21" s="1"/>
  <c r="Y21"/>
  <c r="U21"/>
  <c r="AY20"/>
  <c r="AX20"/>
  <c r="AW20"/>
  <c r="AV20"/>
  <c r="AU20"/>
  <c r="AT20"/>
  <c r="AS20"/>
  <c r="AR20"/>
  <c r="AP20"/>
  <c r="BH20" s="1"/>
  <c r="AO20"/>
  <c r="BG20" s="1"/>
  <c r="AN20"/>
  <c r="BF20" s="1"/>
  <c r="AM20"/>
  <c r="BE20" s="1"/>
  <c r="AL20"/>
  <c r="BD20" s="1"/>
  <c r="AK20"/>
  <c r="BC20" s="1"/>
  <c r="AJ20"/>
  <c r="BB20" s="1"/>
  <c r="AI20"/>
  <c r="BA20" s="1"/>
  <c r="Y20"/>
  <c r="U20"/>
  <c r="AY19"/>
  <c r="AX19"/>
  <c r="AW19"/>
  <c r="AV19"/>
  <c r="AU19"/>
  <c r="AT19"/>
  <c r="AS19"/>
  <c r="AR19"/>
  <c r="AP19"/>
  <c r="BH19" s="1"/>
  <c r="AO19"/>
  <c r="BG19" s="1"/>
  <c r="AN19"/>
  <c r="BF19" s="1"/>
  <c r="AM19"/>
  <c r="BE19" s="1"/>
  <c r="AL19"/>
  <c r="BD19" s="1"/>
  <c r="AK19"/>
  <c r="BC19" s="1"/>
  <c r="AJ19"/>
  <c r="BB19" s="1"/>
  <c r="AI19"/>
  <c r="BA19" s="1"/>
  <c r="Y19"/>
  <c r="U19"/>
  <c r="AY17"/>
  <c r="AX17"/>
  <c r="AW17"/>
  <c r="AV17"/>
  <c r="AU17"/>
  <c r="AT17"/>
  <c r="AS17"/>
  <c r="AR17"/>
  <c r="AP17"/>
  <c r="BH17" s="1"/>
  <c r="AO17"/>
  <c r="BG17" s="1"/>
  <c r="AN17"/>
  <c r="BF17" s="1"/>
  <c r="AM17"/>
  <c r="BE17" s="1"/>
  <c r="AL17"/>
  <c r="BD17" s="1"/>
  <c r="AK17"/>
  <c r="BC17" s="1"/>
  <c r="AJ17"/>
  <c r="BB17" s="1"/>
  <c r="AI17"/>
  <c r="BA17" s="1"/>
  <c r="Y17"/>
  <c r="U17"/>
  <c r="AY16"/>
  <c r="BH16" s="1"/>
  <c r="AX16"/>
  <c r="AW16"/>
  <c r="AU16"/>
  <c r="AT16"/>
  <c r="AS16"/>
  <c r="AR16"/>
  <c r="AP16"/>
  <c r="AO16"/>
  <c r="BG16" s="1"/>
  <c r="AN16"/>
  <c r="BF16" s="1"/>
  <c r="AM16"/>
  <c r="BE16" s="1"/>
  <c r="AL16"/>
  <c r="BD16" s="1"/>
  <c r="AK16"/>
  <c r="BC16" s="1"/>
  <c r="AJ16"/>
  <c r="BB16" s="1"/>
  <c r="AI16"/>
  <c r="BA16" s="1"/>
  <c r="Y16"/>
  <c r="U16"/>
  <c r="AY15"/>
  <c r="AX15"/>
  <c r="AW15"/>
  <c r="AV15"/>
  <c r="AU15"/>
  <c r="AT15"/>
  <c r="AS15"/>
  <c r="AR15"/>
  <c r="AP15"/>
  <c r="BH15" s="1"/>
  <c r="AO15"/>
  <c r="BG15" s="1"/>
  <c r="AN15"/>
  <c r="BF15" s="1"/>
  <c r="AM15"/>
  <c r="BE15" s="1"/>
  <c r="AL15"/>
  <c r="BD15" s="1"/>
  <c r="AK15"/>
  <c r="BC15" s="1"/>
  <c r="AJ15"/>
  <c r="BB15" s="1"/>
  <c r="AI15"/>
  <c r="BA15" s="1"/>
  <c r="Y15"/>
  <c r="U15"/>
  <c r="AY14"/>
  <c r="AX14"/>
  <c r="AW14"/>
  <c r="AV14"/>
  <c r="AU14"/>
  <c r="AT14"/>
  <c r="AS14"/>
  <c r="AR14"/>
  <c r="AP14"/>
  <c r="BH14" s="1"/>
  <c r="AO14"/>
  <c r="BG14" s="1"/>
  <c r="AN14"/>
  <c r="BF14" s="1"/>
  <c r="AM14"/>
  <c r="BE14" s="1"/>
  <c r="AL14"/>
  <c r="BD14" s="1"/>
  <c r="AK14"/>
  <c r="BC14" s="1"/>
  <c r="AJ14"/>
  <c r="BB14" s="1"/>
  <c r="AI14"/>
  <c r="BA14" s="1"/>
  <c r="Y14"/>
  <c r="U14"/>
  <c r="AY13"/>
  <c r="AX13"/>
  <c r="AW13"/>
  <c r="AV13"/>
  <c r="AU13"/>
  <c r="AT13"/>
  <c r="AS13"/>
  <c r="AR13"/>
  <c r="AP13"/>
  <c r="BH13" s="1"/>
  <c r="AO13"/>
  <c r="BG13" s="1"/>
  <c r="AN13"/>
  <c r="BF13" s="1"/>
  <c r="AM13"/>
  <c r="BE13" s="1"/>
  <c r="AL13"/>
  <c r="BD13" s="1"/>
  <c r="AK13"/>
  <c r="BC13" s="1"/>
  <c r="AJ13"/>
  <c r="BB13" s="1"/>
  <c r="AI13"/>
  <c r="BA13" s="1"/>
  <c r="Y13"/>
  <c r="U13"/>
  <c r="AY12"/>
  <c r="AX12"/>
  <c r="AW12"/>
  <c r="AV12"/>
  <c r="AU12"/>
  <c r="AT12"/>
  <c r="AS12"/>
  <c r="AR12"/>
  <c r="AP12"/>
  <c r="BH12" s="1"/>
  <c r="AO12"/>
  <c r="BG12" s="1"/>
  <c r="AN12"/>
  <c r="BF12" s="1"/>
  <c r="AM12"/>
  <c r="BE12" s="1"/>
  <c r="AL12"/>
  <c r="BD12" s="1"/>
  <c r="AK12"/>
  <c r="BC12" s="1"/>
  <c r="AJ12"/>
  <c r="BB12" s="1"/>
  <c r="AI12"/>
  <c r="BA12" s="1"/>
  <c r="Y12"/>
  <c r="U12"/>
  <c r="AY11"/>
  <c r="AX11"/>
  <c r="AW11"/>
  <c r="AV11"/>
  <c r="AU11"/>
  <c r="AT11"/>
  <c r="AS11"/>
  <c r="AR11"/>
  <c r="AP11"/>
  <c r="BH11" s="1"/>
  <c r="AO11"/>
  <c r="BG11" s="1"/>
  <c r="AN11"/>
  <c r="BF11" s="1"/>
  <c r="AM11"/>
  <c r="BE11" s="1"/>
  <c r="AL11"/>
  <c r="BD11" s="1"/>
  <c r="AK11"/>
  <c r="BC11" s="1"/>
  <c r="AJ11"/>
  <c r="BB11" s="1"/>
  <c r="AI11"/>
  <c r="BA11" s="1"/>
  <c r="Y11"/>
  <c r="U11"/>
  <c r="BF10"/>
  <c r="AY10"/>
  <c r="AX10"/>
  <c r="AW10"/>
  <c r="AV10"/>
  <c r="AU10"/>
  <c r="AT10"/>
  <c r="AS10"/>
  <c r="AR10"/>
  <c r="AP10"/>
  <c r="BH10" s="1"/>
  <c r="AO10"/>
  <c r="BG10" s="1"/>
  <c r="AN10"/>
  <c r="AM10"/>
  <c r="BE10" s="1"/>
  <c r="AL10"/>
  <c r="BD10" s="1"/>
  <c r="AK10"/>
  <c r="BC10" s="1"/>
  <c r="AJ10"/>
  <c r="BB10" s="1"/>
  <c r="AI10"/>
  <c r="BA10" s="1"/>
  <c r="Y10"/>
  <c r="U10"/>
  <c r="AY9"/>
  <c r="AX9"/>
  <c r="AW9"/>
  <c r="AV9"/>
  <c r="AU9"/>
  <c r="AT9"/>
  <c r="AR9"/>
  <c r="AP9"/>
  <c r="BH9" s="1"/>
  <c r="AO9"/>
  <c r="BG9" s="1"/>
  <c r="AN9"/>
  <c r="BF9" s="1"/>
  <c r="AM9"/>
  <c r="BE9" s="1"/>
  <c r="AL9"/>
  <c r="BD9" s="1"/>
  <c r="AK9"/>
  <c r="BC9" s="1"/>
  <c r="AI9"/>
  <c r="BA9" s="1"/>
  <c r="AA9"/>
  <c r="AS9" s="1"/>
  <c r="Y9"/>
  <c r="U9"/>
  <c r="AY8"/>
  <c r="AX8"/>
  <c r="AW8"/>
  <c r="AV8"/>
  <c r="AU8"/>
  <c r="AT8"/>
  <c r="AS8"/>
  <c r="AR8"/>
  <c r="AP8"/>
  <c r="BH8" s="1"/>
  <c r="AO8"/>
  <c r="BG8" s="1"/>
  <c r="AN8"/>
  <c r="BF8" s="1"/>
  <c r="AM8"/>
  <c r="BE8" s="1"/>
  <c r="AL8"/>
  <c r="BD8" s="1"/>
  <c r="AK8"/>
  <c r="BC8" s="1"/>
  <c r="AJ8"/>
  <c r="BB8" s="1"/>
  <c r="AI8"/>
  <c r="BA8" s="1"/>
  <c r="Y8"/>
  <c r="U8"/>
  <c r="AY7"/>
  <c r="AX7"/>
  <c r="AW7"/>
  <c r="AV7"/>
  <c r="AU7"/>
  <c r="AT7"/>
  <c r="AS7"/>
  <c r="AR7"/>
  <c r="AP7"/>
  <c r="BH7" s="1"/>
  <c r="AO7"/>
  <c r="BG7" s="1"/>
  <c r="AN7"/>
  <c r="BF7" s="1"/>
  <c r="AM7"/>
  <c r="BE7" s="1"/>
  <c r="AL7"/>
  <c r="BD7" s="1"/>
  <c r="AK7"/>
  <c r="BC7" s="1"/>
  <c r="AJ7"/>
  <c r="BB7" s="1"/>
  <c r="AI7"/>
  <c r="BA7" s="1"/>
  <c r="Y7"/>
  <c r="U7"/>
  <c r="AY6"/>
  <c r="AX6"/>
  <c r="AW6"/>
  <c r="AV6"/>
  <c r="AU6"/>
  <c r="AT6"/>
  <c r="AS6"/>
  <c r="AR6"/>
  <c r="AP6"/>
  <c r="BH6" s="1"/>
  <c r="AO6"/>
  <c r="BG6" s="1"/>
  <c r="AN6"/>
  <c r="BF6" s="1"/>
  <c r="AM6"/>
  <c r="BE6" s="1"/>
  <c r="AL6"/>
  <c r="BD6" s="1"/>
  <c r="AK6"/>
  <c r="BC6" s="1"/>
  <c r="AJ6"/>
  <c r="BB6" s="1"/>
  <c r="AI6"/>
  <c r="BA6" s="1"/>
  <c r="Y6"/>
  <c r="U6"/>
  <c r="AY5"/>
  <c r="AX5"/>
  <c r="AW5"/>
  <c r="AV5"/>
  <c r="AU5"/>
  <c r="AT5"/>
  <c r="AS5"/>
  <c r="AR5"/>
  <c r="AP5"/>
  <c r="BH5" s="1"/>
  <c r="AO5"/>
  <c r="BG5" s="1"/>
  <c r="AN5"/>
  <c r="BF5" s="1"/>
  <c r="AM5"/>
  <c r="BE5" s="1"/>
  <c r="AL5"/>
  <c r="BD5" s="1"/>
  <c r="AK5"/>
  <c r="BC5" s="1"/>
  <c r="AJ5"/>
  <c r="BB5" s="1"/>
  <c r="AI5"/>
  <c r="BA5" s="1"/>
  <c r="Y5"/>
  <c r="U5"/>
  <c r="AY4"/>
  <c r="AX4"/>
  <c r="AW4"/>
  <c r="AV4"/>
  <c r="AU4"/>
  <c r="AT4"/>
  <c r="AS4"/>
  <c r="AR4"/>
  <c r="AP4"/>
  <c r="BH4" s="1"/>
  <c r="AO4"/>
  <c r="BG4" s="1"/>
  <c r="AN4"/>
  <c r="BF4" s="1"/>
  <c r="AM4"/>
  <c r="BE4" s="1"/>
  <c r="AL4"/>
  <c r="BD4" s="1"/>
  <c r="AK4"/>
  <c r="BC4" s="1"/>
  <c r="AJ4"/>
  <c r="BB4" s="1"/>
  <c r="AI4"/>
  <c r="BA4" s="1"/>
  <c r="Y4"/>
  <c r="U4"/>
  <c r="AY3"/>
  <c r="AX3"/>
  <c r="AW3"/>
  <c r="AV3"/>
  <c r="AU3"/>
  <c r="AT3"/>
  <c r="AS3"/>
  <c r="AR3"/>
  <c r="AP3"/>
  <c r="BH3" s="1"/>
  <c r="AO3"/>
  <c r="BG3" s="1"/>
  <c r="AN3"/>
  <c r="BF3" s="1"/>
  <c r="AM3"/>
  <c r="BE3" s="1"/>
  <c r="AL3"/>
  <c r="BD3" s="1"/>
  <c r="AK3"/>
  <c r="BC3" s="1"/>
  <c r="AJ3"/>
  <c r="BB3" s="1"/>
  <c r="AI3"/>
  <c r="BA3" s="1"/>
  <c r="Y3"/>
  <c r="U3"/>
  <c r="AY2"/>
  <c r="AX2"/>
  <c r="AW2"/>
  <c r="AV2"/>
  <c r="AU2"/>
  <c r="AT2"/>
  <c r="AS2"/>
  <c r="AR2"/>
  <c r="AP2"/>
  <c r="BH2" s="1"/>
  <c r="AO2"/>
  <c r="BG2" s="1"/>
  <c r="AN2"/>
  <c r="BF2" s="1"/>
  <c r="AM2"/>
  <c r="BE2" s="1"/>
  <c r="AL2"/>
  <c r="BD2" s="1"/>
  <c r="AK2"/>
  <c r="BC2" s="1"/>
  <c r="AJ2"/>
  <c r="BB2" s="1"/>
  <c r="AI2"/>
  <c r="BA2" s="1"/>
  <c r="Y2"/>
  <c r="U2"/>
  <c r="Y15" i="94"/>
  <c r="Y16"/>
  <c r="AO15"/>
  <c r="AT16"/>
  <c r="Y17"/>
  <c r="Y2"/>
  <c r="AI2"/>
  <c r="BG88" i="98" l="1"/>
  <c r="BF89"/>
  <c r="BA98"/>
  <c r="BD87"/>
  <c r="BE101"/>
  <c r="BA94"/>
  <c r="BA91"/>
  <c r="BI91" s="1"/>
  <c r="BF97"/>
  <c r="BI97" s="1"/>
  <c r="BF101"/>
  <c r="BE96"/>
  <c r="BC102"/>
  <c r="BI102" s="1"/>
  <c r="BC96"/>
  <c r="BA101"/>
  <c r="BE67"/>
  <c r="BE18"/>
  <c r="BA52"/>
  <c r="BC69"/>
  <c r="BE86"/>
  <c r="BF26"/>
  <c r="BB69"/>
  <c r="BH8"/>
  <c r="BD31"/>
  <c r="BH74"/>
  <c r="BI74" s="1"/>
  <c r="BG29"/>
  <c r="BB18"/>
  <c r="BF52"/>
  <c r="BB86"/>
  <c r="BD86"/>
  <c r="BE16"/>
  <c r="BI16" s="1"/>
  <c r="BF16"/>
  <c r="BA18"/>
  <c r="BC35"/>
  <c r="BE52"/>
  <c r="BA86"/>
  <c r="BG59"/>
  <c r="BI59" s="1"/>
  <c r="BG73"/>
  <c r="BI73" s="1"/>
  <c r="BD12"/>
  <c r="BB44"/>
  <c r="BD47"/>
  <c r="BI47" s="1"/>
  <c r="BC53"/>
  <c r="BI53" s="1"/>
  <c r="BE50"/>
  <c r="BE69"/>
  <c r="BB66"/>
  <c r="BI66" s="1"/>
  <c r="W66" s="1"/>
  <c r="V66" s="1"/>
  <c r="BE77"/>
  <c r="BF18"/>
  <c r="BB52"/>
  <c r="BD52"/>
  <c r="BF69"/>
  <c r="BF86"/>
  <c r="BE15"/>
  <c r="BD29"/>
  <c r="BI29" s="1"/>
  <c r="BF32"/>
  <c r="BI32" s="1"/>
  <c r="BD33"/>
  <c r="BI33" s="1"/>
  <c r="BH40"/>
  <c r="BH54"/>
  <c r="BF55"/>
  <c r="BG72"/>
  <c r="BD78"/>
  <c r="BG93"/>
  <c r="BI93" s="1"/>
  <c r="BH22"/>
  <c r="BI22" s="1"/>
  <c r="BC60"/>
  <c r="BF67"/>
  <c r="BD94"/>
  <c r="BF3"/>
  <c r="BI3" s="1"/>
  <c r="BG10"/>
  <c r="BH43"/>
  <c r="BC77"/>
  <c r="BF84"/>
  <c r="BI84" s="1"/>
  <c r="BE71"/>
  <c r="BI71" s="1"/>
  <c r="BH4"/>
  <c r="BD27"/>
  <c r="BG60"/>
  <c r="BH94"/>
  <c r="BD43"/>
  <c r="BG77"/>
  <c r="BE60"/>
  <c r="BF94"/>
  <c r="BB19"/>
  <c r="BA26"/>
  <c r="BG26"/>
  <c r="BE26"/>
  <c r="BA28"/>
  <c r="BE12"/>
  <c r="BI12" s="1"/>
  <c r="BD26"/>
  <c r="BG33"/>
  <c r="BC26"/>
  <c r="BG23"/>
  <c r="BH27"/>
  <c r="BB34"/>
  <c r="BH26"/>
  <c r="BA54"/>
  <c r="BA23"/>
  <c r="BG7"/>
  <c r="BI7" s="1"/>
  <c r="BE7"/>
  <c r="BB23"/>
  <c r="BF33"/>
  <c r="BH16"/>
  <c r="AJ26"/>
  <c r="BB26" s="1"/>
  <c r="BG43"/>
  <c r="BH60"/>
  <c r="BH77"/>
  <c r="BG94"/>
  <c r="BE8"/>
  <c r="BE43"/>
  <c r="BH50"/>
  <c r="BF60"/>
  <c r="BF77"/>
  <c r="BE94"/>
  <c r="BH101"/>
  <c r="BA100"/>
  <c r="BI100" s="1"/>
  <c r="BG8"/>
  <c r="BG15"/>
  <c r="BE20"/>
  <c r="BI20" s="1"/>
  <c r="BF42"/>
  <c r="BI42" s="1"/>
  <c r="BC48"/>
  <c r="BI48" s="1"/>
  <c r="BG55"/>
  <c r="BI55" s="1"/>
  <c r="BF64"/>
  <c r="BI14"/>
  <c r="W14" s="1"/>
  <c r="V14" s="1"/>
  <c r="BC43"/>
  <c r="BF50"/>
  <c r="BG50"/>
  <c r="BD60"/>
  <c r="BI62"/>
  <c r="BJ62" s="1"/>
  <c r="BD77"/>
  <c r="BI79"/>
  <c r="W79" s="1"/>
  <c r="V79" s="1"/>
  <c r="BI83"/>
  <c r="BJ83" s="1"/>
  <c r="BC94"/>
  <c r="BG101"/>
  <c r="BB24"/>
  <c r="BI24" s="1"/>
  <c r="BE30"/>
  <c r="BI30" s="1"/>
  <c r="BI95"/>
  <c r="BJ95" s="1"/>
  <c r="BI99"/>
  <c r="BJ99" s="1"/>
  <c r="BC5"/>
  <c r="BA77"/>
  <c r="BA31"/>
  <c r="BI31" s="1"/>
  <c r="BJ31" s="1"/>
  <c r="BG44"/>
  <c r="BI44" s="1"/>
  <c r="BA47"/>
  <c r="BI89"/>
  <c r="BI88"/>
  <c r="BI92"/>
  <c r="BI87"/>
  <c r="BI90"/>
  <c r="BI98"/>
  <c r="AJ94"/>
  <c r="BB94" s="1"/>
  <c r="BI70"/>
  <c r="BI78"/>
  <c r="BI82"/>
  <c r="BI85"/>
  <c r="BI81"/>
  <c r="BI72"/>
  <c r="BI76"/>
  <c r="BI80"/>
  <c r="BI75"/>
  <c r="BJ79"/>
  <c r="AJ77"/>
  <c r="BB77" s="1"/>
  <c r="BI57"/>
  <c r="BI61"/>
  <c r="BI65"/>
  <c r="BI56"/>
  <c r="BI68"/>
  <c r="BI64"/>
  <c r="BI63"/>
  <c r="BI67"/>
  <c r="BI58"/>
  <c r="AJ60"/>
  <c r="BB60" s="1"/>
  <c r="BI36"/>
  <c r="BI39"/>
  <c r="BI51"/>
  <c r="BI38"/>
  <c r="BI46"/>
  <c r="BI50"/>
  <c r="BI41"/>
  <c r="BI45"/>
  <c r="BI49"/>
  <c r="BI37"/>
  <c r="BI40"/>
  <c r="AJ43"/>
  <c r="BB43" s="1"/>
  <c r="BI34"/>
  <c r="BI19"/>
  <c r="BI25"/>
  <c r="BI21"/>
  <c r="BI28"/>
  <c r="BJ14"/>
  <c r="BI10"/>
  <c r="BI2"/>
  <c r="BI6"/>
  <c r="BI9"/>
  <c r="BI13"/>
  <c r="BI5"/>
  <c r="BI4"/>
  <c r="BI15"/>
  <c r="BI11"/>
  <c r="BI17"/>
  <c r="BI146" i="95"/>
  <c r="BJ146" s="1"/>
  <c r="BF152"/>
  <c r="BI185"/>
  <c r="W185" s="1"/>
  <c r="V185" s="1"/>
  <c r="BI123"/>
  <c r="BJ123" s="1"/>
  <c r="BF33"/>
  <c r="BI33" s="1"/>
  <c r="BI54"/>
  <c r="BI61"/>
  <c r="W61" s="1"/>
  <c r="V61" s="1"/>
  <c r="BI65"/>
  <c r="BJ65" s="1"/>
  <c r="BF67"/>
  <c r="BI67" s="1"/>
  <c r="BI68"/>
  <c r="BI173"/>
  <c r="BJ173" s="1"/>
  <c r="BI72"/>
  <c r="W72" s="1"/>
  <c r="V72" s="1"/>
  <c r="BI76"/>
  <c r="BJ76" s="1"/>
  <c r="BI38"/>
  <c r="BI105"/>
  <c r="W105" s="1"/>
  <c r="V105" s="1"/>
  <c r="BI109"/>
  <c r="BJ109" s="1"/>
  <c r="BI117"/>
  <c r="BI150"/>
  <c r="BI143"/>
  <c r="BJ143" s="1"/>
  <c r="BF118"/>
  <c r="BI118" s="1"/>
  <c r="BI158"/>
  <c r="BJ158" s="1"/>
  <c r="BI170"/>
  <c r="BJ170" s="1"/>
  <c r="BI13"/>
  <c r="W13" s="1"/>
  <c r="V13" s="1"/>
  <c r="BI181"/>
  <c r="W181" s="1"/>
  <c r="V181" s="1"/>
  <c r="BI88"/>
  <c r="BJ88" s="1"/>
  <c r="BI28"/>
  <c r="BJ28" s="1"/>
  <c r="BI5"/>
  <c r="BJ5" s="1"/>
  <c r="BI176"/>
  <c r="BI172"/>
  <c r="BI180"/>
  <c r="BI184"/>
  <c r="BI175"/>
  <c r="BI187"/>
  <c r="BI183"/>
  <c r="BI174"/>
  <c r="BI178"/>
  <c r="BI182"/>
  <c r="BI186"/>
  <c r="BI177"/>
  <c r="AJ179"/>
  <c r="BB179" s="1"/>
  <c r="BI179" s="1"/>
  <c r="BI166"/>
  <c r="BI157"/>
  <c r="BI161"/>
  <c r="BI165"/>
  <c r="BI156"/>
  <c r="BI164"/>
  <c r="BI168"/>
  <c r="BI160"/>
  <c r="BI169"/>
  <c r="BI155"/>
  <c r="BI159"/>
  <c r="BI163"/>
  <c r="BI167"/>
  <c r="AJ162"/>
  <c r="BB162" s="1"/>
  <c r="BI162" s="1"/>
  <c r="W143"/>
  <c r="V143" s="1"/>
  <c r="W150"/>
  <c r="V150" s="1"/>
  <c r="BJ150"/>
  <c r="BI139"/>
  <c r="BI149"/>
  <c r="BI153"/>
  <c r="W146"/>
  <c r="V146" s="1"/>
  <c r="BI138"/>
  <c r="BI142"/>
  <c r="BI145"/>
  <c r="BI148"/>
  <c r="BI141"/>
  <c r="BI144"/>
  <c r="BI147"/>
  <c r="BI151"/>
  <c r="BI152"/>
  <c r="BI140"/>
  <c r="BI126"/>
  <c r="BI133"/>
  <c r="BI136"/>
  <c r="BI122"/>
  <c r="BI129"/>
  <c r="BI132"/>
  <c r="BI121"/>
  <c r="BI125"/>
  <c r="BI128"/>
  <c r="BI131"/>
  <c r="BI124"/>
  <c r="BI135"/>
  <c r="BI127"/>
  <c r="BI130"/>
  <c r="BI134"/>
  <c r="BJ117"/>
  <c r="W117"/>
  <c r="V117" s="1"/>
  <c r="BI104"/>
  <c r="BI108"/>
  <c r="BI112"/>
  <c r="BI116"/>
  <c r="BI107"/>
  <c r="BI119"/>
  <c r="W109"/>
  <c r="V109" s="1"/>
  <c r="BI113"/>
  <c r="BI115"/>
  <c r="BI106"/>
  <c r="BI110"/>
  <c r="BJ105"/>
  <c r="BI114"/>
  <c r="AJ111"/>
  <c r="BB111" s="1"/>
  <c r="BI111" s="1"/>
  <c r="BI91"/>
  <c r="BI99"/>
  <c r="BI87"/>
  <c r="BI90"/>
  <c r="BI98"/>
  <c r="BI102"/>
  <c r="BI93"/>
  <c r="BI95"/>
  <c r="BI89"/>
  <c r="BI97"/>
  <c r="BI101"/>
  <c r="BI92"/>
  <c r="BI96"/>
  <c r="BI100"/>
  <c r="AJ94"/>
  <c r="BB94" s="1"/>
  <c r="BI94" s="1"/>
  <c r="BI74"/>
  <c r="BI70"/>
  <c r="BI78"/>
  <c r="BI82"/>
  <c r="BI73"/>
  <c r="BI81"/>
  <c r="BI85"/>
  <c r="BI80"/>
  <c r="BI84"/>
  <c r="BI71"/>
  <c r="BI75"/>
  <c r="BI79"/>
  <c r="BI83"/>
  <c r="AJ77"/>
  <c r="BB77" s="1"/>
  <c r="BI77" s="1"/>
  <c r="BI53"/>
  <c r="BI60"/>
  <c r="BI64"/>
  <c r="BJ61"/>
  <c r="W65"/>
  <c r="V65" s="1"/>
  <c r="BI57"/>
  <c r="BI56"/>
  <c r="BI63"/>
  <c r="BI59"/>
  <c r="BI55"/>
  <c r="BI62"/>
  <c r="BI66"/>
  <c r="BJ54"/>
  <c r="W54"/>
  <c r="V54" s="1"/>
  <c r="W68"/>
  <c r="V68" s="1"/>
  <c r="BJ68"/>
  <c r="BI58"/>
  <c r="BI40"/>
  <c r="BI47"/>
  <c r="BI36"/>
  <c r="BI43"/>
  <c r="BI41"/>
  <c r="BI48"/>
  <c r="BI37"/>
  <c r="BI39"/>
  <c r="BI46"/>
  <c r="BI50"/>
  <c r="BJ38"/>
  <c r="W38"/>
  <c r="V38" s="1"/>
  <c r="BI44"/>
  <c r="BI51"/>
  <c r="BI42"/>
  <c r="BI45"/>
  <c r="BI49"/>
  <c r="BI31"/>
  <c r="BI27"/>
  <c r="BI19"/>
  <c r="BI23"/>
  <c r="BI30"/>
  <c r="BI20"/>
  <c r="BI34"/>
  <c r="BI26"/>
  <c r="BI22"/>
  <c r="BI29"/>
  <c r="BI24"/>
  <c r="BI21"/>
  <c r="BI25"/>
  <c r="BI32"/>
  <c r="BI9"/>
  <c r="BI10"/>
  <c r="BI4"/>
  <c r="BI8"/>
  <c r="BI12"/>
  <c r="BI16"/>
  <c r="BI7"/>
  <c r="BI11"/>
  <c r="BI15"/>
  <c r="BI3"/>
  <c r="BI2"/>
  <c r="BI6"/>
  <c r="BI14"/>
  <c r="BI17"/>
  <c r="AJ9"/>
  <c r="BB9" s="1"/>
  <c r="AR2" i="94"/>
  <c r="BA2" s="1"/>
  <c r="AR3"/>
  <c r="AS3"/>
  <c r="BB3" s="1"/>
  <c r="AT3"/>
  <c r="AU3"/>
  <c r="AV3"/>
  <c r="AW3"/>
  <c r="AX3"/>
  <c r="AY3"/>
  <c r="AR4"/>
  <c r="BA4" s="1"/>
  <c r="AS4"/>
  <c r="AT4"/>
  <c r="BC4" s="1"/>
  <c r="AU4"/>
  <c r="AV4"/>
  <c r="AW4"/>
  <c r="AX4"/>
  <c r="AY4"/>
  <c r="AR5"/>
  <c r="BA5" s="1"/>
  <c r="AS5"/>
  <c r="BB5" s="1"/>
  <c r="AT5"/>
  <c r="BC5" s="1"/>
  <c r="AU5"/>
  <c r="AV5"/>
  <c r="AW5"/>
  <c r="AX5"/>
  <c r="AY5"/>
  <c r="AR6"/>
  <c r="AS6"/>
  <c r="BB6" s="1"/>
  <c r="AT6"/>
  <c r="AU6"/>
  <c r="AV6"/>
  <c r="AW6"/>
  <c r="AX6"/>
  <c r="AY6"/>
  <c r="AR7"/>
  <c r="BA7" s="1"/>
  <c r="AS7"/>
  <c r="AT7"/>
  <c r="BC7" s="1"/>
  <c r="AU7"/>
  <c r="AV7"/>
  <c r="AW7"/>
  <c r="AX7"/>
  <c r="AY7"/>
  <c r="AR8"/>
  <c r="AS8"/>
  <c r="AT8"/>
  <c r="BC8" s="1"/>
  <c r="AU8"/>
  <c r="BD8" s="1"/>
  <c r="AV8"/>
  <c r="AW8"/>
  <c r="AX8"/>
  <c r="AY8"/>
  <c r="AR9"/>
  <c r="BA9" s="1"/>
  <c r="AT9"/>
  <c r="AU9"/>
  <c r="AV9"/>
  <c r="AW9"/>
  <c r="AX9"/>
  <c r="AY9"/>
  <c r="AR10"/>
  <c r="AS10"/>
  <c r="AT10"/>
  <c r="AU10"/>
  <c r="AX10"/>
  <c r="AY10"/>
  <c r="AR11"/>
  <c r="AS11"/>
  <c r="AT11"/>
  <c r="AU11"/>
  <c r="AX11"/>
  <c r="AY11"/>
  <c r="AR12"/>
  <c r="AS12"/>
  <c r="AT12"/>
  <c r="AU12"/>
  <c r="AX12"/>
  <c r="AY12"/>
  <c r="AR13"/>
  <c r="AS13"/>
  <c r="AT13"/>
  <c r="AU13"/>
  <c r="AX13"/>
  <c r="AY13"/>
  <c r="AR14"/>
  <c r="AS14"/>
  <c r="AT14"/>
  <c r="AU14"/>
  <c r="AV14"/>
  <c r="AW14"/>
  <c r="AR15"/>
  <c r="AS15"/>
  <c r="AT15"/>
  <c r="AU15"/>
  <c r="AV15"/>
  <c r="AW15"/>
  <c r="AR16"/>
  <c r="AS16"/>
  <c r="AU16"/>
  <c r="AW16"/>
  <c r="AR17"/>
  <c r="AS17"/>
  <c r="AT17"/>
  <c r="AU17"/>
  <c r="AV17"/>
  <c r="AW17"/>
  <c r="AS2"/>
  <c r="AT2"/>
  <c r="AU2"/>
  <c r="AV2"/>
  <c r="AW2"/>
  <c r="AX2"/>
  <c r="AY2"/>
  <c r="AI3"/>
  <c r="AJ3"/>
  <c r="AK3"/>
  <c r="AL3"/>
  <c r="AM3"/>
  <c r="AN3"/>
  <c r="BF3" s="1"/>
  <c r="AO3"/>
  <c r="BG3" s="1"/>
  <c r="AP3"/>
  <c r="BH3" s="1"/>
  <c r="AI4"/>
  <c r="AJ4"/>
  <c r="AK4"/>
  <c r="AL4"/>
  <c r="AM4"/>
  <c r="AN4"/>
  <c r="BF4" s="1"/>
  <c r="AO4"/>
  <c r="BG4" s="1"/>
  <c r="AP4"/>
  <c r="BH4" s="1"/>
  <c r="AI5"/>
  <c r="AJ5"/>
  <c r="AK5"/>
  <c r="AL5"/>
  <c r="AM5"/>
  <c r="AN5"/>
  <c r="BF5" s="1"/>
  <c r="AO5"/>
  <c r="BG5" s="1"/>
  <c r="AP5"/>
  <c r="BH5" s="1"/>
  <c r="AI6"/>
  <c r="AJ6"/>
  <c r="AK6"/>
  <c r="AL6"/>
  <c r="AM6"/>
  <c r="AN6"/>
  <c r="BF6" s="1"/>
  <c r="AO6"/>
  <c r="BG6" s="1"/>
  <c r="AP6"/>
  <c r="BH6" s="1"/>
  <c r="AI7"/>
  <c r="AJ7"/>
  <c r="AK7"/>
  <c r="AL7"/>
  <c r="AM7"/>
  <c r="AN7"/>
  <c r="BF7" s="1"/>
  <c r="AO7"/>
  <c r="BG7" s="1"/>
  <c r="AP7"/>
  <c r="BH7" s="1"/>
  <c r="AI8"/>
  <c r="AJ8"/>
  <c r="AK8"/>
  <c r="AL8"/>
  <c r="AM8"/>
  <c r="AN8"/>
  <c r="BF8" s="1"/>
  <c r="AO8"/>
  <c r="BG8" s="1"/>
  <c r="AP8"/>
  <c r="BH8" s="1"/>
  <c r="AI9"/>
  <c r="AK9"/>
  <c r="AL9"/>
  <c r="AM9"/>
  <c r="AN9"/>
  <c r="AO9"/>
  <c r="BG9" s="1"/>
  <c r="AP9"/>
  <c r="BH9" s="1"/>
  <c r="AI10"/>
  <c r="AJ10"/>
  <c r="AK10"/>
  <c r="AL10"/>
  <c r="AO10"/>
  <c r="AP10"/>
  <c r="AI11"/>
  <c r="AJ11"/>
  <c r="BB11" s="1"/>
  <c r="AK11"/>
  <c r="AL11"/>
  <c r="AO11"/>
  <c r="AP11"/>
  <c r="AI12"/>
  <c r="AJ12"/>
  <c r="AK12"/>
  <c r="AL12"/>
  <c r="BD12" s="1"/>
  <c r="AO12"/>
  <c r="BG12" s="1"/>
  <c r="AP12"/>
  <c r="AI13"/>
  <c r="AJ13"/>
  <c r="AK13"/>
  <c r="AL13"/>
  <c r="AO13"/>
  <c r="BG13" s="1"/>
  <c r="AP13"/>
  <c r="BH13" s="1"/>
  <c r="AI14"/>
  <c r="AJ14"/>
  <c r="AK14"/>
  <c r="AL14"/>
  <c r="AM14"/>
  <c r="AN14"/>
  <c r="AI15"/>
  <c r="AJ15"/>
  <c r="BB15" s="1"/>
  <c r="AK15"/>
  <c r="AL15"/>
  <c r="AM15"/>
  <c r="AN15"/>
  <c r="AI16"/>
  <c r="AJ16"/>
  <c r="AK16"/>
  <c r="BC16" s="1"/>
  <c r="AL16"/>
  <c r="AM16"/>
  <c r="BE16" s="1"/>
  <c r="AN16"/>
  <c r="BF16" s="1"/>
  <c r="AI17"/>
  <c r="AJ17"/>
  <c r="AK17"/>
  <c r="AL17"/>
  <c r="AM17"/>
  <c r="BE17" s="1"/>
  <c r="AN17"/>
  <c r="AJ2"/>
  <c r="AK2"/>
  <c r="BC2" s="1"/>
  <c r="AL2"/>
  <c r="AM2"/>
  <c r="AN2"/>
  <c r="AO2"/>
  <c r="AP2"/>
  <c r="BH2" s="1"/>
  <c r="U8"/>
  <c r="U16"/>
  <c r="Y3"/>
  <c r="Y4"/>
  <c r="Y5"/>
  <c r="Y6"/>
  <c r="Y7"/>
  <c r="Y8"/>
  <c r="Y9"/>
  <c r="Y10"/>
  <c r="Y11"/>
  <c r="Y12"/>
  <c r="Y13"/>
  <c r="Y14"/>
  <c r="U4"/>
  <c r="U3"/>
  <c r="U2"/>
  <c r="AP17"/>
  <c r="AX17"/>
  <c r="U17"/>
  <c r="AY16"/>
  <c r="AX16"/>
  <c r="AY15"/>
  <c r="AX15"/>
  <c r="BG15" s="1"/>
  <c r="U15"/>
  <c r="AY14"/>
  <c r="AX14"/>
  <c r="U14"/>
  <c r="U13"/>
  <c r="AV12"/>
  <c r="U12"/>
  <c r="AW11"/>
  <c r="AM11"/>
  <c r="U11"/>
  <c r="AW10"/>
  <c r="U10"/>
  <c r="AA9"/>
  <c r="AS9" s="1"/>
  <c r="U9"/>
  <c r="U7"/>
  <c r="U6"/>
  <c r="U5"/>
  <c r="M25" i="103" l="1"/>
  <c r="BB4" i="94"/>
  <c r="BD4"/>
  <c r="BD6"/>
  <c r="BD7"/>
  <c r="BB7"/>
  <c r="BI101" i="98"/>
  <c r="W101" s="1"/>
  <c r="V101" s="1"/>
  <c r="BI96"/>
  <c r="W96" s="1"/>
  <c r="V96" s="1"/>
  <c r="W99"/>
  <c r="V99" s="1"/>
  <c r="BI8"/>
  <c r="BI27"/>
  <c r="BJ27" s="1"/>
  <c r="W95"/>
  <c r="V95" s="1"/>
  <c r="BI54"/>
  <c r="BJ66"/>
  <c r="BJ20"/>
  <c r="W20"/>
  <c r="V20" s="1"/>
  <c r="BI26"/>
  <c r="W26" s="1"/>
  <c r="V26" s="1"/>
  <c r="BI23"/>
  <c r="BJ23" s="1"/>
  <c r="W83"/>
  <c r="V83" s="1"/>
  <c r="BJ44"/>
  <c r="W44"/>
  <c r="V44" s="1"/>
  <c r="BJ48"/>
  <c r="W48"/>
  <c r="V48" s="1"/>
  <c r="BI60"/>
  <c r="BI43"/>
  <c r="W43" s="1"/>
  <c r="V43" s="1"/>
  <c r="W31"/>
  <c r="V31" s="1"/>
  <c r="W62"/>
  <c r="V62" s="1"/>
  <c r="BI94"/>
  <c r="W94" s="1"/>
  <c r="V94" s="1"/>
  <c r="BI77"/>
  <c r="W77" s="1"/>
  <c r="V77" s="1"/>
  <c r="W88"/>
  <c r="V88" s="1"/>
  <c r="BJ88"/>
  <c r="BJ98"/>
  <c r="W98"/>
  <c r="V98" s="1"/>
  <c r="W102"/>
  <c r="V102" s="1"/>
  <c r="BJ102"/>
  <c r="W100"/>
  <c r="V100" s="1"/>
  <c r="BJ100"/>
  <c r="W87"/>
  <c r="V87" s="1"/>
  <c r="BJ87"/>
  <c r="BJ89"/>
  <c r="W89"/>
  <c r="V89" s="1"/>
  <c r="W91"/>
  <c r="V91" s="1"/>
  <c r="BJ91"/>
  <c r="BJ93"/>
  <c r="W93"/>
  <c r="V93" s="1"/>
  <c r="BJ97"/>
  <c r="W97"/>
  <c r="V97" s="1"/>
  <c r="W90"/>
  <c r="V90" s="1"/>
  <c r="BJ90"/>
  <c r="W92"/>
  <c r="V92" s="1"/>
  <c r="BJ92"/>
  <c r="BJ72"/>
  <c r="W72"/>
  <c r="V72" s="1"/>
  <c r="W70"/>
  <c r="V70" s="1"/>
  <c r="BJ70"/>
  <c r="BJ76"/>
  <c r="W76"/>
  <c r="V76" s="1"/>
  <c r="W74"/>
  <c r="V74" s="1"/>
  <c r="BJ74"/>
  <c r="BJ80"/>
  <c r="W80"/>
  <c r="V80" s="1"/>
  <c r="BJ84"/>
  <c r="W84"/>
  <c r="V84" s="1"/>
  <c r="W78"/>
  <c r="V78" s="1"/>
  <c r="BJ78"/>
  <c r="W71"/>
  <c r="V71" s="1"/>
  <c r="BJ71"/>
  <c r="W82"/>
  <c r="V82" s="1"/>
  <c r="BJ82"/>
  <c r="W75"/>
  <c r="V75" s="1"/>
  <c r="BJ75"/>
  <c r="W85"/>
  <c r="V85" s="1"/>
  <c r="BJ85"/>
  <c r="W73"/>
  <c r="V73" s="1"/>
  <c r="BJ73"/>
  <c r="BJ81"/>
  <c r="W81"/>
  <c r="V81" s="1"/>
  <c r="BJ60"/>
  <c r="W60"/>
  <c r="V60" s="1"/>
  <c r="W58"/>
  <c r="V58" s="1"/>
  <c r="BJ58"/>
  <c r="W56"/>
  <c r="V56" s="1"/>
  <c r="BJ56"/>
  <c r="W68"/>
  <c r="V68" s="1"/>
  <c r="BJ68"/>
  <c r="BJ64"/>
  <c r="W64"/>
  <c r="V64" s="1"/>
  <c r="BJ55"/>
  <c r="W55"/>
  <c r="V55" s="1"/>
  <c r="W53"/>
  <c r="V53" s="1"/>
  <c r="BJ53"/>
  <c r="BJ59"/>
  <c r="W59"/>
  <c r="V59" s="1"/>
  <c r="W57"/>
  <c r="V57" s="1"/>
  <c r="BJ57"/>
  <c r="BJ63"/>
  <c r="W63"/>
  <c r="V63" s="1"/>
  <c r="BJ67"/>
  <c r="W67"/>
  <c r="V67" s="1"/>
  <c r="W61"/>
  <c r="V61" s="1"/>
  <c r="BJ61"/>
  <c r="W54"/>
  <c r="V54" s="1"/>
  <c r="BJ54"/>
  <c r="W65"/>
  <c r="V65" s="1"/>
  <c r="BJ65"/>
  <c r="W37"/>
  <c r="V37" s="1"/>
  <c r="BJ37"/>
  <c r="W51"/>
  <c r="V51" s="1"/>
  <c r="BJ51"/>
  <c r="W36"/>
  <c r="V36" s="1"/>
  <c r="BJ36"/>
  <c r="W45"/>
  <c r="V45" s="1"/>
  <c r="BJ45"/>
  <c r="W40"/>
  <c r="V40" s="1"/>
  <c r="BJ40"/>
  <c r="BJ42"/>
  <c r="W42"/>
  <c r="V42" s="1"/>
  <c r="BJ38"/>
  <c r="W38"/>
  <c r="V38" s="1"/>
  <c r="BJ46"/>
  <c r="W46"/>
  <c r="V46" s="1"/>
  <c r="BJ50"/>
  <c r="W50"/>
  <c r="V50" s="1"/>
  <c r="W41"/>
  <c r="V41" s="1"/>
  <c r="BJ41"/>
  <c r="W39"/>
  <c r="V39" s="1"/>
  <c r="BJ39"/>
  <c r="W49"/>
  <c r="V49" s="1"/>
  <c r="BJ49"/>
  <c r="BJ47"/>
  <c r="W47"/>
  <c r="V47" s="1"/>
  <c r="BJ21"/>
  <c r="W21"/>
  <c r="V21" s="1"/>
  <c r="W34"/>
  <c r="V34" s="1"/>
  <c r="BJ34"/>
  <c r="W22"/>
  <c r="V22" s="1"/>
  <c r="BJ22"/>
  <c r="BJ29"/>
  <c r="W29"/>
  <c r="V29" s="1"/>
  <c r="BJ33"/>
  <c r="W33"/>
  <c r="V33" s="1"/>
  <c r="BJ25"/>
  <c r="W25"/>
  <c r="V25" s="1"/>
  <c r="W28"/>
  <c r="V28" s="1"/>
  <c r="BJ28"/>
  <c r="BJ19"/>
  <c r="W19"/>
  <c r="V19" s="1"/>
  <c r="W32"/>
  <c r="V32" s="1"/>
  <c r="BJ32"/>
  <c r="W24"/>
  <c r="V24" s="1"/>
  <c r="BJ24"/>
  <c r="BJ30"/>
  <c r="W30"/>
  <c r="V30" s="1"/>
  <c r="W17"/>
  <c r="V17" s="1"/>
  <c r="BJ17"/>
  <c r="BJ16"/>
  <c r="W16"/>
  <c r="V16" s="1"/>
  <c r="BJ12"/>
  <c r="W12"/>
  <c r="V12" s="1"/>
  <c r="BJ4"/>
  <c r="W4"/>
  <c r="V4" s="1"/>
  <c r="W10"/>
  <c r="V10" s="1"/>
  <c r="BJ10"/>
  <c r="BJ8"/>
  <c r="W8"/>
  <c r="V8" s="1"/>
  <c r="W2"/>
  <c r="V2" s="1"/>
  <c r="BJ2"/>
  <c r="BJ15"/>
  <c r="W15"/>
  <c r="V15" s="1"/>
  <c r="W6"/>
  <c r="V6" s="1"/>
  <c r="BJ6"/>
  <c r="BJ11"/>
  <c r="W11"/>
  <c r="V11" s="1"/>
  <c r="W9"/>
  <c r="V9" s="1"/>
  <c r="BJ9"/>
  <c r="BJ3"/>
  <c r="W3"/>
  <c r="V3" s="1"/>
  <c r="W13"/>
  <c r="V13" s="1"/>
  <c r="BJ13"/>
  <c r="BJ7"/>
  <c r="W7"/>
  <c r="V7" s="1"/>
  <c r="W5"/>
  <c r="V5" s="1"/>
  <c r="BJ5"/>
  <c r="BJ13" i="95"/>
  <c r="W170"/>
  <c r="V170" s="1"/>
  <c r="W173"/>
  <c r="V173" s="1"/>
  <c r="W5"/>
  <c r="V5" s="1"/>
  <c r="BJ185"/>
  <c r="W158"/>
  <c r="V158" s="1"/>
  <c r="BJ72"/>
  <c r="W76"/>
  <c r="V76" s="1"/>
  <c r="W123"/>
  <c r="V123" s="1"/>
  <c r="BJ181"/>
  <c r="W88"/>
  <c r="V88" s="1"/>
  <c r="W28"/>
  <c r="V28" s="1"/>
  <c r="W179"/>
  <c r="V179" s="1"/>
  <c r="BJ179"/>
  <c r="BJ172"/>
  <c r="W172"/>
  <c r="V172" s="1"/>
  <c r="W174"/>
  <c r="V174" s="1"/>
  <c r="BJ174"/>
  <c r="BJ182"/>
  <c r="W182"/>
  <c r="V182" s="1"/>
  <c r="W184"/>
  <c r="V184" s="1"/>
  <c r="BJ184"/>
  <c r="W186"/>
  <c r="V186" s="1"/>
  <c r="BJ186"/>
  <c r="W175"/>
  <c r="V175" s="1"/>
  <c r="BJ175"/>
  <c r="BJ177"/>
  <c r="W177"/>
  <c r="V177" s="1"/>
  <c r="W187"/>
  <c r="V187" s="1"/>
  <c r="BJ187"/>
  <c r="W183"/>
  <c r="V183" s="1"/>
  <c r="BJ183"/>
  <c r="W176"/>
  <c r="V176" s="1"/>
  <c r="BJ176"/>
  <c r="W178"/>
  <c r="V178" s="1"/>
  <c r="BJ178"/>
  <c r="W180"/>
  <c r="V180" s="1"/>
  <c r="BJ180"/>
  <c r="W159"/>
  <c r="V159" s="1"/>
  <c r="BJ159"/>
  <c r="BJ165"/>
  <c r="W165"/>
  <c r="V165" s="1"/>
  <c r="W163"/>
  <c r="V163" s="1"/>
  <c r="BJ163"/>
  <c r="W156"/>
  <c r="V156" s="1"/>
  <c r="BJ156"/>
  <c r="W167"/>
  <c r="V167" s="1"/>
  <c r="BJ167"/>
  <c r="W164"/>
  <c r="V164" s="1"/>
  <c r="BJ164"/>
  <c r="BJ161"/>
  <c r="W161"/>
  <c r="V161" s="1"/>
  <c r="BJ162"/>
  <c r="W162"/>
  <c r="V162" s="1"/>
  <c r="W168"/>
  <c r="V168" s="1"/>
  <c r="BJ168"/>
  <c r="W160"/>
  <c r="V160" s="1"/>
  <c r="BJ160"/>
  <c r="BJ169"/>
  <c r="W169"/>
  <c r="V169" s="1"/>
  <c r="BJ166"/>
  <c r="W166"/>
  <c r="V166" s="1"/>
  <c r="W155"/>
  <c r="V155" s="1"/>
  <c r="BJ155"/>
  <c r="BJ157"/>
  <c r="W157"/>
  <c r="V157" s="1"/>
  <c r="BJ139"/>
  <c r="W139"/>
  <c r="V139" s="1"/>
  <c r="W141"/>
  <c r="V141" s="1"/>
  <c r="BJ141"/>
  <c r="W144"/>
  <c r="V144" s="1"/>
  <c r="BJ144"/>
  <c r="BJ151"/>
  <c r="W151"/>
  <c r="V151" s="1"/>
  <c r="W140"/>
  <c r="V140" s="1"/>
  <c r="BJ140"/>
  <c r="BJ142"/>
  <c r="W142"/>
  <c r="V142" s="1"/>
  <c r="W145"/>
  <c r="V145" s="1"/>
  <c r="BJ145"/>
  <c r="BJ148"/>
  <c r="W148"/>
  <c r="V148" s="1"/>
  <c r="W149"/>
  <c r="V149" s="1"/>
  <c r="BJ149"/>
  <c r="W153"/>
  <c r="V153" s="1"/>
  <c r="BJ153"/>
  <c r="BJ147"/>
  <c r="W147"/>
  <c r="V147" s="1"/>
  <c r="BJ152"/>
  <c r="W152"/>
  <c r="V152" s="1"/>
  <c r="BJ138"/>
  <c r="W138"/>
  <c r="V138" s="1"/>
  <c r="BJ127"/>
  <c r="W127"/>
  <c r="V127" s="1"/>
  <c r="W130"/>
  <c r="V130" s="1"/>
  <c r="BJ130"/>
  <c r="W134"/>
  <c r="V134" s="1"/>
  <c r="BJ134"/>
  <c r="W121"/>
  <c r="V121" s="1"/>
  <c r="BJ121"/>
  <c r="BJ126"/>
  <c r="W126"/>
  <c r="V126" s="1"/>
  <c r="W125"/>
  <c r="V125" s="1"/>
  <c r="BJ125"/>
  <c r="W133"/>
  <c r="V133" s="1"/>
  <c r="BJ133"/>
  <c r="BJ128"/>
  <c r="W128"/>
  <c r="V128" s="1"/>
  <c r="W136"/>
  <c r="V136" s="1"/>
  <c r="BJ136"/>
  <c r="BJ131"/>
  <c r="W131"/>
  <c r="V131" s="1"/>
  <c r="BJ122"/>
  <c r="W122"/>
  <c r="V122" s="1"/>
  <c r="W124"/>
  <c r="V124" s="1"/>
  <c r="BJ124"/>
  <c r="W129"/>
  <c r="V129" s="1"/>
  <c r="BJ129"/>
  <c r="BJ135"/>
  <c r="W135"/>
  <c r="V135" s="1"/>
  <c r="BJ132"/>
  <c r="W132"/>
  <c r="V132" s="1"/>
  <c r="BJ111"/>
  <c r="W111"/>
  <c r="V111" s="1"/>
  <c r="W107"/>
  <c r="V107" s="1"/>
  <c r="BJ107"/>
  <c r="W119"/>
  <c r="V119" s="1"/>
  <c r="BJ119"/>
  <c r="BJ106"/>
  <c r="W106"/>
  <c r="V106" s="1"/>
  <c r="BJ110"/>
  <c r="W110"/>
  <c r="V110" s="1"/>
  <c r="W118"/>
  <c r="V118" s="1"/>
  <c r="BJ118"/>
  <c r="W114"/>
  <c r="V114" s="1"/>
  <c r="BJ114"/>
  <c r="BJ104"/>
  <c r="W104"/>
  <c r="V104" s="1"/>
  <c r="BJ113"/>
  <c r="W113"/>
  <c r="V113" s="1"/>
  <c r="BJ108"/>
  <c r="W108"/>
  <c r="V108" s="1"/>
  <c r="W112"/>
  <c r="V112" s="1"/>
  <c r="BJ112"/>
  <c r="W116"/>
  <c r="V116" s="1"/>
  <c r="BJ116"/>
  <c r="BJ115"/>
  <c r="W115"/>
  <c r="V115" s="1"/>
  <c r="W94"/>
  <c r="V94" s="1"/>
  <c r="BJ94"/>
  <c r="W101"/>
  <c r="V101" s="1"/>
  <c r="BJ101"/>
  <c r="BJ87"/>
  <c r="W87"/>
  <c r="V87" s="1"/>
  <c r="BJ92"/>
  <c r="W92"/>
  <c r="V92" s="1"/>
  <c r="W90"/>
  <c r="V90" s="1"/>
  <c r="BJ90"/>
  <c r="BJ96"/>
  <c r="W96"/>
  <c r="V96" s="1"/>
  <c r="W98"/>
  <c r="V98" s="1"/>
  <c r="BJ98"/>
  <c r="BJ100"/>
  <c r="W100"/>
  <c r="V100" s="1"/>
  <c r="W102"/>
  <c r="V102" s="1"/>
  <c r="BJ102"/>
  <c r="W93"/>
  <c r="V93" s="1"/>
  <c r="BJ93"/>
  <c r="W95"/>
  <c r="V95" s="1"/>
  <c r="BJ95"/>
  <c r="BJ91"/>
  <c r="W91"/>
  <c r="V91" s="1"/>
  <c r="W89"/>
  <c r="V89" s="1"/>
  <c r="BJ89"/>
  <c r="W97"/>
  <c r="V97" s="1"/>
  <c r="BJ97"/>
  <c r="W99"/>
  <c r="V99" s="1"/>
  <c r="BJ99"/>
  <c r="W77"/>
  <c r="V77" s="1"/>
  <c r="BJ77"/>
  <c r="W84"/>
  <c r="V84" s="1"/>
  <c r="BJ84"/>
  <c r="W73"/>
  <c r="V73" s="1"/>
  <c r="BJ73"/>
  <c r="BJ71"/>
  <c r="W71"/>
  <c r="V71" s="1"/>
  <c r="W81"/>
  <c r="V81" s="1"/>
  <c r="BJ81"/>
  <c r="BJ75"/>
  <c r="W75"/>
  <c r="V75" s="1"/>
  <c r="W85"/>
  <c r="V85" s="1"/>
  <c r="BJ85"/>
  <c r="BJ79"/>
  <c r="W79"/>
  <c r="V79" s="1"/>
  <c r="BJ74"/>
  <c r="W74"/>
  <c r="V74" s="1"/>
  <c r="BJ83"/>
  <c r="W83"/>
  <c r="V83" s="1"/>
  <c r="BJ70"/>
  <c r="W70"/>
  <c r="V70" s="1"/>
  <c r="W78"/>
  <c r="V78" s="1"/>
  <c r="BJ78"/>
  <c r="W80"/>
  <c r="V80" s="1"/>
  <c r="BJ80"/>
  <c r="W82"/>
  <c r="V82" s="1"/>
  <c r="BJ82"/>
  <c r="W66"/>
  <c r="V66" s="1"/>
  <c r="BJ66"/>
  <c r="W53"/>
  <c r="V53" s="1"/>
  <c r="BJ53"/>
  <c r="W60"/>
  <c r="V60" s="1"/>
  <c r="BJ60"/>
  <c r="BJ59"/>
  <c r="W59"/>
  <c r="V59" s="1"/>
  <c r="W64"/>
  <c r="V64" s="1"/>
  <c r="BJ64"/>
  <c r="BJ63"/>
  <c r="W63"/>
  <c r="V63" s="1"/>
  <c r="BJ58"/>
  <c r="W58"/>
  <c r="V58" s="1"/>
  <c r="BJ67"/>
  <c r="W67"/>
  <c r="V67" s="1"/>
  <c r="W57"/>
  <c r="V57" s="1"/>
  <c r="BJ57"/>
  <c r="W56"/>
  <c r="V56" s="1"/>
  <c r="BJ56"/>
  <c r="W55"/>
  <c r="V55" s="1"/>
  <c r="BJ55"/>
  <c r="W62"/>
  <c r="V62" s="1"/>
  <c r="BJ62"/>
  <c r="W42"/>
  <c r="V42" s="1"/>
  <c r="BJ42"/>
  <c r="BJ45"/>
  <c r="W45"/>
  <c r="V45" s="1"/>
  <c r="BJ49"/>
  <c r="W49"/>
  <c r="V49" s="1"/>
  <c r="W40"/>
  <c r="V40" s="1"/>
  <c r="BJ40"/>
  <c r="BJ50"/>
  <c r="W50"/>
  <c r="V50" s="1"/>
  <c r="W47"/>
  <c r="V47" s="1"/>
  <c r="BJ47"/>
  <c r="W48"/>
  <c r="V48" s="1"/>
  <c r="BJ48"/>
  <c r="BJ46"/>
  <c r="W46"/>
  <c r="V46" s="1"/>
  <c r="W36"/>
  <c r="V36" s="1"/>
  <c r="BJ36"/>
  <c r="W51"/>
  <c r="V51" s="1"/>
  <c r="BJ51"/>
  <c r="W37"/>
  <c r="V37" s="1"/>
  <c r="BJ37"/>
  <c r="W39"/>
  <c r="V39" s="1"/>
  <c r="BJ39"/>
  <c r="W43"/>
  <c r="V43" s="1"/>
  <c r="BJ43"/>
  <c r="W44"/>
  <c r="V44" s="1"/>
  <c r="BJ44"/>
  <c r="BJ41"/>
  <c r="W41"/>
  <c r="V41" s="1"/>
  <c r="W31"/>
  <c r="V31" s="1"/>
  <c r="BJ31"/>
  <c r="BJ29"/>
  <c r="W29"/>
  <c r="V29" s="1"/>
  <c r="W27"/>
  <c r="V27" s="1"/>
  <c r="BJ27"/>
  <c r="W22"/>
  <c r="V22" s="1"/>
  <c r="BJ22"/>
  <c r="BJ33"/>
  <c r="W33"/>
  <c r="V33" s="1"/>
  <c r="W19"/>
  <c r="V19" s="1"/>
  <c r="BJ19"/>
  <c r="W32"/>
  <c r="V32" s="1"/>
  <c r="BJ32"/>
  <c r="W23"/>
  <c r="V23" s="1"/>
  <c r="BJ23"/>
  <c r="W30"/>
  <c r="V30" s="1"/>
  <c r="BJ30"/>
  <c r="BJ24"/>
  <c r="W24"/>
  <c r="V24" s="1"/>
  <c r="BJ20"/>
  <c r="W20"/>
  <c r="V20" s="1"/>
  <c r="BJ21"/>
  <c r="W21"/>
  <c r="V21" s="1"/>
  <c r="W34"/>
  <c r="V34" s="1"/>
  <c r="BJ34"/>
  <c r="BJ25"/>
  <c r="W25"/>
  <c r="V25" s="1"/>
  <c r="W26"/>
  <c r="V26" s="1"/>
  <c r="BJ26"/>
  <c r="BJ9"/>
  <c r="W9"/>
  <c r="V9" s="1"/>
  <c r="W14"/>
  <c r="V14" s="1"/>
  <c r="BJ14"/>
  <c r="W17"/>
  <c r="V17" s="1"/>
  <c r="BJ17"/>
  <c r="BJ16"/>
  <c r="W16"/>
  <c r="V16" s="1"/>
  <c r="W10"/>
  <c r="V10" s="1"/>
  <c r="BJ10"/>
  <c r="W7"/>
  <c r="V7" s="1"/>
  <c r="BJ7"/>
  <c r="BJ12"/>
  <c r="W12"/>
  <c r="V12" s="1"/>
  <c r="W11"/>
  <c r="V11" s="1"/>
  <c r="BJ11"/>
  <c r="W15"/>
  <c r="V15" s="1"/>
  <c r="BJ15"/>
  <c r="W3"/>
  <c r="V3" s="1"/>
  <c r="BJ3"/>
  <c r="W2"/>
  <c r="V2" s="1"/>
  <c r="BJ2"/>
  <c r="BJ4"/>
  <c r="W4"/>
  <c r="V4" s="1"/>
  <c r="W6"/>
  <c r="V6" s="1"/>
  <c r="BJ6"/>
  <c r="BJ8"/>
  <c r="W8"/>
  <c r="V8" s="1"/>
  <c r="BF17" i="94"/>
  <c r="BD5"/>
  <c r="BB8"/>
  <c r="BA8"/>
  <c r="BC6"/>
  <c r="BA6"/>
  <c r="BA3"/>
  <c r="BB2"/>
  <c r="BD3"/>
  <c r="BC17"/>
  <c r="BA16"/>
  <c r="BE14"/>
  <c r="BC13"/>
  <c r="BA12"/>
  <c r="BG2"/>
  <c r="BD17"/>
  <c r="BF14"/>
  <c r="BH10"/>
  <c r="BF9"/>
  <c r="BE8"/>
  <c r="BE7"/>
  <c r="BE6"/>
  <c r="BE5"/>
  <c r="BE4"/>
  <c r="BE3"/>
  <c r="BE11"/>
  <c r="BF2"/>
  <c r="BE9"/>
  <c r="BG10"/>
  <c r="BE15"/>
  <c r="BF15"/>
  <c r="BB16"/>
  <c r="BD13"/>
  <c r="BB12"/>
  <c r="BA15"/>
  <c r="BC12"/>
  <c r="BA11"/>
  <c r="BC15"/>
  <c r="BA14"/>
  <c r="BC11"/>
  <c r="BA10"/>
  <c r="BD15"/>
  <c r="BB14"/>
  <c r="BH12"/>
  <c r="BD11"/>
  <c r="BB10"/>
  <c r="BD2"/>
  <c r="BA17"/>
  <c r="BC14"/>
  <c r="BA13"/>
  <c r="BG11"/>
  <c r="BC10"/>
  <c r="BC9"/>
  <c r="BE2"/>
  <c r="BB17"/>
  <c r="BD14"/>
  <c r="BB13"/>
  <c r="BH11"/>
  <c r="BD10"/>
  <c r="BD9"/>
  <c r="BC3"/>
  <c r="BD16"/>
  <c r="AV11"/>
  <c r="AY17"/>
  <c r="BH17" s="1"/>
  <c r="AP14"/>
  <c r="BH14" s="1"/>
  <c r="AM12"/>
  <c r="BE12" s="1"/>
  <c r="AJ9"/>
  <c r="BB9" s="1"/>
  <c r="AM13"/>
  <c r="AV10"/>
  <c r="AN13"/>
  <c r="AN12"/>
  <c r="AN11"/>
  <c r="BF11" s="1"/>
  <c r="AN10"/>
  <c r="BF10" s="1"/>
  <c r="AW13"/>
  <c r="AW12"/>
  <c r="AM10"/>
  <c r="AV13"/>
  <c r="AO17"/>
  <c r="BG17" s="1"/>
  <c r="AO16"/>
  <c r="BG16" s="1"/>
  <c r="AO14"/>
  <c r="BG14" s="1"/>
  <c r="AP16"/>
  <c r="BH16" s="1"/>
  <c r="AP15"/>
  <c r="BH15" s="1"/>
  <c r="N25" i="103" l="1"/>
  <c r="BE13" i="94"/>
  <c r="BI7"/>
  <c r="BJ7" s="1"/>
  <c r="BJ101" i="98"/>
  <c r="BJ96"/>
  <c r="T86"/>
  <c r="W27"/>
  <c r="V27" s="1"/>
  <c r="T52"/>
  <c r="T35"/>
  <c r="BJ94"/>
  <c r="BJ26"/>
  <c r="W23"/>
  <c r="V23" s="1"/>
  <c r="T18" s="1"/>
  <c r="T69"/>
  <c r="BJ77"/>
  <c r="BJ43"/>
  <c r="T1"/>
  <c r="T35" i="95"/>
  <c r="T52"/>
  <c r="T1"/>
  <c r="BI2" i="94"/>
  <c r="BJ2" s="1"/>
  <c r="BF13"/>
  <c r="BF12"/>
  <c r="BI12" s="1"/>
  <c r="BJ12" s="1"/>
  <c r="BE10"/>
  <c r="BI10" s="1"/>
  <c r="BJ10" s="1"/>
  <c r="BI6"/>
  <c r="BJ6" s="1"/>
  <c r="BI5"/>
  <c r="BJ5" s="1"/>
  <c r="BI15"/>
  <c r="BJ15" s="1"/>
  <c r="BI4"/>
  <c r="BJ4" s="1"/>
  <c r="BI3"/>
  <c r="BJ3" s="1"/>
  <c r="BI9"/>
  <c r="BJ9" s="1"/>
  <c r="BI11"/>
  <c r="BJ11" s="1"/>
  <c r="BI8"/>
  <c r="BJ8" s="1"/>
  <c r="BI14"/>
  <c r="BJ14" s="1"/>
  <c r="BI16"/>
  <c r="BJ16" s="1"/>
  <c r="BI17"/>
  <c r="BJ17" s="1"/>
  <c r="N26" i="103" l="1"/>
  <c r="BI13" i="94"/>
  <c r="BJ13" s="1"/>
  <c r="W7"/>
  <c r="V7" s="1"/>
  <c r="W9"/>
  <c r="V9" s="1"/>
  <c r="W10"/>
  <c r="V10" s="1"/>
  <c r="W5"/>
  <c r="V5" s="1"/>
  <c r="W4"/>
  <c r="V4" s="1"/>
  <c r="W3"/>
  <c r="V3" s="1"/>
  <c r="W12"/>
  <c r="V12" s="1"/>
  <c r="W11"/>
  <c r="V11" s="1"/>
  <c r="W8"/>
  <c r="V8" s="1"/>
  <c r="W14"/>
  <c r="V14" s="1"/>
  <c r="W6"/>
  <c r="V6" s="1"/>
  <c r="W15"/>
  <c r="V15" s="1"/>
  <c r="W2"/>
  <c r="W17"/>
  <c r="V17" s="1"/>
  <c r="W16"/>
  <c r="V16" s="1"/>
  <c r="W13" l="1"/>
  <c r="V13" s="1"/>
  <c r="T1" s="1"/>
</calcChain>
</file>

<file path=xl/sharedStrings.xml><?xml version="1.0" encoding="utf-8"?>
<sst xmlns="http://schemas.openxmlformats.org/spreadsheetml/2006/main" count="2183" uniqueCount="823">
  <si>
    <t>IT</t>
  </si>
  <si>
    <t>Electricity</t>
  </si>
  <si>
    <t>Plumber</t>
  </si>
  <si>
    <t>Electrician</t>
  </si>
  <si>
    <t>Buildings</t>
  </si>
  <si>
    <t>Location</t>
  </si>
  <si>
    <t>stopped</t>
  </si>
  <si>
    <t>faulty</t>
  </si>
  <si>
    <t>available</t>
  </si>
  <si>
    <t>interfere</t>
  </si>
  <si>
    <t>Ввод</t>
  </si>
  <si>
    <t>Теплообменник</t>
  </si>
  <si>
    <t>Насос1</t>
  </si>
  <si>
    <t>Насос2</t>
  </si>
  <si>
    <t>Насос3</t>
  </si>
  <si>
    <t>Котел1</t>
  </si>
  <si>
    <t>Котел2</t>
  </si>
  <si>
    <t>набор,мощности</t>
  </si>
  <si>
    <t>in,work</t>
  </si>
  <si>
    <t>not,available</t>
  </si>
  <si>
    <t>not,interfere</t>
  </si>
  <si>
    <t>Emeregency,service</t>
  </si>
  <si>
    <t>Nature,object</t>
  </si>
  <si>
    <t>Nature,event</t>
  </si>
  <si>
    <t>1,0,0,0,0,0,0,0,1,0,0,0,0,0,0,0,0,1,0,0,0,0,0,0,1,0,0,0,0,0,0,0,1,0,0,0,0,0,0,0,0,1,0,0,0,0,0,0,0,1,0,0,0,0,0,0,0,1,0,0,0,0,0,0,0,0,0,0,1,0,0,0,0,0,0,0,0,1,0,0,0,0,0,0,0,1,0,0,0,0,0,0,0,1,0,0,0,0,0,0,0,0,0,1,0,0,0,0,0,0,1,0,1,0,0,0,0,0,0,0,1,0,0,0,0,0,0,0,0,0,0,1,0,0,0,0,1,0,0,0,0,0,0,0,1,0,0,0,0,0,0,0,0,1,0,0,0,0,0,0,0,0,0,1,0,0,0,0,0,1,0,0,0,0,0,0,0,0,0,0,1,0,0,0,0,0,0,0,0,1,0,0,0,0,0,0,0,1,0,0,0,0,0,0,1,0,0,0,0,0,0,0,0,0,0,1,0,0,0,0,0,0,1,0</t>
  </si>
  <si>
    <t>,1,0,0,0,0,0,0,0,1,0,0,0,0,0,0,0,0,1,0,0,0,0,0,0,1,0,0,0,0,0,0,0,1,0,0,0,0,0,0,0,0,1,0,0,0,0,0,0,0,1,0,0,0,0,0,0,0,1,0,0,0,0,0,0,0,0,0,0,1,0,0,0,0,0,0,0,0,1,0,0,0,0,0,0,0,1,0,0,0,0,0,0,0,1,0,0,0,0,0,0,0,0,0,1,0,0,0,0,0,0,1,0,1,0,0,0,0,0,0,0,1,0,0,0,0,0,0,0,0,0,0,1,0,0,0,0,1,0,0,0,0,0,0,0,1,0,0,0,0,0,0,0,0,1,0,0,0,0,0,0,0,0,0,1,0,0,0,0,0,1,0,0,0,0,0,0,0,0,0,0,1,0,0,0,0,0,0,0,0,1,0,0,0,0,0,0,0,1,0,0,0,0,0,0,1,0,0,0,0,0,0,0,0,0,0,1,0,0,0,0,0,0,1,0,,,,,,,,,,,,,,,,,1,0,1,0,0,1,0,0,1,0,0,0,1,0,0,0,0,1,0,0,0,1,0,0,0,1,1,0,0,1,0,1,0,1,0,1,1,0,0,1,0,1,,,,,,,,,,,,,,,,,,,,,,,,,,,,,,,,,,,,,,,,,,,,,,,,,,,,,,,,,,,,,,,,,,,,,,,,,,,,,,,,,,,,,,,,,,,,,,,,,,,,,,,,1,,,,,,,,1,,,,,,,,1,,0.04,0.06,0.1,0.12,0.15,0.08,1,,,,,,,,1,,,,,,,,1,,,,,,,,1,,,,,,,,1,,,,,,,,1,,,,,,,,1,,,,,,,,1,,,,,,,,1,,,,,,,,1,,,,,,,,,,,,,,,,,,,,,,,,,,,,,,,,,,,,,,,,,,,,,,,,,,,,,,,,,,,,,,,,,,,,,,,,,,,,,,,,,,,,,,,,,,,,,,,,,,,,,,,,,,,,,,,,,,,,,,,,1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</t>
  </si>
  <si>
    <t>0,1,0,1,0,1,0,0,0,0,0,1,0,0,1,0,0,1,0,0,1,0,0,0,0,1,0,1,0,1,0,1,1,0,0,1,0,1,0,1,1,0,0,1,1,0,0,1,0,0,0,0,0,1,0,0,1,0,0,1,0,0,1,0,0,0,0,1,0,1,0,1,0,1,1,0,0,1,0,1,0,1,1,0</t>
  </si>
  <si>
    <t>0,1,0,1,0,1,0,0,0,0,0,1,0,0,1,0,0,1,0,0,1,0,0,0,0,1,0,1,0,1,0,1,1,0,0,1,0,1,0,1,1,0,0,1,1,0,0,1,0,0,0,0,0,1,0,0,1,0,0,1,0,0,1,0,0,0,0,1,0,1,0,1,0,1,1,0,1,0,0,1,0,1,0,1</t>
  </si>
  <si>
    <t>0,1,0,1,0,1,0,0,0,0,0,1,0,0,1,0,0,1,0,0,1,0,0,0,0,1,0,1,0,1,0,1,1,0,0,1,0,1,0,1,1,0,0,1,1,0,0,1,0,0,0,0,0,1,0,0,1,0,0,0,1,0,1,0,0,0,0,1,0,1,0,1,0,1,1,0,1,0,0,1,0,1,0,1</t>
  </si>
  <si>
    <t>0,1,0,1,0,1,0,0,0,0,0,1,0,0,1,0,0,1,0,0,1,0,0,0,0,1,0,1,0,1,0,1,1,0,0,1,0,1,0,1,1,0,0,1,0,1,0,1,0,0,0,0,0,1,0,0,1,0,0,1,0,0,1,0,0,0,0,1,0,1,0,1,0,1,0,1,0,1,0,1,0,1,1,0</t>
  </si>
  <si>
    <t>0,1,9,9,9,9,9,9,0,1,9,9,9,9,9,9,1,0,0,0,9,9,9,9,0,0,0,1,9,9,9,9,0,0,1,0,9,9,9,9,0,1,0,0,9,9,9,9,0,1,0,0,9,9,9,9,1,0,9,9,9,9,9,9,9,9,9,9,0,1,9,9,9,9,9,9,0,1,9,9,9,9,9,9,0,1,9,9,9,9,9,9,0,1,9,9,9,9,9,9,9,9,0,1,9,9,9,9,9,9,0,1,9,9,9,9,9,9,0,1,9,9,9,9,9,9,0,1</t>
  </si>
  <si>
    <t>0,1,9,9,9,9,9,9,0,1,9,9,9,9,9,9,0,1,0,0,9,9,9,9,0,0,0,1,9,9,9,9,0,0,1,0,9,9,9,9,0,1,0,0,9,9,9,9,1,0,0,0,9,9,9,9,0,1,9,9,9,9,9,9,9,9,9,9,0,1,9,9,9,9,9,9,0,1,9,9,9,9,9,9,0,1,9,9,9,9,9,9,1,0,9,9,9,9,9,9,9,9,0,1,9,9,9,9,9,9,0,1,9,9,9,9,9,9,0,1,9,9,9,9,9,9,1,0</t>
  </si>
  <si>
    <t>0,1,9,9,9,9,9,9,0,1,9,9,9,9,9,9,0,1,0,0,9,9,9,9,1,0,0,0,9,9,9,9,0,0,1,0,9,9,9,9,0,1,0,0,9,9,9,9,0,0,1,0,9,9,9,9,1,0,9,9,9,9,9,9,9,9,9,9,0,1,9,9,9,9,9,9,0,1,9,9,9,9,9,9,0,1,9,9,9,9,9,9,1,0,9,9,9,9,9,9,9,9,0,1,9,9,9,9,9,9,0,1,9,9,9,9,9,9,0,1,9,9,9,9,9,9,1,0</t>
  </si>
  <si>
    <t>1,0,9,9,9,9,9,9,1,0,9,9,9,9,9,9,0,1,0,0,9,9,9,9,0,1,0,0,9,9,9,9,0,1,0,0,9,9,9,9,0,1,0,0,9,9,9,9,0,1,0,0,9,9,9,9,0,1,9,9,9,9,9,9,9,9,9,9,0,1,9,9,9,9,9,9,0,1,9,9,9,9,9,9,0,1,9,9,9,9,9,9,0,1,9,9,9,9,9,9,9,9,0,1,9,9,9,9,9,9,0,1,9,9,9,9,9,9,0,1,9,9,9,9,9,9,1,0</t>
  </si>
  <si>
    <t>0,1,9,9,9,9,9,9,0,1,9,9,9,9,9,9,0,1,0,0,9,9,9,9,0,0,0,1,9,9,9,9,0,0,1,0,9,9,9,9,0,1,0,0,9,9,9,9,1,0,0,0,9,9,9,9,0,1,9,9,9,9,9,9,9,9,9,9,0,1,9,9,9,9,9,9,0,1,9,9,9,9,9,9,1,0,9,9,9,9,9,9,0,1,9,9,9,9,9,9,9,9,0,1,9,9,9,9,9,9,0,1,9,9,9,9,9,9,0,1,9,9,9,9,9,9,0,1</t>
  </si>
  <si>
    <t>0,1,9,9,9,9,9,9,0,1,9,9,9,9,9,9,0,1,0,0,9,9,9,9,1,0,0,0,9,9,9,9,0,0,1,0,9,9,9,9,0,1,0,0,9,9,9,9,1,0,0,0,9,9,9,9,1,0,9,9,9,9,9,9,9,9,9,9,0,1,9,9,9,9,9,9,1,0,9,9,9,9,9,9,0,1,9,9,9,9,9,9,0,1,9,9,9,9,9,9,9,9,0,1,9,9,9,9,9,9,1,0,9,9,9,9,9,9,0,1,9,9,9,9,9,9,0,1</t>
  </si>
  <si>
    <t>1,0,9,9,9,9,9,9,1,0,9,9,9,9,9,9,0,1,0,0,9,9,9,9,0,0,0,1,9,9,9,9,1,0,0,0,9,9,9,9,1,0,0,0,9,9,9,9,1,0,0,0,9,9,9,9,1,0,9,9,9,9,9,9,9,9,9,9,0,1,9,9,9,9,9,9,0,1,9,9,9,9,9,9,0,1,9,9,9,9,9,9,0,1,9,9,9,9,9,9,9,9,0,1,9,9,9,9,9,9,0,1,9,9,9,9,9,9,0,1,9,9,9,9,9,9,0,1</t>
  </si>
  <si>
    <t>0,1,0,1,1,0,0,0,0,0,0,1,0,0,1,0,0,1,0,0,0,1,0,0,1,0,0,1,0,1,0,1,0,1,0,1,0,1,0,1,0,1</t>
  </si>
  <si>
    <t>0,1,0,1,0,1,0,0,0,0,0,1,0,0,1,0,0,1,0,0,1,0,0,0,0,1,0,1,0,1,0,1,1,0,0,1,0,1,0,1,1,0</t>
  </si>
  <si>
    <t>0,1,0,1,0,1,0,0,1,0,0,0,0,0,1,0,0,1,0,0,0,0,1,0,1,0,0,1,0,1,0,1,1,0,0,1,0,1,0,1,1,0</t>
  </si>
  <si>
    <t>1,0,1,0,0,1,0,0,0,1,0,0,0,1,0,0,0,1,0,0,0,1,0,0,0,1,0,1,0,1,0,1,0,1,0,1,0,1,0,1,1,0</t>
  </si>
  <si>
    <t>0,1,0,1,0,1,0,0,0,0,0,1,0,0,1,0,0,1,0,0,1,0,0,0,0,1,0,1,0,1,1,0,0,1,0,1,0,1,0,1,0,1</t>
  </si>
  <si>
    <t>0,1,0,1,0,1,0,0,1,0,0,0,0,0,1,0,0,1,0,0,1,0,0,0,1,0,0,1,1,0,0,1,0,1,0,1,1,0,0,1,0,1</t>
  </si>
  <si>
    <t>1,0,1,0,0,1,0,0,0,0,0,1,1,0,0,0,1,0,0,0,1,0,0,0,1,0,0,1,0,1,0,1,0,1,0,1,0,1,0,1,0,1</t>
  </si>
  <si>
    <t>5,2,2,5,2,2,2,2,1,3,3,2,4,1,1,4</t>
  </si>
  <si>
    <t>2,2,3,3,2,2,5,1,1,3,3,1,1,4,1,1</t>
  </si>
  <si>
    <t>2,2,5,1,1,2,2,5,3,2,2,5,1,1,1,1</t>
  </si>
  <si>
    <t>1,1,2,2,2,3,5,2,2,2,2,4,1,1,1,5</t>
  </si>
  <si>
    <t>1,1,1,5,2,3,2,5,3,1,1,5,1,1,1,5</t>
  </si>
  <si>
    <t>1,1,3,3,3,3,3,2,1,1,1,1,1,1,1,5</t>
  </si>
  <si>
    <t>1,1,3,1,1,3,5,1,1,1,5,1,1,1,1,1</t>
  </si>
  <si>
    <t>1,1,3,5,1,3,5,1,1,3,1,1,1,5,1,1</t>
  </si>
  <si>
    <t>1,1,3,1,1,3,5,1,1,1,1,3,1,1,1,5</t>
  </si>
  <si>
    <t>5,5,5,1,1,3,1,1,1,1,1,5,1,1,1,5</t>
  </si>
  <si>
    <t>5,5,3,1,5,5,5,5,1,1,1,1,1,1,1,1</t>
  </si>
  <si>
    <t>1,0,9,9,9,9,9,9,1,0,9,9,9,9,9,9,1,0,0,0,9,9,9,9,0,0,0,1,9,9,9,9,0,0,1,0,9,9,9,9,0,1,0,0,9,9,9,9,0,0,0,1,9,9,9,9,1,0,9,9,9,9,9,9,9,9,9,9,0,1,9,9,9,9,9,9,0,1,9,9,9,9,9,9,0,1,9,9,9,9,9,9,1,0,9,9,9,9,9,9,9,9,0,1,9,9,9,9,9,9,0,1,9,9,9,9,9,9,0,1,9,9,9,9,9,9,1,0</t>
  </si>
  <si>
    <t>1,0,1,0,1,0,0,0,0,0,0,1,0,0,1,0,0,1,0,0,0,0,0,1,1,0,0,1,0,1,0,1,1,0,0,1,0,1,0,1,1,0</t>
  </si>
  <si>
    <t>1,0,9,9,9,9,9,9,0,1,9,9,9,9,9,9,0,1,0,0,9,9,9,9,0,1,0,0,9,9,9,9,0,1,0,0,9,9,9,9,0,1,0,0,9,9,9,9,0,0,0,1,9,9,9,9,0,1,9,9,9,9,9,9,9,9,9,9,0,1,9,9,9,9,9,9,1,0,9,9,9,9,9,9,0,1,9,9,9,9,9,9,1,0,9,9,9,9,9,9,9,9,1,0,9,9,9,9,9,9,0,1,9,9,9,9,9,9,0,1,9,9,9,9,9,9,1,0</t>
  </si>
  <si>
    <t>1,0,0,1,0,1,0,0,0,1,0,0,0,1,0,0,0,1,0,0,0,0,0,1,0,1,0,1,1,0,0,1,1,0,1,0,0,1,0,1,1,0</t>
  </si>
  <si>
    <t>5,2,2,3,2,2,2,2,1,3,3,2,4,1,1,4</t>
  </si>
  <si>
    <t>0,1,9,9,9,9,9,9,0,1,9,9,9,9,9,9,0,1,0,0,9,9,9,9,0,1,0,0,9,9,9,9,0,0,1,0,9,9,9,9,0,1,0,0,9,9,9,9,1,0,0,0,9,9,9,9,0,1,9,9,9,9,9,9,9,9,9,9,0,1,9,9,9,9,9,9,1,0,9,9,9,9,9,9,0,1,9,9,9,9,9,9,0,1,9,9,9,9,9,9,9,9,0,1,9,9,9,9,9,9,0,1,9,9,9,9,9,9,1,0,9,9,9,9,9,9,0,1</t>
  </si>
  <si>
    <t>0,1,0,1,0,1,0,0,0,1,0,0,0,0,1,0,0,1,0,0,1,0,0,0,0,1,0,1,1,0,0,1,0,1,0,1,0,1,1,0,0,1</t>
  </si>
  <si>
    <t>2,2,3,3,1,3,5,1,1,3,1,1,1,1,5,1</t>
  </si>
  <si>
    <t>0,1,0,1,0,1,0,0,0,0,0,1,0,0,1,0,0,1,0,0,1,0,0,0,0,1,0,1,0,1,0,1,0,1,0,1,0,1,0,1,1,0</t>
  </si>
  <si>
    <t>0,1,0,1,0,1,0,0,0,0,0,1,0,0,1,0,0,1,0,0,1,0,0,0,0,1,1,0,0,1,0,1,1,0,0,1,0,1,0,1,1,0</t>
  </si>
  <si>
    <t>0,1,0,1,1,0,0,0,0,0,0,1,0,0,1,0,0,1,0,0,1,0,0,0,0,1,0,1,0,1,0,1,1,0,1,0,0,1,0,1,1,0</t>
  </si>
  <si>
    <t>0,1,1,0,0,1,0,0,0,0,0,1,0,0,1,0,0,1,0,0,1,0,0,0,0,1,0,1,0,1,0,1,0,1,0,1,0,1,0,1,1,0</t>
  </si>
  <si>
    <t>1,0,0,1,0,1,0,0,0,0,0,1,1,0,0,0,0,1,0,0,1,0,0,0,1,0,0,1,0,1,0,1,0,1,0,1,1,0,0,1,1,0</t>
  </si>
  <si>
    <t>0,1,0,1,1,0,0,0,0,0,0,1,0,0,1,0,0,1,0,0,0,1,0,0,1,0,0,1,0,1,0,1,0,1,0,1,0,1,0,1,0,1,1,0,0,1,0,1,0,0,0,1,0,0,0,0,1,0,0,1,0,0,1,0,0,0,0,1,0,1,1,0,0,1,1,0,0,1,0,1,1,0,0,1,0.489</t>
  </si>
  <si>
    <t>0,1,0,1,1,0,0,0,0,0,0,1,0,0,1,0,0,1,0,0,0,1,0,0,1,0,0,1,0,1,0,1,0,1,0,1,0,1,0,1,0,1,1,0,0,1,0,1,0,0,0,1,0,0,0,0,1,0,0,1,0,0,1,0,0,0,0,1,0,1,1,0,0,1,0,1,1,0,0,1,1,0,0,1,0.6</t>
  </si>
  <si>
    <t>0,1,0,1,1,0,0,0,0,0,0,1,0,0,1,0,0,1,0,0,0,1,0,0,1,0,0,1,0,1,0,1,0,1,0,1,0,1,0,1,0,1,1,0,0,1,0,1,0,0,0,1,0,0,0,0,1,0,0,1,0,0,1,0,0,0,0,1,0,1,1,0,0,1,0,1,0,1,1,0,1,0,0,1,0.6</t>
  </si>
  <si>
    <t>0,1,0,1,1,0,0,0,0,0,0,1,0,0,1,0,0,1,0,0,0,1,0,0,1,0,0,1,0,1,0,1,0,1,0,1,0,1,0,1,0,1,1,0,0,1,0,1,0,0,0,1,0,0,0,0,1,0,0,1,0,0,1,0,0,0,0,1,0,1,1,0,0,1,0,1,0,1,0,1,0,1,0,1,0.655</t>
  </si>
  <si>
    <t>0,1,0,1,1,0,0,0,0,0,0,1,0,0,1,0,0,1,0,0,0,1,0,0,1,0,0,1,0,1,0,1,0,1,0,1,0,1,0,1,0,1,1,0,0,1,0,1,0,0,0,1,0,0,0,0,1,0,0,1,0,0,1,0,0,0,0,1,0,1,1,0,0,1,0,1,0,1,0,1,1,0,1,0,0.6</t>
  </si>
  <si>
    <t>0,1,0,1,1,0,0,0,0,0,0,1,0,0,1,0,0,1,0,0,0,1,0,0,1,0,0,1,0,1,0,1,0,1,0,1,0,1,0,1,0,1,1,0,1,0,0,1,0,0,0,1,0,0,0,0,1,0,0,1,0,0,1,0,0,0,0,1,0,1,1,0,0,1,0,1,0,1,0,1,1,0,0,1,0.572</t>
  </si>
  <si>
    <t>0,1,0,1,1,0,0,0,0,0,0,1,0,0,1,0,0,1,0,0,0,1,0,0,1,0,0,1,0,1,0,1,0,1,0,1,0,1,0,1,0,1,0,1,0,1,0,0,1,0,0,1,0,0,0,0,1,0,0,1,0,0,1,0,0,0,0,1,0,1,0,1,0,1,0,1,0,1,0,1,1,0,0,1,0.669</t>
  </si>
  <si>
    <t>0,1,0,1,1,0,0,0,0,0,0,1,0,0,1,0,0,1,0,0,0,1,0,0,1,0,0,1,0,1,0,1,0,1,0,1,0,1,0,1,0,1,0,1,0,1,0,0,1,0,0,1,0,0,0,0,1,0,0,1,0,0,1,0,0,0,0,1,0,1,1,0,1,0,0,1,0,1,0,1,1,0,0,1,0.558</t>
  </si>
  <si>
    <t>0,1,0,1,1,0,0,0,0,0,0,1,0,0,1,0,0,1,0,0,0,1,0,0,1,0,0,1,0,1,0,1,0,1,0,1,0,1,0,1,0,1,0,1,0,1,0,0,1,0,0,1,0,0,0,0,1,0,0,1,0,0,1,0,0,0,0,1,0,1,1,0,0,1,1,0,0,1,0,1,1,0,0,1,0.475</t>
  </si>
  <si>
    <t>0,1,0,1,1,0,0,0,0,0,0,1,0,0,1,0,0,1,0,0,0,1,0,0,1,0,0,1,0,1,0,1,0,1,0,1,0,1,0,1,0,1,0,1,0,1,0,0,1,0,0,1,0,0,0,0,1,0,0,1,0,0,1,0,0,0,0,1,0,1,1,0,0,1,0,1,1,0,0,1,1,0,0,1,0.586</t>
  </si>
  <si>
    <t>0,1,0,1,1,0,0,0,0,0,0,1,0,0,1,0,0,1,0,0,0,1,0,0,1,0,0,1,0,1,0,1,0,1,0,1,0,1,0,1,0,1,0,1,0,1,0,0,1,0,0,1,0,0,0,0,1,0,0,1,0,0,1,0,0,0,0,1,0,1,1,0,0,1,0,1,0,1,1,0,1,0,0,1,0.586</t>
  </si>
  <si>
    <t>0,1,0,1,1,0,0,0,0,0,0,1,0,0,1,0,0,1,0,0,0,1,0,0,1,0,0,1,0,1,0,1,0,1,0,1,0,1,0,1,0,1,0,1,0,1,0,0,1,0,0,1,0,0,0,0,1,0,0,1,0,0,1,0,0,0,0,1,0,1,1,0,0,1,0,1,0,1,0,1,0,1,0,1,0.642</t>
  </si>
  <si>
    <t>1,0,1,0,0,1,0,0,0,1,0,0,0,1,0,0,0,1,0,0,0,1,0,0,0,1,0,1,0,1,0,1,0,1,0,1,0,1,0,1,1,0,0,1,0,1,0,0,0,1,1,0,0,0,0,0,1,0,0,1,0,0,1,0,0,0,0,1,0,1,1,0,0,1,0,1,0,1,0,1,1,0,0,1,0.419</t>
  </si>
  <si>
    <t>1,0,1,0,0,1,0,0,0,1,0,0,0,1,0,0,0,1,0,0,0,1,0,0,0,1,0,1,0,1,0,1,0,1,0,1,0,1,0,1,1,0,0,1,0,1,1,0,0,0,1,0,0,0,0,0,1,0,0,1,0,0,1,0,0,0,0,1,0,1,1,0,0,1,0,1,0,1,0,1,1,0,0,1,0.516</t>
  </si>
  <si>
    <t>1,0,1,0,0,1,0,0,0,1,0,0,0,1,0,0,0,1,0,0,0,1,0,0,0,1,0,1,0,1,0,1,0,1,0,1,0,1,0,1,1,0,0,1,0,1,0,1,0,0,0,1,0,0,0,0,1,0,0,1,0,0,1,0,0,0,0,1,0,1,1,0,0,1,0,1,0,1,0,1,1,0,0,1,0.574</t>
  </si>
  <si>
    <t>1,0,1,0,0,1,0,0,0,1,0,0,0,1,0,0,0,1,0,0,0,1,0,0,0,1,0,1,0,1,0,1,0,1,0,1,0,1,0,1,1,0,0,1,0,1,0,1,0,0,0,0,1,0,0,0,1,0,0,1,0,0,1,0,0,0,0,1,0,1,1,0,0,1,0,1,0,1,0,1,1,0,0,1,0.468</t>
  </si>
  <si>
    <t>1,0,1,0,0,1,0,0,0,1,0,0,0,1,0,0,0,1,0,0,0,1,0,0,0,1,0,1,0,1,0,1,0,1,0,1,0,1,0,1,1,0,0,1,0,1,0,1,0,0,0,0,0,1,0,0,1,0,0,1,0,0,1,0,0,0,0,1,0,1,1,0,0,1,0,1,0,1,0,1,1,0,0,1,0.448</t>
  </si>
  <si>
    <t>1,0,1,0,0,1,0,0,0,1,0,0,0,1,0,0,0,1,0,0,0,1,0,0,0,1,0,1,0,1,0,1,0,1,0,1,0,1,0,1,1,0,0,1,0,1,0,1,0,0,1,0,0,0,0,0,0,1,0,1,0,0,1,0,0,0,0,1,0,1,1,0,0,1,0,1,0,1,0,1,1,0,0,1,0.526</t>
  </si>
  <si>
    <t>1,0,1,0,0,1,0,0,0,1,0,0,0,1,0,0,0,1,0,0,0,1,0,0,0,1,0,1,0,1,0,1,0,1,0,1,0,1,0,1,1,0,0,1,0,1,0,1,0,0,1,0,0,0,1,0,0,0,0,1,0,0,1,0,0,0,0,1,0,1,1,0,0,1,0,1,0,1,0,1,1,0,0,1,0.622</t>
  </si>
  <si>
    <t>0,1,1,0,0,1,0,0,0,0,0,1,0,0,1,0,0,1,0,0,1,0,0,0,0,1,0,1,0,1,0,1,1,0,0,1,0,1,0,1,1,0</t>
  </si>
  <si>
    <t>0,1,1,0,0,1,0,0,0,0,0,1,0,0,1,0,0,1,0,0,1,0,0,0,0,1,0,1,0,1,0,1,1,0,1,0,0,1,0,1,0,1</t>
  </si>
  <si>
    <t>0,1,1,0,0,1,0,0,0,0,0,1,0,0,1,0,0,0,1,0,1,0,0,0,0,1,0,1,0,1,0,1,1,0,1,0,0,1,0,1,0,1</t>
  </si>
  <si>
    <t>1,0,0,1,0,1,0,0,0,1,0,0,0,0,1,0,0,1,0,0,1,0,0,0,0,1,0,1,1,0,0,1,1,0,0,1,0,1,1,0,0,1</t>
  </si>
  <si>
    <t>1,0,0,1,0,1,0,0,0,1,0,0,0,0,1,0,0,1,0,0,1,0,0,0,0,1,0,1,1,0,0,1,0,1,1,0,0,1,1,0,0,1</t>
  </si>
  <si>
    <t>,1,0,0,0,0,0,0,0,1,0,0,0,0,0,0,0,0,1,0,0,0,0,0,0,1,0,0,0,0,0,0,0,1,0,0,0,0,0,0,0,0,1,0,0,0,0,0,0,0,1,0,0,0,0,0,0,0,1,0,0,0,0,0,0,0,0,0,0,1,0,0,0,0,0,0,0,0,1,0,0,0,0,0,0,0,1,0,0,0,0,0,0,0,1,0,0,0,0,0,0,0,0,0,1,0,0,0,0,0,0,1,0,1,0,0,0,0,0,0,0,1,0,0,0,0,0,0,0,0,0,0,1,0,0,0,0,1,0,0,0,0,0,0,0,1,0,0,0,0,0,0,0,0,1,0,0,0,0,0,0,0,0,0,1,0,0,0,0,0,1,0,0,0,0,0,0,0,0,0,0,1,0,0,0,0,0,0,0,0,1,0,0,0,0,0,0,0,1,0,0,0,0,0,0,1,0,0,0,0,0,0,0,0,0,0,1,0,0,0,0,0,0,1,0,,,,,,,,,,,,,,,,,1,0,1,0,0,1,0,0,1,0,0,0,1,0,0,0,0,1,0,0,0,1,0,0,0,1,1,0,0,1,0,1,0,1,0,1,1,0,0,1,0,1,,,,,,,,,,,,,,,,,,,,,,,,,,,,,,,,,,,,,,,,,,,,,,,,,,,,,,,,,,,,,,,,,,,,,,,,,,,,,,,,,,,,,,,,,,,,,,,,,,,,,,,,1,,,,,,,,1,,,,,,,,1,,0.04,0.06,0.1,0.12,0.10.08,1,,,,,,,,1,,,,,,,,1,,,,,,,,1,,,,,,,,1,,,,,,,,1,,,,,,,,1,,,,,,,,1,,,,,,,,1,,,,,,,,1,,,,,,,,,,,,,,,,,,,,,,,,,,,,,,,,,,,,,,,,,,,,,,,,,,,,,,,,,,,,,,,,,,,,,,,,,,,,,,,,,,,,,,,,,,,,,,,,,,,,,,,,,,,,,,,,,,,,,,,,1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</t>
  </si>
  <si>
    <t>0,1,0,1,0,1,0,0,0,0,0,1,0,0,1,0,0,1,0,0,0,0.6,0.4,0,0,1,0,1,0,1,0,1,0.3,0.7,0,1,0,1,0,1,1,0</t>
  </si>
  <si>
    <t>0,1,0,1,0,1,0,0,0,0,0,1,0,0,1,0,0,0.8,0,0.2,1,0,0,0,0.3,0.7,0,1,1,0,0,1,0,1,0,1,0,1,0,1,1,0</t>
  </si>
  <si>
    <t>0,1,0,1,1,0,0,0,0,0,0,1,0,0,1,0,0,1,0,0,0,1,0,0,0,1,0,1,0,1,0,1,1,0,0,1,0,1,0,1,0.7,0.3</t>
  </si>
  <si>
    <t>0,1,0,1,1,0,0,0,0,0,0,1,0.8,0.2,0,0,0,1,0,0,0,0,0.6,0.4,0,1,0,1,0,1,0,1,1,0,0,1,0,1,0,1,1,0</t>
  </si>
  <si>
    <t>0.2,0.8,0.3,0.7,0,1,0,0,0,0,0,1,0,1,0,0,0,0.8,0.2,0,1,0,0,0,0,1,0,1,0,1,0,1,0.7,0.3,0.7,0.3,1,0,0,1,0.8,0.2</t>
  </si>
  <si>
    <r>
      <t>,0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1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0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1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0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1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0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0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0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0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0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1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0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0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1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0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0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1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0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0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1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0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0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0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0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1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0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1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0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1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0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1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1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0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0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1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0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1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0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1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1</t>
    </r>
    <r>
      <rPr>
        <sz val="11"/>
        <color rgb="FFCC7832"/>
        <rFont val="Calibri"/>
        <family val="2"/>
        <charset val="204"/>
        <scheme val="minor"/>
      </rPr>
      <t>,</t>
    </r>
    <r>
      <rPr>
        <sz val="11"/>
        <color rgb="FF6897BB"/>
        <rFont val="Calibri"/>
        <family val="2"/>
        <charset val="204"/>
        <scheme val="minor"/>
      </rPr>
      <t>0</t>
    </r>
  </si>
  <si>
    <t>,0.8</t>
  </si>
  <si>
    <t>,0.86</t>
  </si>
  <si>
    <t>,0.9</t>
  </si>
  <si>
    <t>,0.81</t>
  </si>
  <si>
    <t>,0.61</t>
  </si>
  <si>
    <t>0,1,0.2,0.8,0,1,0,0,1,0,0,0,0,1,0,0,0,1,0,0,1,0,0,0,0,1,0,1,0,1,0,1,0.7,0.3,0.7,0.3,1,0,0,1,0.8,0.2</t>
  </si>
  <si>
    <t>,0,1,0,1,0,1,0,0,1,0,0,0,0,0,1,0,0,1,0,0,0,1,0,0,0,1,0,1,0,1,0,1,1,0,1,0,1,0,0,1,1,0</t>
  </si>
  <si>
    <t>проверка нечеткой логики</t>
  </si>
  <si>
    <t>0.6,0.4,0,1,0,1,0,0,0,0,0,1,0,0.4,0.6,0,0,1,0,0,1,0,0,0,0,1,0,1,0,1,0.2,0.8,1,0,0,1,0,1,0,1,0.2,0.8,0,1,0,1,0,1,0,0,0,0,0,1,0,0,1,0,0,1,0,0,1,0,0,0,0,1,0,1,0,1,0,1,1,0,0,1,0,1,0,1,1,0,0.8</t>
  </si>
  <si>
    <t>1,0,0.2,0.8,0,1,0,0,0,0,0,1,0,0.4,0.6,0,0,1,0,0,1,0,0,0,0,1,0,1,0,1,0.2,0.8,1,0,0,1,0,1,0,1,0.2,0.8,0,1,0,1,0,1,0,0,0,0,0,1,0,0,1,0,0,1,0,0,1,0,0,0,0,1,0,1,0,1,0,1,1,0,0,1,0,1,0,1,1,0,0.8</t>
  </si>
  <si>
    <t>0,1,0,1,0,1,0,0,1,0,0,1,0,0,1,0,0,1,0,0,1,0,1,0,0,1,0,1,0,1,1,0,1,0,1,1,0,1,0,1,1,0,0,1,0,1,0,1,0,0,0,0,0,1,0,0,1,0,0,1,0,0,1,0,0,0,0,1,0,1,0,1,0,1,1,0,0,1,0,1,0,1,1,0,0.82</t>
  </si>
  <si>
    <t>0,1,0.2,0.8,0,1,0,0,1,0,0,0,0,1,0,0,0,1,0,0,1,0,0,0,0,1,0,1,0,1,0,1,0.7,0.3,0.7,0.3,1,0,0,1,0.8,0.2,0,1,0,1,0,1,0,0,1,0,0,0,0,0,1,0,0,1,0,0,0,1,0,0,0,1,0,1,0,1,0,1,1,0,1,0,1,0,0,1,1,0,0.86</t>
  </si>
  <si>
    <t>0,1,0,1,0,1,0,0,0,0,0,1,0,0,1,0,0,1,0,0,0,0.6,0.4,0,0,1,0,1,0,1,0,1,0.3,0.7,0,1,0,1,0,1,1,0,0,1,0,1,0,1,0,0,0,0,0,1,0,0,1,0,0,1,0,0,1,0,0,0,0,1,0,1,0,1,0,1,1,0,0,1,0,1,0,1,1,0,0.86</t>
  </si>
  <si>
    <t>0,1,0,1,0,1,0,0,0,0,0,1,0,0,1,0,0,0.8,0,0.2,1,0,0,0,0.3,0.7,0,1,1,0,0,1,0,1,0,1,0,1,0,1,1,0,0,1,0,1,0,1,0,0,0,0,0,1,0,0,1,0,0,1,0,0,1,0,0,0,0,1,0,1,0,1,0,1,1,0,0,1,0,1,0,1,1,0,0.8</t>
  </si>
  <si>
    <t>0,1,0,1,1,0,0,0,0,0,0,1,0,0,1,0,0,1,0,0,0,1,0,0,0,1,0,1,0,1,0,1,1,0,0,1,0,1,0,1,0.7,0.3,0,1,0,1,0,1,0,0,0,0,0,1,0,0,1,0,0,1,0,0,1,0,0,0,0,1,0,1,0,1,0,1,1,0,0,1,0,1,0,1,1,0,0.9</t>
  </si>
  <si>
    <t>0,1,0,1,1,0,0,0,0,0,0,1,0.8,0.2,0,0,0,1,0,0,0,0,0.6,0.4,0,1,0,1,0,1,0,1,1,0,0,1,0,1,0,1,1,0,0,1,0,1,0,1,0,0,0,0,0,1,0,0,1,0,0,1,0,0,1,0,0,0,0,1,0,1,0,1,0,1,1,0,0,1,0,1,0,1,1,0,0.81</t>
  </si>
  <si>
    <t>0.2,0.8,0.3,0.7,0,1,0,0,0,0,0,1,0,1,0,0,0,0.8,0.2,0,1,0,0,0,0,1,0,1,0,1,0,1,0.7,0.3,0.7,0.3,1,0,0,1,0.8,0.2,0,1,0,1,0,1,0,0,1,0,0,0,0,0,1,0,0,1,0,0,0,1,0,0,0,1,0,1,0,1,0,1,1,0,1,0,1,0,0,1,1,0,0.61</t>
  </si>
  <si>
    <t>,0.74</t>
  </si>
  <si>
    <t>0,1,1,0,0,1,0,0,1,0,0,0,0,1,0,0,0,0.2,0.2,0.6,1,0,0,0,0,1,0,1,0,1,0,1,0.8,0.2,0.7,0.3,1,0,0,1,0.8,0.2</t>
  </si>
  <si>
    <t>0,1,1,0,0,1,0,0,1,0,0,0,0,1,0,0,0,0.2,0.2,0.6,1,0,0,0,0,1,0,1,0,1,0,1,0.8,0.2,0.7,0.3,1,0,0,1,0.8,0.2,0,1,0,1,0,1,0,0,1,0,0,0,0,0,1,0,0,1,0,0,0,1,0,0,0,1,0,1,0,1,0,1,1,0,1,0,1,0,0,1,1,0,0.74</t>
  </si>
  <si>
    <t>истиное</t>
  </si>
  <si>
    <t>проверка</t>
  </si>
  <si>
    <t>ниже порога</t>
  </si>
  <si>
    <t xml:space="preserve">минимум </t>
  </si>
  <si>
    <t xml:space="preserve">оптимум </t>
  </si>
  <si>
    <t xml:space="preserve">максимум </t>
  </si>
  <si>
    <t xml:space="preserve">выше порога </t>
  </si>
  <si>
    <t xml:space="preserve">важность </t>
  </si>
  <si>
    <t>Температура</t>
  </si>
  <si>
    <t>Влажность</t>
  </si>
  <si>
    <t>CO2</t>
  </si>
  <si>
    <t>Ph (кислотность раствора)</t>
  </si>
  <si>
    <t>EC по элементный (N P K+ микромакроэлементы)</t>
  </si>
  <si>
    <t>Температура раствора</t>
  </si>
  <si>
    <t>полив</t>
  </si>
  <si>
    <t xml:space="preserve">мощность освещения </t>
  </si>
  <si>
    <t>переодичность включения (день, ночь )</t>
  </si>
  <si>
    <t xml:space="preserve">увядание </t>
  </si>
  <si>
    <t xml:space="preserve">пожелтение </t>
  </si>
  <si>
    <t xml:space="preserve">ожоги </t>
  </si>
  <si>
    <t>10,5,2,10,8,7,10,8,8,10,5,5</t>
  </si>
  <si>
    <t>,</t>
  </si>
  <si>
    <t>10,5,2,8,8,8,8,10,8,10,10,10</t>
  </si>
  <si>
    <t>10,6,2,8,8,8,8,8,8,10,1,1</t>
  </si>
  <si>
    <t>8,5,2,10,8,8,10,8,8,10,10,10</t>
  </si>
  <si>
    <t>-</t>
  </si>
  <si>
    <t xml:space="preserve">  -+--</t>
  </si>
  <si>
    <t>0,0,0,1,0,0,0,0,0,1,0,0,0,0,0,1,0,0,0,1,0,0,0,0,0,1,0,0,0,0,0,0,0,1,0,0,1,0,0,0,0,0,0,0,0,1,0,0,0,0,0,1,0,0,0,0,0,1,0,1,0,0,0,1,0,0</t>
  </si>
  <si>
    <t>сравнить их</t>
  </si>
  <si>
    <t>0,0,0,0,1,0,0,0,0,1,0,0,0,0,1,0,0,0,0,0,0,1,0,0,0,0,0,1,0,0,0,0,0,0,1,0,0,0,0,1,0,0,0,0,0,1,0,0,0,0,0,1,0,0,0,0,1,0,0,1,0,0,0,1,0,0</t>
  </si>
  <si>
    <t>0,0,0,0,1,0,0,0,1,0,0,0,0,0,1,0,0,0,0,0,0,1,0,0,0,0,0,1,0,0,0,0,0,1,0,0,0,0,0,1,0,0,0,0,0,1,0,0,1,0,0,0,0,0,0,1,0,0,0,0,1,0,0,0,1,0</t>
  </si>
  <si>
    <t>0,0,0,1,0,0,0,0,0,1,0,0,0,0,0,1,0,0,1,0,0,0,0,0,0,0,0,1,0,0,0,0,0,1,0,0,0,0,0,1,0,0,0,0,0,1,0,0,0,0,0,1,0,0,0.4,0.6,0,0,0,0.6,0.4,0,0,0.2,0.8,0</t>
  </si>
  <si>
    <t>0,0,0,1,0,0,0,0,0,1,0,0,0,0,0,1,0,0,0,0,0,0,0,1,0,0,0,1,0,0,0,0,0,1,0,0,0,0,0,1,0,0,0,0,0,1,0,0,0,0,0,1,0,0,1,0,0,0,0,0,1,0,0,0,1,0</t>
  </si>
  <si>
    <t>0,0.2,0.75,1,0.75,0.2,0,0.7,0.8,1,0.8,0.7,0.5,0.7,0.8,1,0.8,0.7,0,0.15,0.75,1,0.75,0.15,0.5,0.7,0.8,1,0.8,0,0,0.2,0.75,1,0.75,0.2,0.5,0.7,0.8,1,0.8,0,0,0.7,0.8,1,0.8,0,0,0.7,0.8,1,0.8,0,0.75,1,0.25,0,0.75,1,0.25,0,0.75,1,0.25,0</t>
  </si>
  <si>
    <t>0,0,0,0,1,0,0,0,0,1,0,0,0,0,0,1,0,0,1,0,0,0,0,0,0,0,0,1,0,0,0,0,0,1,0,0,0,0,0,1,0,0,0,0,0,1,0,0,0,0,0,1,0,0,1,0,0,0,0,0,1,0,1,0,0,0</t>
  </si>
  <si>
    <t>Датчик температуры</t>
  </si>
  <si>
    <t>Датчик влажности</t>
  </si>
  <si>
    <t>сломано</t>
  </si>
  <si>
    <t>исправно</t>
  </si>
  <si>
    <t>Датчик СО2</t>
  </si>
  <si>
    <t>pH-метр</t>
  </si>
  <si>
    <t>датчик электропроводности</t>
  </si>
  <si>
    <t>датчик температуры</t>
  </si>
  <si>
    <t>интенсивность полива</t>
  </si>
  <si>
    <t>Таймер полива</t>
  </si>
  <si>
    <t>освещение</t>
  </si>
  <si>
    <t>Микроклимат</t>
  </si>
  <si>
    <t>Полив (питательная среда)</t>
  </si>
  <si>
    <t>Свет</t>
  </si>
  <si>
    <t>Состояние 
растения</t>
  </si>
  <si>
    <t>0,0,0,1,0,1,0,0,0,1,0,0,1,0,0,1,0,0,0,1,0,0,0,1,0,0,1,0,0,0,0,1,0,1,0,0,0,1,0,0,1,0,0,0,1,0,0,1,0,1,0,0,0,1,0,0,0,0,0,1,0,1,0,0,0,0,0,1,0,0,0,1,0</t>
  </si>
  <si>
    <r>
      <t>Sit</t>
    </r>
    <r>
      <rPr>
        <vertAlign val="subscript"/>
        <sz val="10"/>
        <color rgb="FF000000"/>
        <rFont val="Times New Roman"/>
        <family val="1"/>
        <charset val="204"/>
      </rPr>
      <t>1</t>
    </r>
  </si>
  <si>
    <t> Элементы и параметры</t>
  </si>
  <si>
    <t>важность элемента</t>
  </si>
  <si>
    <t>Система поддержки микроклимата</t>
  </si>
  <si>
    <t>Уровень CO2</t>
  </si>
  <si>
    <t>Система полива</t>
  </si>
  <si>
    <t>Интенсивность полива</t>
  </si>
  <si>
    <t>Освещение</t>
  </si>
  <si>
    <t xml:space="preserve">Мощность освещения </t>
  </si>
  <si>
    <t>Состояние</t>
  </si>
  <si>
    <t>растения</t>
  </si>
  <si>
    <t>0,0,1,0,0,1,0,0,0,1,0,0,1,0,0,0,1,0,0,1,0,0,1,0,0,0,1,0,0,1,0,0,0,1,0,0,0,1,0,0,1,0,1,0,0,0,0,0,1,1,0,0,0,1,0,0,0,0,1,0,0,0,0,1,0,0,1,0,0,0,1,0,0</t>
  </si>
  <si>
    <t>10,10,5,5,2,2,10,10,8,8,7,7,10,10,8,8,8,10,5,5</t>
  </si>
  <si>
    <t>0,0.75,1,0.75,0,1,0,0,0.75,1,0.75,0,1,0,0,0.75,1,0.75,0,1,0,0,0.75,1,0.75,0,1,0,0,0.75,1,0.75,0,1,0,0,0.75,1,0.75,0,1,0,0,0.75,1,0.75,0,1,0,1,0,0,0.75,1,0.75,0,0,0.75,1,0.75,0,0.6,1,0.3,0,0.6,1,0.3,0,0.6,1,0.3,0</t>
  </si>
  <si>
    <t>ff</t>
  </si>
  <si>
    <t>5,2,5,2,5,2,5,2,5,2,5,2,5,2,2,5,5,4,4,4</t>
  </si>
  <si>
    <r>
      <t>Sit</t>
    </r>
    <r>
      <rPr>
        <vertAlign val="subscript"/>
        <sz val="10"/>
        <color rgb="FF000000"/>
        <rFont val="Times New Roman"/>
        <family val="1"/>
        <charset val="204"/>
      </rPr>
      <t>2</t>
    </r>
  </si>
  <si>
    <t>размер вектора</t>
  </si>
  <si>
    <t>0,0,0,1,0,1,0,0,0,1,0,0,1,0,0,1,0,0,0,1,0,0,0,1,0,0,1,0,0,0,1,0,0,1,0,0,0,0,1,0,1,0,0,0,1,0,0,1,0,1,0,0,0,1,0,0,0,0,1,0,0,0,0,1,0,0,1,0,0,0,1,0,0</t>
  </si>
  <si>
    <t>10,10,6,6,2,2,8,8,8,8,8,8,8,8,8,8,8,10,1,1</t>
  </si>
  <si>
    <r>
      <t>Sit</t>
    </r>
    <r>
      <rPr>
        <vertAlign val="subscript"/>
        <sz val="10"/>
        <color rgb="FF000000"/>
        <rFont val="Times New Roman"/>
        <family val="1"/>
        <charset val="204"/>
      </rPr>
      <t>3</t>
    </r>
  </si>
  <si>
    <t>0,0,0,1,0,1,0,0,1,0,0,0,1,0,0,1,0,0,0,1,0,0,0,1,0,0,1,0,0,0,1,0,0,1,0,0,0,1,0,0,1,0,0,0,1,0,0,1,0,0,1,0,0,1,0,0,0,0,0,0,1,0,0,1,0,0,1,0,0,0,1,0,0</t>
  </si>
  <si>
    <t>10,10,5,5,2,2,8,8,8,8,8,8,8,8,10,10,10,10,10,10</t>
  </si>
  <si>
    <r>
      <t> Sit</t>
    </r>
    <r>
      <rPr>
        <vertAlign val="subscript"/>
        <sz val="10"/>
        <color rgb="FF000000"/>
        <rFont val="Times New Roman"/>
        <family val="1"/>
        <charset val="204"/>
      </rPr>
      <t>в4</t>
    </r>
  </si>
  <si>
    <t>Элементы и параметры</t>
  </si>
  <si>
    <t>0,0,1,0,0,1,0,0,0,1,0,0,1,0,0,0,1,0,0,1,0,1,0,0,0,0,0,1,0,0,1,0,0,1,0,0,0,1,0,0,1,0,0,0,1,0,0,1,0,1,0,0,0,1,0,0,0,0,1,0,0,1,0,0,0,0,1,0,0,0,0,1,0</t>
  </si>
  <si>
    <t>1,1,1,1,1,1,1,1,1,1,1,1,1,1,1,1,1,1,1,1</t>
  </si>
  <si>
    <t>0,0,1,0,0,1,0,0,0,1,0,0,1,0,0,0,1,0,0,1,0,1,0,0,0,0,0,1,0,0,1,0,0,1,0,0,0,1,0,0,1,0,0,0,1,0,0,1,0,1,0,0,0,1,0,0,0,0,1,0,0,1,0,0,0,0,1,0,0,0,0,1,0,0,0,0,0,1,1,0,0,0,1,0,0,1,0,0,0,1,0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</si>
  <si>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1,0,0,0,0,1,0,0,0,1,0,0,1,0,0,0,1,0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</si>
  <si>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1,0,0,0,1,0,0,0,1,0,0,1,0,0,0,1,0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</si>
  <si>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0,1,0,0,1,0,0,1,0,0,0,1,0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</si>
  <si>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0,0,0,1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</si>
  <si>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1,0,0,0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</si>
  <si>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1,0,0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</si>
  <si>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0,0,0,1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</si>
  <si>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1,0,0,0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</si>
  <si>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1,0,0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</si>
  <si>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0,0,1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</si>
  <si>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1,0,0,0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</si>
  <si>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1,0,0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</si>
  <si>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1,0,0,1,0,1,0,0,0,1,0,0,0,0,0,0,1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</si>
  <si>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1,0,0,1,0,1,0,0,0,1,0,0,1,0,0,0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</si>
  <si>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1,0,0,1,0,1,0,0,0,1,0,0,0,1,0,0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</si>
  <si>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1,0,0,1,0,1,0,0,0,1,0,0,0,0,1,0,0,1,0,0,0,0,1,0,0,1,0,0,0,</t>
  </si>
  <si>
    <t>0,0,1,0,0,1,0,0,0,1,0,0,1,0,0,0,1,0,0,1,0,1,0,0,0,0,0,1,0,0,1,0,0,1,0,0,0,1,0,0,1,0,0,0,1,0,0,1,0,1,0,0,0,1,0,0,0,0,1,0,0,1,0,0,0,0,1,0,0,0,0,1,0,0,0,1,0,0,1,0,0,0,1,0,0,1,0,0,0,0,1,0,0,1,1,0,0,0,0,0,1,0,0,1,0,0,1,0,0,0,1,0,0,1,0,0,0,1,0,0,1,0,1,0,0,0,1,0,0,0,0,1,0,0,1,0,0,0,0,1,0,0,0,0,1,0,0.984</t>
  </si>
  <si>
    <t>0,0,1,0,0,1,0,0,0,1,0,0,1,0,0,0,1,0,0,1,0,1,0,0,0,0,0,1,0,0,1,0,0,1,0,0,0,1,0,0,1,0,0,0,1,0,0,1,0,1,0,0,0,1,0,0,0,0,1,0,0,1,0,0,0,0,1,0,0,0,0,1,0,0,0,1,0,0,1,0,0,0,1,0,0,1,0,0,0,0,1,0,1,0,0,0,1,0,0,0,1,0,0,1,0,0,1,0,0,0,1,0,0,1,0,0,0,1,0,0,1,0,1,0,0,0,1,0,0,0,0,1,0,0,1,0,0,0,0,1,0,0,0,0,1,0,0.946</t>
  </si>
  <si>
    <t>0,0,1,0,0,1,0,0,0,1,0,0,1,0,0,0,1,0,0,1,0,1,0,0,0,0,0,1,0,0,1,0,0,1,0,0,0,1,0,0,1,0,0,0,1,0,0,1,0,1,0,0,0,1,0,0,0,0,1,0,0,1,0,0,0,0,1,0,0,0,0,1,0,0,0,1,0,0,1,0,0,0,1,0,0,1,0,0,0,0,1,0,1,0,0,0,0,1,0,0,1,0,0,1,0,0,1,0,0,0,1,0,0,1,0,0,0,1,0,0,1,0,1,0,0,0,1,0,0,0,0,1,0,0,1,0,0,0,0,1,0,0,0,0,1,0,0.959</t>
  </si>
  <si>
    <t>0,0,1,0,0,1,0,0,0,1,0,0,1,0,0,0,1,0,0,1,0,1,0,0,0,0,0,1,0,0,1,0,0,1,0,0,0,1,0,0,1,0,0,0,1,0,0,1,0,1,0,0,0,1,0,0,0,0,1,0,0,1,0,0,0,0,1,0,0,0,0,1,0,0,0,1,0,0,1,0,0,0,1,0,0,1,0,0,0,0,1,0,1,0,1,0,0,0,0,0,1,1,0,0,0,0,1,0,0,0,1,0,0,1,0,0,0,1,0,0,1,0,1,0,0,0,1,0,0,0,0,1,0,0,1,0,0,0,0,1,0,0,0,0,1,0,0.946</t>
  </si>
  <si>
    <t>0,0,1,0,0,1,0,0,0,1,0,0,1,0,0,0,1,0,0,1,0,1,0,0,0,0,0,1,0,0,1,0,0,1,0,0,0,1,0,0,1,0,0,0,1,0,0,1,0,1,0,0,0,1,0,0,0,0,1,0,0,1,0,0,0,0,1,0,0,0,0,1,0,0,0,1,0,0,1,0,0,0,1,0,0,1,0,0,0,0,1,0,1,0,1,0,0,0,0,0,1,0,1,0,0,0,1,0,0,0,1,0,0,1,0,0,0,1,0,0,1,0,1,0,0,0,1,0,0,0,0,1,0,0,1,0,0,0,0,1,0,0,0,0,1,0,0.984</t>
  </si>
  <si>
    <t>0,0,1,0,0,1,0,0,0,1,0,0,1,0,0,0,1,0,0,1,0,1,0,0,0,0,0,1,0,0,1,0,0,1,0,0,0,1,0,0,1,0,0,0,1,0,0,1,0,1,0,0,0,1,0,0,0,0,1,0,0,1,0,0,0,0,1,0,0,0,0,1,0,0,0,1,0,0,1,0,0,0,1,0,0,1,0,0,0,1,0,0,1,0,1,0,0,0,0,0,1,0,0,1,0,0,1,0,0,0,1,0,0,1,0,0,0,1,0,0,0,1,1,0,0,0,1,0,0,0,0,0,1,0,1,0,0,0,0,1,0,0,0,0,1,0,0.933</t>
  </si>
  <si>
    <t>0,0,1,0,0,1,0,0,0,1,0,0,1,0,0,0,1,0,0,1,0,1,0,0,0,0,0,1,0,0,1,0,0,1,0,0,0,1,0,0,1,0,0,0,1,0,0,1,0,1,0,0,0,1,0,0,0,0,1,0,0,1,0,0,0,0,1,0,0,0,0,1,0,0,0,1,0,0,1,0,0,0,1,0,0,1,0,0,0,1,0,0,1,0,1,0,0,0,0,0,1,0,0,1,0,0,1,0,0,0,1,0,0,1,0,0,0,1,0,0,1,0,0,1,0,0,1,0,0,0,0,0,1,0,1,0,0,0,0,1,0,0,0,0,1,0,0.921</t>
  </si>
  <si>
    <t>0,0,1,0,0,1,0,0,0,1,0,0,1,0,0,0,1,0,0,1,0,1,0,0,0,0,0,1,0,0,1,0,0,1,0,0,0,1,0,0,1,0,0,0,1,0,0,1,0,1,0,0,0,1,0,0,0,0,1,0,0,1,0,0,0,0,1,0,0,0,0,1,0,0,0,1,0,0,0,1,0,1,0,0,0,0,1,0,1,0,0,0,1,0,1,0,0,0,0,0,1,0,0,1,0,0,1,0,0,0,1,0,0,1,0,0,0,1,0,0,1,0,1,0,0,0,1,0,0,0,0,1,0,0,1,0,0,0,0,1,0,0,0,0,1,0,0.894</t>
  </si>
  <si>
    <t>0,0,1,0,0,1,0,0,0,1,0,0,1,0,0,0,1,0,0,1,0,1,0,0,0,0,0,1,0,0,1,0,0,1,0,0,0,1,0,0,1,0,0,0,1,0,0,1,0,1,0,0,0,1,0,0,0,0,1,0,0,1,0,0,0,0,1,0,0,0,0,1,0,0,0,1,0,0,0,1,0,1,0,0,0,0,1,0,1,0,0,0,0,1,1,0,0,0,0,0,1,0,0,1,0,0,1,0,0,0,1,0,0,1,0,0,0,1,0,0,1,0,1,0,0,0,1,0,0,0,0,1,0,0,1,0,0,0,0,1,0,0,0,0,1,0,0.881</t>
  </si>
  <si>
    <t>0,0,1,0,0,1,0,0,0,1,0,0,1,0,0,0,1,0,0,1,0,1,0,0,0,0,0,1,0,0,1,0,0,1,0,0,0,1,0,0,1,0,0,0,1,0,0,1,0,1,0,0,0,1,0,0,0,0,1,0,0,1,0,0,0,0,1,0,0,0,0,1,0,0,0,1,0,0,0,1,0,1,0,0,0,0,1,0,1,0,0,0,0,1,0,0,0,1,0,0,1,0,0,1,0,0,1,0,0,0,1,0,0,1,0,0,0,1,0,0,1,0,1,0,0,0,1,0,0,0,0,1,0,0,1,0,0,0,0,1,0,0,0,0,1,0,0.843</t>
  </si>
  <si>
    <t>0,0,1,0,0,1,0,0,0,1,0,0,1,0,0,0,1,0,0,1,0,1,0,0,0,0,0,1,0,0,1,0,0,1,0,0,0,1,0,0,1,0,0,0,1,0,0,1,0,1,0,0,0,1,0,0,0,0,1,0,0,1,0,0,0,0,1,0,0,0,0,1,0,0,0,1,0,0,0,1,0,1,0,0,0,0,1,0,1,0,0,0,0,1,0,0,0,0,1,0,1,0,0,1,0,0,1,0,0,0,1,0,0,1,0,0,0,1,0,0,1,0,1,0,0,0,1,0,0,0,0,1,0,0,1,0,0,0,0,1,0,0,0,0,1,0,0.881</t>
  </si>
  <si>
    <t>0,0,1,0,0,1,0,0,0,1,0,0,1,0,0,0,1,0,0,1,0,1,0,0,0,0,0,1,0,0,1,0,0,1,0,0,0,1,0,0,1,0,0,0,1,0,0,1,0,1,0,0,0,1,0,0,0,0,1,0,0,1,0,0,0,0,1,0,0,0,0,1,0,0,0,1,0,0,0,1,0,1,0,0,0,0,1,0,1,0,0,0,0,1,0,0,0,0,1,1,0,0,0,1,0,0,1,0,0,0,1,0,0,1,0,0,0,1,0,0,1,0,1,0,0,0,1,0,0,0,0,1,0,0,1,0,0,0,0,1,0,0,0,0,1,0,0.831</t>
  </si>
  <si>
    <t>0,0,1,0,0,1,0,0,0,1,0,0,1,0,0,0,1,0,0,1,0,1,0,0,0,0,0,1,0,0,1,0,0,1,0,0,0,1,0,0,1,0,0,0,1,0,0,1,0,1,0,0,0,1,0,0,0,0,1,0,0,1,0,0,0,0,1,0,0,0,0,1,0,1,0,0,0,0,1,0,1,0,0,0,0,1,0,0,0,1,0,0,0,1,0,0,0,0,1,1,0,0,0,0,1,0,1,0,0,0,1,0,0,1,0,0,0,1,0,0,1,0,1,0,0,0,1,0,0,0,0,1,0,0,1,0,0,0,0,1,0,0,0,0,1,0,0.829</t>
  </si>
  <si>
    <t>0,0,1,0,0,1,0,0,0,1,0,0,1,0,0,0,1,0,0,1,0,1,0,0,0,0,0,1,0,0,1,0,0,1,0,0,0,1,0,0,1,0,0,0,1,0,0,1,0,1,0,0,0,1,0,0,0,0,1,0,0,1,0,0,0,0,1,0,0,0,0,1,0,1,0,0,0,0,1,0,1,0,0,0,0,1,0,0,0,0,1,0,0,1,0,0,0,0,1,1,0,0,0,0,1,0,1,0,0,0,1,0,0,1,0,0,0,1,0,0,1,0,1,0,0,0,1,0,0,0,0,1,0,0,1,0,0,0,0,1,0,0,0,0,1,0,0.826</t>
  </si>
  <si>
    <t>0,0,1,0,0,1,0,0,0,1,0,0,1,0,0,0,1,0,0,1,0,1,0,0,0,0,0,1,0,0,1,0,0,1,0,0,0,1,0,0,1,0,0,0,1,0,0,1,0,1,0,0,0,1,0,0,0,0,1,0,0,1,0,0,0,0,1,0,0,0,0,1,0,1,0,0,0,0,1,0,1,0,0,0,0,1,0,0,0,0,0,1,0,1,0,0,0,0,1,1,0,0,0,0,1,0,1,0,0,0,1,0,0,1,0,0,0,1,0,0,1,0,1,0,0,0,1,0,0,0,0,1,0,0,1,0,0,0,0,1,0,0,0,0,1,0,0.816</t>
  </si>
  <si>
    <t>0,0,1,0,0,1,0,0,0,1,0,0,1,0,0,0,1,0,0,1,0,1,0,0,0,0,0,1,0,0,1,0,0,1,0,0,0,1,0,0,1,0,0,0,1,0,0,1,0,1,0,0,0,1,0,0,0,0,1,0,0,1,0,0,0,0,1,0,0,0,0,1,0,1,0,0,0,0,1,0,1,0,0,0,0,1,0,1,0,0,0,0,0,1,0,0,0,0,1,1,0,0,0,0,1,0,1,0,0,0,1,0,0,1,0,0,0,1,0,0,1,0,1,0,0,0,1,0,0,0,0,1,0,0,1,0,0,0,0,1,0,0,0,0,1,0,0.816</t>
  </si>
  <si>
    <t>0,0,1,0,0,1,0,0,0,1,0,0,1,0,0,0,1,0,0,1,0,1,0,0,0,0,0,1,0,0,1,0,0,1,0,0,0,1,0,0,1,0,0,0,1,0,0,1,0,1,0,0,0,1,0,0,0,0,1,0,0,1,0,0,0,0,1,0,0,0,0,1,0,1,0,0,0,0,1,0,0,0,0,0,1,0,1,0,1,0,0,0,0,1,0,0,0,0,1,1,0,0,1,0,0,0,0,1,0,1,0,0,0,0,1,0,1,0,0,0,0,1,0,1,0,1,0,0,0,0,1,0,0,0,0,0,0,1,1,0,0,0,0,0,0,1,0.44</t>
  </si>
  <si>
    <t>0,0,1,0,0,1,0,0,0,1,0,0,1,0,0,0,1,0,0,1,0,1,0,0,0,0,0,1,0,0,1,0,0,1,0,0,0,1,0,0,1,0,0,0,1,0,0,1,0,1,0,0,0,1,0,0,0,0,1,0,0,1,0,0,0,0,1,0,0,0,0,1,0,1,0,0,0,0,1,0,1,0,0,0,0,1,0,0,0,0,0,1,0,1,0,0,0,0,1,1,0,0,1,0,0,0,0,1,0,1,0,0,0,0,1,0,1,0,0,0,0,1,0,1,0,1,0,0,0,0,1,0,0,0,0,0,0,1,1,0,0,0,0,0,0,1,0.462</t>
  </si>
  <si>
    <t>0,0,1,0,0,1,0,0,0,1,0,0,1,0,0,0,1,0,0,1,0,1,0,0,0,0,0,1,0,0,1,0,0,1,0,0,0,1,0,0,1,0,0,0,1,0,0,1,0,1,0,0,0,1,0,0,0,0,1,0,0,1,0,0,0,0,1,0,0,0,0,1,0,1,0,0,0,0,1,0,1,0,0,0,0,1,0,1,0,0,0,0,1,0,0,0,0,0,1,1,0,0,1,0,0,0,0,1,0,1,0,0,0,0,1,0,1,0,0,0,0,1,0,1,0,1,0,0,0,0,1,0,0,0,0,0,0,1,1,0,0,0,0,0,0,1,0.475</t>
  </si>
  <si>
    <t>0,0,1,0,0,1,0,0,0,1,0,0,1,0,0,0,1,0,0,1,0,1,0,0,0,0,0,1,0,0,1,0,0,1,0,0,0,1,0,0,1,0,0,0,1,0,0,1,0,1,0,0,0,1,0,0,0,0,1,0,0,1,0,0,0,0,1,0,0,0,0,1,0,0,0,1,0,0,1,0,0,0,1,0,0,1,0,0,0,1,0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</si>
  <si>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0,1,0,0,1,0,0,1,0,0,1,0,0,0,1,0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</si>
  <si>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0,1,0,1,0,0,0,0,1,0,1,0,0,0,1,0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</si>
  <si>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0,1,0,1,0,0,0,0,0,1,1,0,0,0,1,0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</si>
  <si>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0,1,0,1,0,1,0,0,0,0,1,0,0,0,1,0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</si>
  <si>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0,1,0,1,0,0,1,0,0,0,1,0,0,0,1,0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</si>
  <si>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0,1,0,1,0,0,0,1,0,0,0,1,0,0,1,0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</si>
  <si>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0,1,0,1,0,0,0,1,0,0,1,0,0,0,0,1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</si>
  <si>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0,1,0,1,0,0,0,1,0,0,1,0,0,0,0,0,1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</si>
  <si>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0,1,0,1,0,0,0,1,0,0,1,0,1,0,0,0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</si>
  <si>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0,1,0,1,0,0,0,1,0,0,1,0,0,1,0,0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</si>
  <si>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0,1,0,1,0,0,0,1,0,0,1,0,0,0,1,0,0,0,1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</si>
  <si>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0,1,0,1,0,0,0,1,0,0,1,0,0,0,1,0,0,1,0,0,1,0,0,0,0,1,0,0,1,0,0,1,0,0,0,1,0,0,1,0,0,0,1,0,0,1,0,1,0,0,0,1,0,0,0,0,1,0,0,1,0,0,0,0,1,0,0,0,0,1,0,</t>
  </si>
  <si>
    <t>0,0,1,0,0,1,0,0,0,1,0,0,1,0,0,0,1,0,0,1,0,1,0,0,0,0,0,1,0,0,1,0,0,1,0,0,0,1,0,0,1,0,0,0,1,0,0,1,0,1,0,0,0,1,0,0,0,0,1,0,0,1,0,0,0,0,1,0,0,0,0,1,0,0,0,0,1,0,1,0,0,0,1,0,0,1,0,0,0,1,0,0,1,0,0,0,1,0,0,0,1,0,0,1,0,0,1,0,0,0,1,0,0,1,0,0,0,1,0,0,1,0,1,0,0,0,1,0,0,0,0,1,0,0,1,0,0,0,0,1,0,0,0,0,1,0,</t>
  </si>
  <si>
    <t>0,0,1,0,0,1,0,0,0,1,0,0,1,0,0,0,1,0,0,1,0,1,0,0,0,0,0,1,0,0,1,0,0,1,0,0,0,1,0,0,1,0,0,0,1,0,0,1,0,1,0,0,0,1,0,0,0,0,1,0,0,1,0,0,0,0,1,0,0,0,0,1,0,0,0,0,1,0,1,0,0,0,1,0,0,1,0,0,0,1,0,0,1,0,0,0,0,1,0,0,1,0,0,1,0,0,1,0,0,0,1,0,0,1,0,0,0,1,0,0,1,0,1,0,0,0,1,0,0,0,0,1,0,0,1,0,0,0,0,1,0,0,0,0,1,0,</t>
  </si>
  <si>
    <t>0,0,1,0,0,1,0,0,0,1,0,0,1,0,0,0,1,0,0,1,0,1,0,0,0,0,0,1,0,0,1,0,0,1,0,0,0,1,0,0,1,0,0,0,1,0,0,1,0,1,0,0,0,1,0,0,0,0,1,0,0,1,0,0,0,0,1,0,0,0,0,1,0,0,0,0,1,0,1,0,0,0,1,0,0,1,0,0,0,1,0,0,1,0,0,0,0,0,1,0,1,0,0,1,0,0,1,0,0,0,1,0,0,1,0,0,0,1,0,0,1,0,1,0,0,0,1,0,0,0,0,1,0,0,1,0,0,0,0,1,0,0,0,0,1,0,</t>
  </si>
  <si>
    <t>0,0,1,0,0,1,0,0,0,1,0,0,1,0,0,0,1,0,0,1,0,1,0,0,0,0,0,1,0,0,1,0,0,1,0,0,0,1,0,0,1,0,0,0,1,0,0,1,0,1,0,0,0,1,0,0,0,0,1,0,0,1,0,0,0,0,1,0,0,0,0,1,0,0,0,0,1,0,1,0,0,0,1,0,0,1,0,0,0,1,0,0,1,0,1,0,0,0,0,1,0,0,0,1,0,0,1,0,0,0,1,0,0,1,0,0,0,1,0,0,1,0,1,0,0,0,1,0,0,0,0,1,0,0,1,0,0,0,0,1,0,0,0,0,1,0,</t>
  </si>
  <si>
    <t>0,0,1,0,0,1,0,0,0,1,0,0,1,0,0,0,1,0,0,1,0,1,0,0,0,0,0,1,0,0,1,0,0,1,0,0,0,1,0,0,1,0,0,0,1,0,0,1,0,1,0,0,0,1,0,0,0,0,1,0,0,1,0,0,0,0,1,0,0,0,0,1,0,0,0,0,1,0,1,0,0,0,1,0,0,1,0,0,0,1,0,0,1,0,1,0,0,0,0,0,1,0,0,0,1,0,1,0,0,0,1,0,0,1,0,0,0,1,0,0,1,0,1,0,0,0,1,0,0,0,0,1,0,0,1,0,0,0,0,1,0,0,0,0,1,0,</t>
  </si>
  <si>
    <t>0,0,1,0,0,1,0,0,0,1,0,0,1,0,0,0,1,0,0,1,0,1,0,0,0,0,0,1,0,0,1,0,0,1,0,0,0,1,0,0,1,0,0,0,1,0,0,1,0,1,0,0,0,1,0,0,0,0,1,0,0,1,0,0,0,0,1,0,0,0,0,1,0,0,0,0,1,0,1,0,0,0,1,0,0,1,0,0,0,1,0,0,1,0,1,0,0,0,0,0,1,0,0,0,0,1,1,0,0,0,1,0,0,1,0,0,0,1,0,0,1,0,1,0,0,0,1,0,0,0,0,1,0,0,1,0,0,0,0,1,0,0,0,0,1,0,</t>
  </si>
  <si>
    <t>0,0,1,0,0,1,0,0,0,1,0,0,1,0,0,0,1,0,0,1,0,1,0,0,0,0,0,1,0,0,1,0,0,1,0,0,0,1,0,0,1,0,0,0,1,0,0,1,0,1,0,0,0,1,0,0,0,0,1,0,0,1,0,0,0,0,1,0,0,0,0,1,0,0,0,0,1,0,1,0,0,0,1,0,0,1,0,0,0,1,0,0,1,0,1,0,0,0,0,0,1,1,0,0,0,0,1,0,0,0,1,0,0,1,0,0,0,1,0,0,1,0,1,0,0,0,1,0,0,0,0,1,0,0,1,0,0,0,0,1,0,0,0,0,1,0,</t>
  </si>
  <si>
    <t>0,0,1,0,0,1,0,0,0,1,0,0,1,0,0,0,1,0,0,1,0,1,0,0,0,0,0,1,0,0,1,0,0,1,0,0,0,1,0,0,1,0,0,0,1,0,0,1,0,1,0,0,0,1,0,0,0,0,1,0,0,1,0,0,0,0,1,0,0,0,0,1,0,0,0,0,1,0,1,0,0,0,1,0,0,1,0,0,0,1,0,0,1,0,1,0,0,0,0,0,1,0,1,0,0,0,1,0,0,0,1,0,0,1,0,0,0,1,0,0,1,0,1,0,0,0,1,0,0,0,0,1,0,0,1,0,0,0,0,1,0,0,0,0,1,0,</t>
  </si>
  <si>
    <t>0,0,1,0,0,1,0,0,0,1,0,0,1,0,0,0,1,0,0,1,0,1,0,0,0,0,0,1,0,0,1,0,0,1,0,0,0,1,0,0,1,0,0,0,1,0,0,1,0,1,0,0,0,1,0,0,0,0,1,0,0,1,0,0,0,0,1,0,0,0,0,1,0,0,0,0,1,0,1,0,0,0,1,0,0,1,0,0,0,1,0,0,1,0,1,0,0,0,0,0,1,0,0,1,0,0,0,1,0,0,1,0,0,1,0,0,0,1,0,0,1,0,1,0,0,0,1,0,0,0,0,1,0,0,1,0,0,0,0,1,0,0,0,0,1,0,</t>
  </si>
  <si>
    <t>0,0,1,0,0,1,0,0,0,1,0,0,1,0,0,0,1,0,0,1,0,1,0,0,0,0,0,1,0,0,1,0,0,1,0,0,0,1,0,0,1,0,0,0,1,0,0,1,0,1,0,0,0,1,0,0,0,0,1,0,0,1,0,0,0,0,1,0,0,0,0,1,0,0,0,0,1,0,1,0,0,0,1,0,0,1,0,0,0,1,0,0,1,0,1,0,0,0,0,0,1,0,0,1,0,0,1,0,0,0,0,1,0,1,0,0,0,1,0,0,1,0,1,0,0,0,1,0,0,0,0,1,0,0,1,0,0,0,0,1,0,0,0,0,1,0,</t>
  </si>
  <si>
    <t>0,0,1,0,0,1,0,0,0,1,0,0,1,0,0,0,1,0,0,1,0,1,0,0,0,0,0,1,0,0,1,0,0,1,0,0,0,1,0,0,1,0,0,0,1,0,0,1,0,1,0,0,0,1,0,0,0,0,1,0,0,1,0,0,0,0,1,0,0,0,0,1,0,0,0,0,1,0,1,0,0,0,1,0,0,1,0,0,0,1,0,0,1,0,1,0,0,0,0,0,1,0,0,1,0,0,1,0,0,0,0,0,1,1,0,0,0,1,0,0,1,0,1,0,0,0,1,0,0,0,0,1,0,0,1,0,0,0,0,1,0,0,0,0,1,0,</t>
  </si>
  <si>
    <t>0,0,1,0,0,1,0,0,0,1,0,0,1,0,0,0,1,0,0,1,0,1,0,0,0,0,0,1,0,0,1,0,0,1,0,0,0,1,0,0,1,0,0,0,1,0,0,1,0,1,0,0,0,1,0,0,0,0,1,0,0,1,0,0,0,0,1,0,0,0,0,1,0,0,0,0,1,0,1,0,0,0,1,0,0,1,0,0,0,1,0,0,1,0,1,0,0,0,0,0,1,0,0,1,0,0,1,0,1,0,0,0,0,1,0,0,0,1,0,0,1,0,1,0,0,0,1,0,0,0,0,1,0,0,1,0,0,0,0,1,0,0,0,0,1,0,</t>
  </si>
  <si>
    <t>0,0,1,0,0,1,0,0,0,1,0,0,1,0,0,0,1,0,0,1,0,1,0,0,0,0,0,1,0,0,1,0,0,1,0,0,0,1,0,0,1,0,0,0,1,0,0,1,0,1,0,0,0,1,0,0,0,0,1,0,0,1,0,0,0,0,1,0,0,0,0,1,0,0,0,0,1,0,1,0,0,0,1,0,0,1,0,0,0,1,0,0,1,0,1,0,0,0,0,0,1,0,0,1,0,0,1,0,0,1,0,0,0,1,0,0,0,1,0,0,1,0,1,0,0,0,1,0,0,0,0,1,0,0,1,0,0,0,0,1,0,0,0,0,1,0,</t>
  </si>
  <si>
    <t>0,0,1,0,0,1,0,0,0,1,0,0,1,0,0,0,1,0,0,1,0,1,0,0,0,0,0,1,0,0,1,0,0,1,0,0,0,1,0,0,1,0,0,0,1,0,0,1,0,1,0,0,0,1,0,0,0,0,1,0,0,1,0,0,0,0,1,0,0,0,0,1,0,0,0,0,1,0,1,0,0,0,1,0,0,1,0,0,0,1,0,0,1,0,1,0,0,0,0,0,1,0,0,1,0,0,1,0,0,0,1,0,0,0,1,0,0,1,0,0,1,0,1,0,0,0,1,0,0,0,0,1,0,0,1,0,0,0,0,1,0,0,0,0,1,0,</t>
  </si>
  <si>
    <t>0,0,1,0,0,1,0,0,0,1,0,0,1,0,0,0,1,0,0,1,0,1,0,0,0,0,0,1,0,0,1,0,0,1,0,0,0,1,0,0,1,0,0,0,1,0,0,1,0,1,0,0,0,1,0,0,0,0,1,0,0,1,0,0,0,0,1,0,0,0,0,1,0,0,0,0,1,0,1,0,0,0,1,0,0,1,0,0,0,1,0,0,1,0,1,0,0,0,0,0,1,0,0,1,0,0,1,0,0,0,1,0,0,1,0,0,0,0,1,0,1,0,1,0,0,0,1,0,0,0,0,1,0,0,1,0,0,0,0,1,0,0,0,0,1,0,</t>
  </si>
  <si>
    <t>0,0,1,0,0,1,0,0,0,1,0,0,1,0,0,0,1,0,0,1,0,1,0,0,0,0,0,1,0,0,1,0,0,1,0,0,0,1,0,0,1,0,0,0,1,0,0,1,0,1,0,0,0,1,0,0,0,0,1,0,0,1,0,0,0,0,1,0,0,0,0,1,0,0,0,0,1,0,1,0,0,0,1,0,0,1,0,0,0,1,0,0,1,0,1,0,0,0,0,0,1,0,0,1,0,0,1,0,0,0,1,0,0,1,0,0,0,0,0,1,1,0,1,0,0,0,1,0,0,0,0,1,0,0,1,0,0,0,0,1,0,0,0,0,1,0,</t>
  </si>
  <si>
    <t>0,0,1,0,0,1,0,0,0,1,0,0,1,0,0,0,1,0,0,1,0,1,0,0,0,0,0,1,0,0,1,0,0,1,0,0,0,1,0,0,1,0,0,0,1,0,0,1,0,1,0,0,0,1,0,0,0,0,1,0,0,1,0,0,0,0,1,0,0,0,0,1,0,0,0,0,1,0,1,0,0,0,1,0,0,1,0,0,0,1,0,0,1,0,1,0,0,0,0,0,1,0,0,1,0,0,1,0,0,0,1,0,0,1,0,1,0,0,0,0,1,0,1,0,0,0,1,0,0,0,0,1,0,0,1,0,0,0,0,1,0,0,0,0,1,0,</t>
  </si>
  <si>
    <t>0,0,1,0,0,1,0,0,0,1,0,0,1,0,0,0,1,0,0,1,0,1,0,0,0,0,0,1,0,0,1,0,0,1,0,0,0,1,0,0,1,0,0,0,1,0,0,1,0,1,0,0,0,1,0,0,0,0,1,0,0,1,0,0,0,0,1,0,0,0,0,1,0,0,0,0,1,0,1,0,0,0,1,0,0,1,0,0,0,1,0,0,1,0,1,0,0,0,0,0,1,0,0,1,0,0,1,0,0,0,1,0,0,1,0,0,1,0,0,0,1,0,1,0,0,0,1,0,0,0,0,1,0,0,1,0,0,0,0,1,0,0,0,0,1,0,</t>
  </si>
  <si>
    <t>0,0,1,0,0,1,0,0,0,1,0,0,1,0,0,0,1,0,0,1,0,1,0,0,0,0,0,1,0,0,1,0,0,1,0,0,0,1,0,0,1,0,0,0,1,0,0,1,0,1,0,0,0,1,0,0,0,0,1,0,0,1,0,0,0,0,1,0,0,0,0,1,0,0,0,0,1,0,1,0,0,0,1,0,0,1,0,0,0,1,0,0,1,0,1,0,0,0,0,0,1,0,0,1,0,0,1,0,0,0,1,0,0,1,0,0,0,1,0,0,0,1,1,0,0,0,1,0,0,0,0,1,0,0,1,0,0,0,0,1,0,0,0,0,1,0,</t>
  </si>
  <si>
    <t>0,0,1,0,0,1,0,0,0,1,0,0,1,0,0,0,1,0,0,1,0,1,0,0,0,0,0,1,0,0,1,0,0,1,0,0,0,1,0,0,1,0,0,0,1,0,0,1,0,1,0,0,0,1,0,0,0,0,1,0,0,1,0,0,0,0,1,0,0,0,0,1,0,0,0,0,1,0,1,0,0,0,1,0,0,1,0,0,0,1,0,0,1,0,1,0,0,0,0,0,1,0,0,1,0,0,1,0,0,0,1,0,0,1,0,0,0,1,0,0,1,0,0,1,0,0,1,0,0,0,0,1,0,0,1,0,0,0,0,1,0,0,0,0,1,0,</t>
  </si>
  <si>
    <t>0,0,1,0,0,1,0,0,0,1,0,0,1,0,0,0,1,0,0,1,0,1,0,0,0,0,0,1,0,0,1,0,0,1,0,0,0,1,0,0,1,0,0,0,1,0,0,1,0,1,0,0,0,1,0,0,0,0,1,0,0,1,0,0,0,0,1,0,0,0,0,1,0,0,0,0,1,0,1,0,0,0,1,0,0,1,0,0,0,1,0,0,1,0,1,0,0,0,0,0,1,0,0,1,0,0,1,0,0,0,1,0,0,1,0,0,0,1,0,0,1,0,1,0,0,0,0,1,0,0,0,1,0,0,1,0,0,0,0,1,0,0,0,0,1,0,</t>
  </si>
  <si>
    <t>0,0,1,0,0,1,0,0,0,1,0,0,1,0,0,0,1,0,0,1,0,1,0,0,0,0,0,1,0,0,1,0,0,1,0,0,0,1,0,0,1,0,0,0,1,0,0,1,0,1,0,0,0,1,0,0,0,0,1,0,0,1,0,0,0,0,1,0,0,0,0,1,0,0,0,0,1,0,1,0,0,0,1,0,0,1,0,0,0,1,0,0,1,0,1,0,0,0,0,0,1,0,0,1,0,0,1,0,0,0,1,0,0,1,0,0,0,1,0,0,1,0,1,0,0,0,0,0,1,0,0,1,0,0,1,0,0,0,0,1,0,0,0,0,1,0,</t>
  </si>
  <si>
    <t>0,0,1,0,0,1,0,0,0,1,0,0,1,0,0,0,1,0,0,1,0,1,0,0,0,0,0,1,0,0,1,0,0,1,0,0,0,1,0,0,1,0,0,0,1,0,0,1,0,1,0,0,0,1,0,0,0,0,1,0,0,1,0,0,0,0,1,0,0,0,0,1,0,0,0,0,1,0,1,0,0,0,1,0,0,1,0,0,0,1,0,0,1,0,1,0,0,0,0,0,1,0,0,1,0,0,1,0,0,0,1,0,0,1,0,0,0,1,0,0,1,0,1,0,1,0,0,0,0,0,0,1,0,0,1,0,0,0,0,1,0,0,0,0,1,0,</t>
  </si>
  <si>
    <t>0,0,1,0,0,1,0,0,0,1,0,0,1,0,0,0,1,0,0,1,0,1,0,0,0,0,0,1,0,0,1,0,0,1,0,0,0,1,0,0,1,0,0,0,1,0,0,1,0,1,0,0,0,1,0,0,0,0,1,0,0,1,0,0,0,0,1,0,0,0,0,1,0,0,0,0,1,0,1,0,0,0,1,0,0,1,0,0,0,1,0,0,1,0,1,0,0,0,0,0,1,0,0,1,0,0,1,0,0,0,1,0,0,1,0,0,0,1,0,0,1,0,1,0,0,1,0,0,0,0,0,1,0,0,1,0,0,0,0,1,0,0,0,0,1,0,</t>
  </si>
  <si>
    <t>0,0,1,0,0,1,0,0,0,1,0,0,1,0,0,0,1,0,0,1,0,1,0,0,0,0,0,1,0,0,1,0,0,1,0,0,0,1,0,0,1,0,0,0,1,0,0,1,0,1,0,0,0,1,0,0,0,0,1,0,0,1,0,0,0,0,1,0,0,0,0,1,0,0,0,0,1,0,1,0,0,0,1,0,0,1,0,0,0,1,0,0,1,0,1,0,0,0,0,0,1,0,0,1,0,0,1,0,0,0,1,0,0,1,0,0,0,1,0,0,1,0,1,0,0,0,1,0,0,0,0,0,1,0,1,0,0,0,0,1,0,0,0,0,1,0,</t>
  </si>
  <si>
    <t>0,0,1,0,0,1,0,0,0,1,0,0,1,0,0,0,1,0,0,1,0,1,0,0,0,0,0,1,0,0,1,0,0,1,0,0,0,1,0,0,1,0,0,0,1,0,0,1,0,1,0,0,0,1,0,0,0,0,1,0,0,1,0,0,0,0,1,0,0,0,0,1,0,0,0,0,1,0,1,0,0,0,1,0,0,1,0,0,0,1,0,0,1,0,1,0,0,0,0,0,1,0,0,1,0,0,1,0,0,0,1,0,0,1,0,0,0,1,0,0,1,0,1,0,0,0,1,0,0,0,0,0,0,1,1,0,0,0,0,1,0,0,0,0,1,0,</t>
  </si>
  <si>
    <t>0,0,1,0,0,1,0,0,0,1,0,0,1,0,0,0,1,0,0,1,0,1,0,0,0,0,0,1,0,0,1,0,0,1,0,0,0,1,0,0,1,0,0,0,1,0,0,1,0,1,0,0,0,1,0,0,0,0,1,0,0,1,0,0,0,0,1,0,0,0,0,1,0,0,0,0,1,0,1,0,0,0,1,0,0,1,0,0,0,1,0,0,1,0,1,0,0,0,0,0,1,0,0,1,0,0,1,0,0,0,1,0,0,1,0,0,0,1,0,0,1,0,1,0,0,0,1,0,0,1,0,0,0,0,1,0,0,0,0,1,0,0,0,0,1,0,</t>
  </si>
  <si>
    <t>0,0,1,0,0,1,0,0,0,1,0,0,1,0,0,0,1,0,0,1,0,1,0,0,0,0,0,1,0,0,1,0,0,1,0,0,0,1,0,0,1,0,0,0,1,0,0,1,0,1,0,0,0,1,0,0,0,0,1,0,0,1,0,0,0,0,1,0,0,0,0,1,0,0,0,0,1,0,1,0,0,0,1,0,0,1,0,0,0,1,0,0,1,0,1,0,0,0,0,0,1,0,0,1,0,0,1,0,0,0,1,0,0,1,0,0,0,1,0,0,1,0,1,0,0,0,1,0,0,0,1,0,0,0,1,0,0,0,0,1,0,0,0,0,1,0,</t>
  </si>
  <si>
    <t>0,0,1,0,0,1,0,0,0,1,0,0,1,0,0,0,1,0,0,1,0,1,0,0,0,0,0,1,0,0,1,0,0,1,0,0,0,1,0,0,1,0,0,0,1,0,0,1,0,1,0,0,0,1,0,0,0,0,1,0,0,1,0,0,0,0,1,0,0,0,0,1,0,0,0,0,1,0,1,0,0,0,1,0,0,1,0,0,0,1,0,0,1,0,1,0,0,0,0,0,1,0,0,1,0,0,1,0,0,0,1,0,0,1,0,0,0,1,0,0,1,0,1,0,0,0,1,0,0,0,0,1,0,0,0,1,0,0,0,1,0,0,0,0,1,0,</t>
  </si>
  <si>
    <t>0,0,1,0,0,1,0,0,0,1,0,0,1,0,0,0,1,0,0,1,0,1,0,0,0,0,0,1,0,0,1,0,0,1,0,0,0,1,0,0,1,0,0,0,1,0,0,1,0,1,0,0,0,1,0,0,0,0,1,0,0,1,0,0,0,0,1,0,0,0,0,1,0,0,0,0,1,0,1,0,0,0,1,0,0,1,0,0,0,1,0,0,1,0,1,0,0,0,0,0,1,0,0,1,0,0,1,0,0,0,1,0,0,1,0,0,0,1,0,0,1,0,1,0,0,0,1,0,0,0,0,1,0,0,0,0,1,0,0,1,0,0,0,0,1,0,</t>
  </si>
  <si>
    <t>0,0,1,0,0,1,0,0,0,1,0,0,1,0,0,0,1,0,0,1,0,1,0,0,0,0,0,1,0,0,1,0,0,1,0,0,0,1,0,0,1,0,0,0,1,0,0,1,0,1,0,0,0,1,0,0,0,0,1,0,0,1,0,0,0,0,1,0,0,0,0,1,0,0,0,0,1,0,1,0,0,0,1,0,0,1,0,0,0,1,0,0,1,0,1,0,0,0,0,0,1,0,0,1,0,0,1,0,0,0,1,0,0,1,0,0,0,1,0,0,1,0,1,0,0,0,1,0,0,0,0,1,0,0,0,0,0,1,0,1,0,0,0,0,1,0,</t>
  </si>
  <si>
    <t>0,0,1,0,0,1,0,0,0,1,0,0,1,0,0,0,1,0,0,1,0,1,0,0,0,0,0,1,0,0,1,0,0,1,0,0,0,1,0,0,1,0,0,0,1,0,0,1,0,1,0,0,0,1,0,0,0,0,1,0,0,1,0,0,0,0,1,0,0,0,0,1,0,0,0,0,1,0,1,0,0,0,1,0,0,1,0,0,0,1,0,0,1,0,1,0,0,0,0,0,1,0,0,1,0,0,1,0,0,0,1,0,0,1,0,0,0,1,0,0,1,0,1,0,0,0,1,0,0,0,0,1,0,0,1,0,0,0,0,0,1,0,0,0,1,0,</t>
  </si>
  <si>
    <t>0,0,1,0,0,1,0,0,0,1,0,0,1,0,0,0,1,0,0,1,0,1,0,0,0,0,0,1,0,0,1,0,0,1,0,0,0,1,0,0,1,0,0,0,1,0,0,1,0,1,0,0,0,1,0,0,0,0,1,0,0,1,0,0,0,0,1,0,0,0,0,1,0,0,0,0,1,0,1,0,0,0,1,0,0,1,0,0,0,1,0,0,1,0,1,0,0,0,0,0,1,0,0,1,0,0,1,0,0,0,1,0,0,1,0,0,0,1,0,0,1,0,1,0,0,0,1,0,0,0,0,1,0,0,1,0,0,0,0,0,0,1,0,0,1,0,</t>
  </si>
  <si>
    <t>0,0,1,0,0,1,0,0,0,1,0,0,1,0,0,0,1,0,0,1,0,1,0,0,0,0,0,1,0,0,1,0,0,1,0,0,0,1,0,0,1,0,0,0,1,0,0,1,0,1,0,0,0,1,0,0,0,0,1,0,0,1,0,0,0,0,1,0,0,0,0,1,0,0,0,0,1,0,1,0,0,0,1,0,0,1,0,0,0,1,0,0,1,0,1,0,0,0,0,0,1,0,0,1,0,0,1,0,0,0,1,0,0,1,0,0,0,1,0,0,1,0,1,0,0,0,1,0,0,0,0,1,0,0,1,0,0,0,1,0,0,0,0,0,1,0,</t>
  </si>
  <si>
    <t>0,0,1,0,0,1,0,0,0,1,0,0,1,0,0,0,1,0,0,1,0,1,0,0,0,0,0,1,0,0,1,0,0,1,0,0,0,1,0,0,1,0,0,0,1,0,0,1,0,1,0,0,0,1,0,0,0,0,1,0,0,1,0,0,0,0,1,0,0,0,0,1,0,0,0,0,1,0,1,0,0,0,1,0,0,1,0,0,0,1,0,0,1,0,1,0,0,0,0,0,1,0,0,1,0,0,1,0,0,0,1,0,0,1,0,0,0,1,0,0,1,0,1,0,0,0,1,0,0,0,0,1,0,0,1,0,0,0,0,1,0,0,0,0,0,1,</t>
  </si>
  <si>
    <t>0,0,1,0,0,1,0,0,0,1,0,0,1,0,0,0,1,0,0,1,0,1,0,0,0,0,0,1,0,0,1,0,0,1,0,0,0,1,0,0,1,0,0,0,1,0,0,1,0,1,0,0,0,1,0,0,0,0,1,0,0,1,0,0,0,0,1,0,0,0,0,1,0,0,0,0,1,0,1,0,0,0,1,0,0,1,0,0,0,1,0,0,1,0,1,0,0,0,0,0,1,0,0,1,0,0,1,0,0,0,1,0,0,1,0,0,0,1,0,0,1,0,1,0,0,0,1,0,0,0,0,1,0,0,1,0,0,0,0,1,0,0,1,0,0,0,</t>
  </si>
  <si>
    <t>0,0,1,0,0,1,0,0,0,1,0,0,1,0,0,0,1,0,0,1,0,1,0,0,0,0,0,1,0,0,1,0,0,1,0,0,0,1,0,0,1,0,0,0,1,0,0,1,0,1,0,0,0,1,0,0,0,0,1,0,0,1,0,0,0,0,1,0,0,0,0,1,0,0,0,0,1,0,1,0,0,0,1,0,0,1,0,0,0,1,0,0,1,0,1,0,0,0,0,0,1,0,0,1,0,0,1,0,0,0,1,0,0,1,0,0,0,1,0,0,1,0,1,0,0,0,1,0,0,0,0,1,0,0,1,0,0,0,0,1,0,0,0,1,0,0,</t>
  </si>
  <si>
    <t>0,0,1,0,0,1,0,0,0,1,0,0,1,0,0,0,1,0,0,1,0,1,0,0,0,0,0,1,0,0,1,0,0,1,0,0,0,1,0,0,1,0,0,0,1,0,0,1,0,1,0,0,0,1,0,0,0,0,1,0,0,1,0,0,0,0,1,0,0,0,0,1,0,0,0,0,0,1,1,0,0,0,1,0,0,1,0,0,0,0,1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</si>
  <si>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1,0,0,0,0,1,0,0,0,1,0,0,1,0,0,0,0,1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</si>
  <si>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1,0,0,0,1,0,0,0,1,0,0,1,0,0,0,0,1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</si>
  <si>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0,1,0,0,1,0,0,1,0,0,0,0,1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</si>
  <si>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1,0,0,0,0,1,0,1,0,0,0,0,1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</si>
  <si>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1,0,0,0,0,0,1,1,0,0,0,0,1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</si>
  <si>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1,0,1,0,0,0,0,1,0,0,0,0,1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</si>
  <si>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1,0,0,1,0,0,0,1,0,0,0,0,1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</si>
  <si>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0,1,0,0,0,1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</si>
  <si>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0,0,1,0,0,1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</si>
  <si>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0,0,1,0,1,0,0,1,0,0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</si>
  <si>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0,0,1,0,1,0,0,0,1,0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</si>
  <si>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0,0,1,0,1,0,0,0,0,1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</si>
  <si>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0,0,1,0,1,0,0,0,0,0,1,0,1,0,0,1,0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</si>
  <si>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0,0,1,0,1,0,1,0,0,0,0,1,0,0,0,1,0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</si>
  <si>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0,0,1,0,1,0,1,0,0,0,0,0,1,0,0,0,1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</si>
  <si>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0,0,1,0,1,0,1,0,0,0,0,0,1,0,0,0,0,1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</si>
  <si>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0,0,1,0,1,0,1,0,0,0,0,0,1,1,0,0,0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</si>
  <si>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0,0,1,0,1,0,1,0,0,0,0,0,1,0,1,0,0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</si>
  <si>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0,0,1,0,1,0,1,0,0,0,0,0,1,0,0,1,0,0,0,1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</si>
  <si>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0,0,1,0,1,0,1,0,0,0,0,0,1,0,0,1,0,0,1,0,0,0,0,1,0,1,0,0,0,1,0,0,1,0,1,0,0,0,1,0,0,0,0,1,0,0,1,0,0,0,0,1,0,0,0,0,1,0,</t>
  </si>
  <si>
    <t>0,0,1,0,0,1,0,0,0,1,0,0,1,0,0,0,1,0,0,1,0,1,0,0,0,0,0,1,0,0,1,0,0,1,0,0,0,1,0,0,1,0,0,0,1,0,0,1,0,1,0,0,0,1,0,0,0,0,1,0,0,1,0,0,0,0,1,0,0,0,0,1,0,0,0,1,0,0,1,0,0,0,1,0,0,1,0,0,0,0,1,0,1,0,1,0,0,0,0,0,1,0,0,1,0,0,1,0,0,0,0,0,1,1,0,0,0,1,0,0,1,0,1,0,0,0,1,0,0,0,0,1,0,0,1,0,0,0,0,1,0,0,0,0,1,0,</t>
  </si>
  <si>
    <t>0,0,1,0,0,1,0,0,0,1,0,0,1,0,0,0,1,0,0,1,0,1,0,0,0,0,0,1,0,0,1,0,0,1,0,0,0,1,0,0,1,0,0,0,1,0,0,1,0,1,0,0,0,1,0,0,0,0,1,0,0,1,0,0,0,0,1,0,0,0,0,1,0,0,0,1,0,0,1,0,0,0,1,0,0,1,0,0,0,0,1,0,1,0,1,0,0,0,0,0,1,0,0,1,0,0,1,0,1,0,0,0,0,1,0,0,0,1,0,0,1,0,1,0,0,0,1,0,0,0,0,1,0,0,1,0,0,0,0,1,0,0,0,0,1,0,</t>
  </si>
  <si>
    <t>0,0,1,0,0,1,0,0,0,1,0,0,1,0,0,0,1,0,0,1,0,1,0,0,0,0,0,1,0,0,1,0,0,1,0,0,0,1,0,0,1,0,0,0,1,0,0,1,0,1,0,0,0,1,0,0,0,0,1,0,0,1,0,0,0,0,1,0,0,0,0,1,0,0,0,1,0,0,1,0,0,0,1,0,0,1,0,0,0,0,1,0,1,0,1,0,0,0,0,0,1,0,0,1,0,0,1,0,0,1,0,0,0,1,0,0,0,1,0,0,1,0,1,0,0,0,1,0,0,0,0,1,0,0,1,0,0,0,0,1,0,0,0,0,1,0,</t>
  </si>
  <si>
    <t>0,0,1,0,0,1,0,0,0,1,0,0,1,0,0,0,1,0,0,1,0,1,0,0,0,0,0,1,0,0,1,0,0,1,0,0,0,1,0,0,1,0,0,0,1,0,0,1,0,1,0,0,0,1,0,0,0,0,1,0,0,1,0,0,0,0,1,0,0,0,0,1,0,0,0,1,0,0,1,0,0,0,1,0,0,1,0,0,0,0,1,0,1,0,1,0,0,0,0,0,1,0,0,1,0,0,1,0,0,0,1,0,0,0,1,0,0,1,0,0,1,0,1,0,0,0,1,0,0,0,0,1,0,0,1,0,0,0,0,1,0,0,0,0,1,0,</t>
  </si>
  <si>
    <t>0,0,1,0,0,1,0,0,0,1,0,0,1,0,0,0,1,0,0,1,0,1,0,0,0,0,0,1,0,0,1,0,0,1,0,0,0,1,0,0,1,0,0,0,1,0,0,1,0,1,0,0,0,1,0,0,0,0,1,0,0,1,0,0,0,0,1,0,0,0,0,1,0,0,0,1,0,0,1,0,0,0,1,0,0,1,0,0,0,0,1,0,1,0,1,0,0,0,0,0,1,0,0,1,0,0,1,0,0,0,1,0,0,1,0,0,0,0,1,0,1,0,1,0,0,0,1,0,0,0,0,1,0,0,1,0,0,0,0,1,0,0,0,0,1,0,</t>
  </si>
  <si>
    <t>0,0,1,0,0,1,0,0,0,1,0,0,1,0,0,0,1,0,0,1,0,1,0,0,0,0,0,1,0,0,1,0,0,1,0,0,0,1,0,0,1,0,0,0,1,0,0,1,0,1,0,0,0,1,0,0,0,0,1,0,0,1,0,0,0,0,1,0,0,0,0,1,0,0,0,1,0,0,1,0,0,0,1,0,0,1,0,0,0,0,1,0,1,0,1,0,0,0,0,0,1,0,0,1,0,0,1,0,0,0,1,0,0,1,0,0,0,0,0,1,1,0,1,0,0,0,1,0,0,0,0,1,0,0,1,0,0,0,0,1,0,0,0,0,1,0,</t>
  </si>
  <si>
    <t>0,0,1,0,0,1,0,0,0,1,0,0,1,0,0,0,1,0,0,1,0,1,0,0,0,0,0,1,0,0,1,0,0,1,0,0,0,1,0,0,1,0,0,0,1,0,0,1,0,1,0,0,0,1,0,0,0,0,1,0,0,1,0,0,0,0,1,0,0,0,0,1,0,0,0,1,0,0,1,0,0,0,1,0,0,1,0,0,0,0,1,0,1,0,1,0,0,0,0,0,1,0,0,1,0,0,1,0,0,0,1,0,0,1,0,1,0,0,0,0,1,0,1,0,0,0,1,0,0,0,0,1,0,0,1,0,0,0,0,1,0,0,0,0,1,0,</t>
  </si>
  <si>
    <t>0,0,1,0,0,1,0,0,0,1,0,0,1,0,0,0,1,0,0,1,0,1,0,0,0,0,0,1,0,0,1,0,0,1,0,0,0,1,0,0,1,0,0,0,1,0,0,1,0,1,0,0,0,1,0,0,0,0,1,0,0,1,0,0,0,0,1,0,0,0,0,1,0,0,0,1,0,0,1,0,0,0,1,0,0,1,0,0,0,0,1,0,1,0,1,0,0,0,0,0,1,0,0,1,0,0,1,0,0,0,1,0,0,1,0,0,1,0,0,0,1,0,1,0,0,0,1,0,0,0,0,1,0,0,1,0,0,0,0,1,0,0,0,0,1,0,</t>
  </si>
  <si>
    <t>0,0,1,0,0,1,0,0,0,1,0,0,1,0,0,0,1,0,0,1,0,1,0,0,0,0,0,1,0,0,1,0,0,1,0,0,0,1,0,0,1,0,0,0,1,0,0,1,0,1,0,0,0,1,0,0,0,0,1,0,0,1,0,0,0,0,1,0,0,0,0,1,0,0,0,1,0,0,1,0,0,0,1,0,0,1,0,0,0,0,1,0,1,0,1,0,0,0,0,0,1,0,0,1,0,0,1,0,0,0,1,0,0,1,0,0,0,1,0,0,0,1,1,0,0,0,1,0,0,0,0,1,0,0,1,0,0,0,0,1,0,0,0,0,1,0,</t>
  </si>
  <si>
    <t>0,0,1,0,0,1,0,0,0,1,0,0,1,0,0,0,1,0,0,1,0,1,0,0,0,0,0,1,0,0,1,0,0,1,0,0,0,1,0,0,1,0,0,0,1,0,0,1,0,1,0,0,0,1,0,0,0,0,1,0,0,1,0,0,0,0,1,0,0,0,0,1,0,0,0,1,0,0,1,0,0,0,1,0,0,1,0,0,0,0,1,0,1,0,1,0,0,0,0,0,1,0,0,1,0,0,1,0,0,0,1,0,0,1,0,0,0,1,0,0,1,0,0,1,0,0,1,0,0,0,0,1,0,0,1,0,0,0,0,1,0,0,0,0,1,0,</t>
  </si>
  <si>
    <t>0,0,1,0,0,1,0,0,0,1,0,0,1,0,0,0,1,0,0,1,0,1,0,0,0,0,0,1,0,0,1,0,0,1,0,0,0,1,0,0,1,0,0,0,1,0,0,1,0,1,0,0,0,1,0,0,0,0,1,0,0,1,0,0,0,0,1,0,0,0,0,1,0,0,0,1,0,0,1,0,0,0,1,0,0,1,0,0,0,0,1,0,1,0,1,0,0,0,0,0,1,0,0,1,0,0,1,0,0,0,1,0,0,1,0,0,0,1,0,0,1,0,1,0,0,0,0,1,0,0,0,1,0,0,1,0,0,0,0,1,0,0,0,0,1,0,</t>
  </si>
  <si>
    <t>0,0,1,0,0,1,0,0,0,1,0,0,1,0,0,0,1,0,0,1,0,1,0,0,0,0,0,1,0,0,1,0,0,1,0,0,0,1,0,0,1,0,0,0,1,0,0,1,0,1,0,0,0,1,0,0,0,0,1,0,0,1,0,0,0,0,1,0,0,0,0,1,0,0,0,1,0,0,1,0,0,0,1,0,0,1,0,0,0,0,1,0,1,0,1,0,0,0,0,0,1,0,0,1,0,0,1,0,0,0,1,0,0,1,0,0,0,1,0,0,1,0,1,0,0,0,0,0,1,0,0,1,0,0,1,0,0,0,0,1,0,0,0,0,1,0,</t>
  </si>
  <si>
    <t>0,0,1,0,0,1,0,0,0,1,0,0,1,0,0,0,1,0,0,1,0,1,0,0,0,0,0,1,0,0,1,0,0,1,0,0,0,1,0,0,1,0,0,0,1,0,0,1,0,1,0,0,0,1,0,0,0,0,1,0,0,1,0,0,0,0,1,0,0,0,0,1,0,0,0,1,0,0,1,0,0,0,1,0,0,1,0,0,0,0,1,0,1,0,1,0,0,0,0,0,1,0,0,1,0,0,1,0,0,0,1,0,0,1,0,0,0,1,0,0,1,0,1,0,1,0,0,0,0,0,0,1,0,0,1,0,0,0,0,1,0,0,0,0,1,0,</t>
  </si>
  <si>
    <t>0,0,1,0,0,1,0,0,0,1,0,0,1,0,0,0,1,0,0,1,0,1,0,0,0,0,0,1,0,0,1,0,0,1,0,0,0,1,0,0,1,0,0,0,1,0,0,1,0,1,0,0,0,1,0,0,0,0,1,0,0,1,0,0,0,0,1,0,0,0,0,1,0,0,0,1,0,0,1,0,0,0,1,0,0,1,0,0,0,0,1,0,1,0,1,0,0,0,0,0,1,0,0,1,0,0,1,0,0,0,1,0,0,1,0,0,0,1,0,0,1,0,1,0,0,1,0,0,0,0,0,1,0,0,1,0,0,0,0,1,0,0,0,0,1,0,</t>
  </si>
  <si>
    <t>0,0,1,0,0,1,0,0,0,1,0,0,1,0,0,0,1,0,0,1,0,1,0,0,0,0,0,1,0,0,1,0,0,1,0,0,0,1,0,0,1,0,0,0,1,0,0,1,0,1,0,0,0,1,0,0,0,0,1,0,0,1,0,0,0,0,1,0,0,0,0,1,0,0,0,1,0,0,1,0,0,0,1,0,0,1,0,0,0,0,1,0,1,0,1,0,0,0,0,0,1,0,0,1,0,0,1,0,0,0,1,0,0,1,0,0,0,1,0,0,1,0,1,0,0,0,1,0,0,0,0,0,1,0,1,0,0,0,0,1,0,0,0,0,1,0,</t>
  </si>
  <si>
    <t>0,0,1,0,0,1,0,0,0,1,0,0,1,0,0,0,1,0,0,1,0,1,0,0,0,0,0,1,0,0,1,0,0,1,0,0,0,1,0,0,1,0,0,0,1,0,0,1,0,1,0,0,0,1,0,0,0,0,1,0,0,1,0,0,0,0,1,0,0,0,0,1,0,0,0,1,0,0,1,0,0,0,1,0,0,1,0,0,0,0,1,0,1,0,1,0,0,0,0,0,1,0,0,1,0,0,1,0,0,0,1,0,0,1,0,0,0,1,0,0,1,0,1,0,0,0,1,0,0,0,0,0,0,1,1,0,0,0,0,1,0,0,0,0,1,0,</t>
  </si>
  <si>
    <t>0,0,1,0,0,1,0,0,0,1,0,0,1,0,0,0,1,0,0,1,0,1,0,0,0,0,0,1,0,0,1,0,0,1,0,0,0,1,0,0,1,0,0,0,1,0,0,1,0,1,0,0,0,1,0,0,0,0,1,0,0,1,0,0,0,0,1,0,0,0,0,1,0,0,0,1,0,0,1,0,0,0,1,0,0,1,0,0,0,0,1,0,1,0,1,0,0,0,0,0,1,0,0,1,0,0,1,0,0,0,1,0,0,1,0,0,0,1,0,0,1,0,1,0,0,0,1,0,0,1,0,0,0,0,1,0,0,0,0,1,0,0,0,0,1,0,</t>
  </si>
  <si>
    <t>0,0,1,0,0,1,0,0,0,1,0,0,1,0,0,0,1,0,0,1,0,1,0,0,0,0,0,1,0,0,1,0,0,1,0,0,0,1,0,0,1,0,0,0,1,0,0,1,0,1,0,0,0,1,0,0,0,0,1,0,0,1,0,0,0,0,1,0,0,0,0,1,0,0,0,1,0,0,1,0,0,0,1,0,0,1,0,0,0,0,1,0,1,0,1,0,0,0,0,0,1,0,0,1,0,0,1,0,0,0,1,0,0,1,0,0,0,1,0,0,1,0,1,0,0,0,1,0,0,0,1,0,0,0,1,0,0,0,0,1,0,0,0,0,1,0,</t>
  </si>
  <si>
    <t>0,0,1,0,0,1,0,0,0,1,0,0,1,0,0,0,1,0,0,1,0,1,0,0,0,0,0,1,0,0,1,0,0,1,0,0,0,1,0,0,1,0,0,0,1,0,0,1,0,1,0,0,0,1,0,0,0,0,1,0,0,1,0,0,0,0,1,0,0,0,0,1,0,0,0,1,0,0,1,0,0,0,1,0,0,1,0,0,0,0,1,0,1,0,1,0,0,0,0,0,1,0,0,1,0,0,1,0,0,0,1,0,0,1,0,0,0,1,0,0,1,0,1,0,0,0,1,0,0,0,0,1,0,0,0,1,0,0,0,1,0,0,0,0,1,0,</t>
  </si>
  <si>
    <t>0,0,1,0,0,1,0,0,0,1,0,0,1,0,0,0,1,0,0,1,0,1,0,0,0,0,0,1,0,0,1,0,0,1,0,0,0,1,0,0,1,0,0,0,1,0,0,1,0,1,0,0,0,1,0,0,0,0,1,0,0,1,0,0,0,0,1,0,0,0,0,1,0,0,0,1,0,0,1,0,0,0,1,0,0,1,0,0,0,0,1,0,1,0,1,0,0,0,0,0,1,0,0,1,0,0,1,0,0,0,1,0,0,1,0,0,0,1,0,0,1,0,1,0,0,0,1,0,0,0,0,1,0,0,0,0,1,0,0,1,0,0,0,0,1,0,</t>
  </si>
  <si>
    <t>0,0,1,0,0,1,0,0,0,1,0,0,1,0,0,0,1,0,0,1,0,1,0,0,0,0,0,1,0,0,1,0,0,1,0,0,0,1,0,0,1,0,0,0,1,0,0,1,0,1,0,0,0,1,0,0,0,0,1,0,0,1,0,0,0,0,1,0,0,0,0,1,0,0,0,1,0,0,1,0,0,0,1,0,0,1,0,0,0,0,1,0,1,0,1,0,0,0,0,0,1,0,0,1,0,0,1,0,0,0,1,0,0,1,0,0,0,1,0,0,1,0,1,0,0,0,1,0,0,0,0,1,0,0,0,0,0,1,0,1,0,0,0,0,1,0,</t>
  </si>
  <si>
    <t>0,0,1,0,0,1,0,0,0,1,0,0,1,0,0,0,1,0,0,1,0,1,0,0,0,0,0,1,0,0,1,0,0,1,0,0,0,1,0,0,1,0,0,0,1,0,0,1,0,1,0,0,0,1,0,0,0,0,1,0,0,1,0,0,0,0,1,0,0,0,0,1,0,0,0,1,0,0,1,0,0,0,1,0,0,1,0,0,0,0,1,0,1,0,1,0,0,0,0,0,1,0,0,1,0,0,1,0,0,0,1,0,0,1,0,0,0,1,0,0,1,0,1,0,0,0,1,0,0,0,0,1,0,0,1,0,0,0,0,0,1,0,0,0,1,0,</t>
  </si>
  <si>
    <t>0,0,1,0,0,1,0,0,0,1,0,0,1,0,0,0,1,0,0,1,0,1,0,0,0,0,0,1,0,0,1,0,0,1,0,0,0,1,0,0,1,0,0,0,1,0,0,1,0,1,0,0,0,1,0,0,0,0,1,0,0,1,0,0,0,0,1,0,0,0,0,1,0,0,0,1,0,0,1,0,0,0,1,0,0,1,0,0,0,0,1,0,1,0,1,0,0,0,0,0,1,0,0,1,0,0,1,0,0,0,1,0,0,1,0,0,0,1,0,0,1,0,1,0,0,0,1,0,0,0,0,1,0,0,1,0,0,0,0,0,0,1,0,0,1,0,</t>
  </si>
  <si>
    <t>0,0,1,0,0,1,0,0,0,1,0,0,1,0,0,0,1,0,0,1,0,1,0,0,0,0,0,1,0,0,1,0,0,1,0,0,0,1,0,0,1,0,0,0,1,0,0,1,0,1,0,0,0,1,0,0,0,0,1,0,0,1,0,0,0,0,1,0,0,0,0,1,0,0,0,1,0,0,1,0,0,0,1,0,0,1,0,0,0,0,1,0,1,0,1,0,0,0,0,0,1,0,0,1,0,0,1,0,0,0,1,0,0,1,0,0,0,1,0,0,1,0,1,0,0,0,1,0,0,0,0,1,0,0,1,0,0,0,1,0,0,0,0,0,1,0,</t>
  </si>
  <si>
    <t>0,0,1,0,0,1,0,0,0,1,0,0,1,0,0,0,1,0,0,1,0,1,0,0,0,0,0,1,0,0,1,0,0,1,0,0,0,1,0,0,1,0,0,0,1,0,0,1,0,1,0,0,0,1,0,0,0,0,1,0,0,1,0,0,0,0,1,0,0,0,0,1,0,0,0,1,0,0,1,0,0,0,1,0,0,1,0,0,0,0,1,0,1,0,1,0,0,0,0,0,1,0,0,1,0,0,1,0,0,0,1,0,0,1,0,0,0,1,0,0,1,0,1,0,0,0,1,0,0,0,0,1,0,0,1,0,0,0,0,1,0,0,0,0,0,1,</t>
  </si>
  <si>
    <t>0,0,1,0,0,1,0,0,0,1,0,0,1,0,0,0,1,0,0,1,0,1,0,0,0,0,0,1,0,0,1,0,0,1,0,0,0,1,0,0,1,0,0,0,1,0,0,1,0,1,0,0,0,1,0,0,0,0,1,0,0,1,0,0,0,0,1,0,0,0,0,1,0,0,0,1,0,0,1,0,0,0,1,0,0,1,0,0,0,0,1,0,1,0,1,0,0,0,0,0,1,0,0,1,0,0,1,0,0,0,1,0,0,1,0,0,0,1,0,0,1,0,1,0,0,0,1,0,0,0,0,1,0,0,1,0,0,0,0,1,0,0,1,0,0,0,</t>
  </si>
  <si>
    <t>0,0,1,0,0,1,0,0,0,1,0,0,1,0,0,0,1,0,0,1,0,1,0,0,0,0,0,1,0,0,1,0,0,1,0,0,0,1,0,0,1,0,0,0,1,0,0,1,0,1,0,0,0,1,0,0,0,0,1,0,0,1,0,0,0,0,1,0,0,0,0,1,0,0,0,1,0,0,1,0,0,0,1,0,0,1,0,0,0,0,1,0,1,0,1,0,0,0,0,0,1,0,0,1,0,0,1,0,0,0,1,0,0,1,0,0,0,1,0,0,1,0,1,0,0,0,1,0,0,0,0,1,0,0,1,0,0,0,0,1,0,0,0,1,0,0,</t>
  </si>
  <si>
    <t>0,0,1,0,0,1,0,0,0,1,0,0,1,0,0,0,1,0,0,1,0,1,0,0,0,0,0,1,0,0,1,0,0,1,0,0,0,1,0,0,1,0,0,0,1,0,0,1,0,1,0,0,0,1,0,0,0,0,1,0,0,1,0,0,0,0,1,0,0,0,0,1,0,0,0,0,0,1,1,0,0,0,1,0,0,1,0,0,0,1,0,0,1,0,1,0,0,0,0,0,1,0,0,0,1,0,1,0,0,0,1,0,0,1,0,0,0,1,0,0,1,0,1,0,0,0,1,0,0,0,0,1,0,0,1,0,0,0,0,1,0,0,0,0,1,0,</t>
  </si>
  <si>
    <t>0,0,1,0,0,1,0,0,0,1,0,0,1,0,0,0,1,0,0,1,0,1,0,0,0,0,0,1,0,0,1,0,0,1,0,0,0,1,0,0,1,0,0,0,1,0,0,1,0,1,0,0,0,1,0,0,0,0,1,0,0,1,0,0,0,0,1,0,0,0,0,1,0,1,0,0,0,0,1,0,0,0,1,0,0,1,0,0,0,1,0,0,1,0,1,0,0,0,0,0,1,0,0,0,1,0,1,0,0,0,1,0,0,1,0,0,0,1,0,0,1,0,1,0,0,0,1,0,0,0,0,1,0,0,1,0,0,0,0,1,0,0,0,0,1,0,</t>
  </si>
  <si>
    <t>0,0,1,0,0,1,0,0,0,1,0,0,1,0,0,0,1,0,0,1,0,1,0,0,0,0,0,1,0,0,1,0,0,1,0,0,0,1,0,0,1,0,0,0,1,0,0,1,0,1,0,0,0,1,0,0,0,0,1,0,0,1,0,0,0,0,1,0,0,0,0,1,0,0,1,0,0,0,1,0,0,0,1,0,0,1,0,0,0,1,0,0,1,0,1,0,0,0,0,0,1,0,0,0,1,0,1,0,0,0,1,0,0,1,0,0,0,1,0,0,1,0,1,0,0,0,1,0,0,0,0,1,0,0,1,0,0,0,0,1,0,0,0,0,1,0,</t>
  </si>
  <si>
    <t>0,0,1,0,0,1,0,0,0,1,0,0,1,0,0,0,1,0,0,1,0,1,0,0,0,0,0,1,0,0,1,0,0,1,0,0,0,1,0,0,1,0,0,0,1,0,0,1,0,1,0,0,0,1,0,0,0,0,1,0,0,1,0,0,0,0,1,0,0,0,0,1,0,0,0,1,0,0,0,1,0,0,1,0,0,1,0,0,0,1,0,0,1,0,1,0,0,0,0,0,1,0,0,0,1,0,1,0,0,0,1,0,0,1,0,0,0,1,0,0,1,0,1,0,0,0,1,0,0,0,0,1,0,0,1,0,0,0,0,1,0,0,0,0,1,0,</t>
  </si>
  <si>
    <t>0,0,1,0,0,1,0,0,0,1,0,0,1,0,0,0,1,0,0,1,0,1,0,0,0,0,0,1,0,0,1,0,0,1,0,0,0,1,0,0,1,0,0,0,1,0,0,1,0,1,0,0,0,1,0,0,0,0,1,0,0,1,0,0,0,0,1,0,0,0,0,1,0,0,0,1,0,0,1,0,0,0,0,1,0,1,0,0,0,1,0,0,1,0,1,0,0,0,0,0,1,0,0,0,1,0,1,0,0,0,1,0,0,1,0,0,0,1,0,0,1,0,1,0,0,0,1,0,0,0,0,1,0,0,1,0,0,0,0,1,0,0,0,0,1,0,</t>
  </si>
  <si>
    <t>0,0,1,0,0,1,0,0,0,1,0,0,1,0,0,0,1,0,0,1,0,1,0,0,0,0,0,1,0,0,1,0,0,1,0,0,0,1,0,0,1,0,0,0,1,0,0,1,0,1,0,0,0,1,0,0,0,0,1,0,0,1,0,0,0,0,1,0,0,0,0,1,0,0,0,1,0,0,1,0,0,0,0,0,1,1,0,0,0,1,0,0,1,0,1,0,0,0,0,0,1,0,0,0,1,0,1,0,0,0,1,0,0,1,0,0,0,1,0,0,1,0,1,0,0,0,1,0,0,0,0,1,0,0,1,0,0,0,0,1,0,0,0,0,1,0,</t>
  </si>
  <si>
    <t>0,0,1,0,0,1,0,0,0,1,0,0,1,0,0,0,1,0,0,1,0,1,0,0,0,0,0,1,0,0,1,0,0,1,0,0,0,1,0,0,1,0,0,0,1,0,0,1,0,1,0,0,0,1,0,0,0,0,1,0,0,1,0,0,0,0,1,0,0,0,0,1,0,0,0,1,0,0,1,0,1,0,0,0,0,1,0,0,0,1,0,0,1,0,1,0,0,0,0,0,1,0,0,0,1,0,1,0,0,0,1,0,0,1,0,0,0,1,0,0,1,0,1,0,0,0,1,0,0,0,0,1,0,0,1,0,0,0,0,1,0,0,0,0,1,0,</t>
  </si>
  <si>
    <t>0,0,1,0,0,1,0,0,0,1,0,0,1,0,0,0,1,0,0,1,0,1,0,0,0,0,0,1,0,0,1,0,0,1,0,0,0,1,0,0,1,0,0,0,1,0,0,1,0,1,0,0,0,1,0,0,0,0,1,0,0,1,0,0,0,0,1,0,0,0,0,1,0,0,0,1,0,0,1,0,0,1,0,0,0,1,0,0,0,1,0,0,1,0,1,0,0,0,0,0,1,0,0,0,1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</si>
  <si>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0,1,0,0,1,0,0,1,0,1,0,0,0,0,0,1,0,0,0,1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</si>
  <si>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0,0,0,1,1,0,1,0,0,0,0,0,1,0,0,0,1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</si>
  <si>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1,0,0,0,0,1,0,1,0,0,0,0,0,1,0,0,0,1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</si>
  <si>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1,0,0,0,1,0,1,0,0,0,0,0,1,0,0,0,1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</si>
  <si>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0,1,0,0,0,1,1,0,0,0,0,0,1,0,0,0,1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</si>
  <si>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0,1,0,0,1,0,0,1,0,0,0,0,1,0,0,0,1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</si>
  <si>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0,1,0,0,1,0,0,0,1,0,0,0,1,0,0,0,1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</si>
  <si>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0,1,0,0,1,0,0,0,0,1,0,0,1,0,0,0,1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</si>
  <si>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0,1,0,0,1,0,0,0,0,0,1,0,1,0,0,0,1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</si>
  <si>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1,0,0,0,0,1,0,1,0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</si>
  <si>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0,0,1,0,0,1,0,0,1,0,0,1,0,0,0,1,0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</si>
  <si>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0,0,1,0,1,0,0,0,0,1,0,1,0,0,0,1,0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</si>
  <si>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0,0,1,0,1,0,0,0,0,0,1,1,0,0,0,1,0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</si>
  <si>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0,0,1,0,1,0,1,0,0,0,0,1,0,0,0,1,0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</si>
  <si>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0,0,1,0,1,0,0,1,0,0,0,1,0,0,0,1,0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</si>
  <si>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0,0,1,0,1,0,0,0,1,0,0,0,1,0,0,1,0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</si>
  <si>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0,0,1,0,1,0,0,0,1,0,0,1,0,0,0,0,1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</si>
  <si>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0,0,1,0,1,0,0,0,1,0,0,1,0,0,0,0,0,1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</si>
  <si>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0,0,1,0,1,0,0,0,1,0,0,1,0,1,0,0,0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</si>
  <si>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0,0,1,0,1,0,0,0,1,0,0,1,0,0,1,0,0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</si>
  <si>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0,0,1,0,1,0,0,0,1,0,0,1,0,0,0,1,0,0,0,1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</si>
  <si>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0,0,1,0,1,0,0,0,1,0,0,1,0,0,0,1,0,0,1,0,0,1,0,0,1,0,0,0,0,1,0,0,1,0,0,0,0,1,0,0,0,0,1,0,</t>
  </si>
  <si>
    <t>0,0,1,0,0,1,0,0,0,1,0,0,1,0,0,0,1,0,0,1,0,1,0,0,0,0,0,1,0,0,1,0,0,1,0,0,0,1,0,0,1,0,0,0,1,0,0,1,0,1,0,0,0,1,0,0,0,0,1,0,0,1,0,0,0,0,1,0,0,0,0,1,0,0,0,1,0,0,1,0,0,0,1,0,0,1,0,0,0,1,0,0,1,0,1,0,0,0,0,0,1,0,0,0,1,0,1,0,0,0,1,0,0,1,0,0,0,1,0,0,1,0,1,0,0,0,0,1,0,0,0,1,0,0,1,0,0,0,0,1,0,0,0,0,1,0,</t>
  </si>
  <si>
    <t>0,0,1,0,0,1,0,0,0,1,0,0,1,0,0,0,1,0,0,1,0,1,0,0,0,0,0,1,0,0,1,0,0,1,0,0,0,1,0,0,1,0,0,0,1,0,0,1,0,1,0,0,0,1,0,0,0,0,1,0,0,1,0,0,0,0,1,0,0,0,0,1,0,0,0,1,0,0,1,0,0,0,1,0,0,1,0,0,0,1,0,0,1,0,1,0,0,0,0,0,1,0,0,0,1,0,1,0,0,0,1,0,0,1,0,0,0,1,0,0,1,0,1,0,0,0,0,0,1,0,0,1,0,0,1,0,0,0,0,1,0,0,0,0,1,0,</t>
  </si>
  <si>
    <t>0,0,1,0,0,1,0,0,0,1,0,0,1,0,0,0,1,0,0,1,0,1,0,0,0,0,0,1,0,0,1,0,0,1,0,0,0,1,0,0,1,0,0,0,1,0,0,1,0,1,0,0,0,1,0,0,0,0,1,0,0,1,0,0,0,0,1,0,0,0,0,1,0,0,0,1,0,0,1,0,0,0,1,0,0,1,0,0,0,1,0,0,1,0,1,0,0,0,0,0,1,0,0,0,1,0,1,0,0,0,1,0,0,1,0,0,0,1,0,0,1,0,1,0,1,0,0,0,0,0,0,1,0,0,1,0,0,0,0,1,0,0,0,0,1,0,</t>
  </si>
  <si>
    <t>0,0,1,0,0,1,0,0,0,1,0,0,1,0,0,0,1,0,0,1,0,1,0,0,0,0,0,1,0,0,1,0,0,1,0,0,0,1,0,0,1,0,0,0,1,0,0,1,0,1,0,0,0,1,0,0,0,0,1,0,0,1,0,0,0,0,1,0,0,0,0,1,0,0,0,1,0,0,1,0,0,0,1,0,0,1,0,0,0,1,0,0,1,0,1,0,0,0,0,0,1,0,0,0,1,0,1,0,0,0,1,0,0,1,0,0,0,1,0,0,1,0,1,0,0,1,0,0,0,0,0,1,0,0,1,0,0,0,0,1,0,0,0,0,1,0,</t>
  </si>
  <si>
    <t>0,0,1,0,0,1,0,0,0,1,0,0,1,0,0,0,1,0,0,1,0,1,0,0,0,0,0,1,0,0,1,0,0,1,0,0,0,1,0,0,1,0,0,0,1,0,0,1,0,1,0,0,0,1,0,0,0,0,1,0,0,1,0,0,0,0,1,0,0,0,0,1,0,0,0,1,0,0,1,0,0,0,1,0,0,1,0,0,0,1,0,0,1,0,1,0,0,0,0,0,1,0,0,0,1,0,1,0,0,0,1,0,0,1,0,0,0,1,0,0,1,0,1,0,0,0,1,0,0,0,0,0,1,0,1,0,0,0,0,1,0,0,0,0,1,0,</t>
  </si>
  <si>
    <t>0,0,1,0,0,1,0,0,0,1,0,0,1,0,0,0,1,0,0,1,0,1,0,0,0,0,0,1,0,0,1,0,0,1,0,0,0,1,0,0,1,0,0,0,1,0,0,1,0,1,0,0,0,1,0,0,0,0,1,0,0,1,0,0,0,0,1,0,0,0,0,1,0,0,0,1,0,0,1,0,0,0,1,0,0,1,0,0,0,1,0,0,1,0,1,0,0,0,0,0,1,0,0,0,1,0,1,0,0,0,1,0,0,1,0,0,0,1,0,0,1,0,1,0,0,0,1,0,0,0,0,0,0,1,1,0,0,0,0,1,0,0,0,0,1,0,</t>
  </si>
  <si>
    <t>0,0,1,0,0,1,0,0,0,1,0,0,1,0,0,0,1,0,0,1,0,1,0,0,0,0,0,1,0,0,1,0,0,1,0,0,0,1,0,0,1,0,0,0,1,0,0,1,0,1,0,0,0,1,0,0,0,0,1,0,0,1,0,0,0,0,1,0,0,0,0,1,0,0,0,1,0,0,1,0,0,0,1,0,0,1,0,0,0,1,0,0,1,0,1,0,0,0,0,0,1,0,0,0,1,0,1,0,0,0,1,0,0,1,0,0,0,1,0,0,1,0,1,0,0,0,1,0,0,1,0,0,0,0,1,0,0,0,0,1,0,0,0,0,1,0,</t>
  </si>
  <si>
    <t>0,0,1,0,0,1,0,0,0,1,0,0,1,0,0,0,1,0,0,1,0,1,0,0,0,0,0,1,0,0,1,0,0,1,0,0,0,1,0,0,1,0,0,0,1,0,0,1,0,1,0,0,0,1,0,0,0,0,1,0,0,1,0,0,0,0,1,0,0,0,0,1,0,0,0,1,0,0,1,0,0,0,1,0,0,1,0,0,0,1,0,0,1,0,1,0,0,0,0,0,1,0,0,0,1,0,1,0,0,0,1,0,0,1,0,0,0,1,0,0,1,0,1,0,0,0,1,0,0,0,1,0,0,0,1,0,0,0,0,1,0,0,0,0,1,0,</t>
  </si>
  <si>
    <t>0,0,1,0,0,1,0,0,0,1,0,0,1,0,0,0,1,0,0,1,0,1,0,0,0,0,0,1,0,0,1,0,0,1,0,0,0,1,0,0,1,0,0,0,1,0,0,1,0,1,0,0,0,1,0,0,0,0,1,0,0,1,0,0,0,0,1,0,0,0,0,1,0,0,0,1,0,0,1,0,0,0,1,0,0,1,0,0,0,1,0,0,1,0,1,0,0,0,0,0,1,0,0,0,1,0,1,0,0,0,1,0,0,1,0,0,0,1,0,0,1,0,1,0,0,0,1,0,0,0,0,1,0,0,0,1,0,0,0,1,0,0,0,0,1,0,</t>
  </si>
  <si>
    <t>0,0,1,0,0,1,0,0,0,1,0,0,1,0,0,0,1,0,0,1,0,1,0,0,0,0,0,1,0,0,1,0,0,1,0,0,0,1,0,0,1,0,0,0,1,0,0,1,0,1,0,0,0,1,0,0,0,0,1,0,0,1,0,0,0,0,1,0,0,0,0,1,0,0,0,1,0,0,1,0,0,0,1,0,0,1,0,0,0,1,0,0,1,0,1,0,0,0,0,0,1,0,0,0,1,0,1,0,0,0,1,0,0,1,0,0,0,1,0,0,1,0,1,0,0,0,1,0,0,0,0,1,0,0,0,0,1,0,0,1,0,0,0,0,1,0,</t>
  </si>
  <si>
    <t>0,0,1,0,0,1,0,0,0,1,0,0,1,0,0,0,1,0,0,1,0,1,0,0,0,0,0,1,0,0,1,0,0,1,0,0,0,1,0,0,1,0,0,0,1,0,0,1,0,1,0,0,0,1,0,0,0,0,1,0,0,1,0,0,0,0,1,0,0,0,0,1,0,0,0,1,0,0,1,0,0,0,1,0,0,1,0,0,0,1,0,0,1,0,1,0,0,0,0,0,1,0,0,0,1,0,1,0,0,0,1,0,0,1,0,0,0,1,0,0,1,0,1,0,0,0,1,0,0,0,0,1,0,0,0,0,0,1,0,1,0,0,0,0,1,0,</t>
  </si>
  <si>
    <t>0,0,1,0,0,1,0,0,0,1,0,0,1,0,0,0,1,0,0,1,0,1,0,0,0,0,0,1,0,0,1,0,0,1,0,0,0,1,0,0,1,0,0,0,1,0,0,1,0,1,0,0,0,1,0,0,0,0,1,0,0,1,0,0,0,0,1,0,0,0,0,1,0,0,0,1,0,0,1,0,0,0,1,0,0,1,0,0,0,1,0,0,1,0,1,0,0,0,0,0,1,0,0,0,1,0,1,0,0,0,1,0,0,1,0,0,0,1,0,0,1,0,1,0,0,0,1,0,0,0,0,1,0,0,1,0,0,0,0,0,1,0,0,0,1,0,</t>
  </si>
  <si>
    <t>0,0,1,0,0,1,0,0,0,1,0,0,1,0,0,0,1,0,0,1,0,1,0,0,0,0,0,1,0,0,1,0,0,1,0,0,0,1,0,0,1,0,0,0,1,0,0,1,0,1,0,0,0,1,0,0,0,0,1,0,0,1,0,0,0,0,1,0,0,0,0,1,0,0,0,1,0,0,1,0,0,0,1,0,0,1,0,0,0,1,0,0,1,0,1,0,0,0,0,0,1,0,0,0,1,0,1,0,0,0,1,0,0,1,0,0,0,1,0,0,1,0,1,0,0,0,1,0,0,0,0,1,0,0,1,0,0,0,0,0,0,1,0,0,1,0,</t>
  </si>
  <si>
    <t>0,0,1,0,0,1,0,0,0,1,0,0,1,0,0,0,1,0,0,1,0,1,0,0,0,0,0,1,0,0,1,0,0,1,0,0,0,1,0,0,1,0,0,0,1,0,0,1,0,1,0,0,0,1,0,0,0,0,1,0,0,1,0,0,0,0,1,0,0,0,0,1,0,0,0,1,0,0,1,0,0,0,1,0,0,1,0,0,0,1,0,0,1,0,1,0,0,0,0,0,1,0,0,0,1,0,1,0,0,0,1,0,0,1,0,0,0,1,0,0,1,0,1,0,0,0,1,0,0,0,0,1,0,0,1,0,0,0,1,0,0,0,0,0,1,0,</t>
  </si>
  <si>
    <t>0,0,1,0,0,1,0,0,0,1,0,0,1,0,0,0,1,0,0,1,0,1,0,0,0,0,0,1,0,0,1,0,0,1,0,0,0,1,0,0,1,0,0,0,1,0,0,1,0,1,0,0,0,1,0,0,0,0,1,0,0,1,0,0,0,0,1,0,0,0,0,1,0,0,0,1,0,0,1,0,0,0,1,0,0,1,0,0,0,1,0,0,1,0,1,0,0,0,0,0,1,0,0,0,1,0,1,0,0,0,1,0,0,1,0,0,0,1,0,0,1,0,1,0,0,0,1,0,0,0,0,1,0,0,1,0,0,0,0,1,0,0,0,0,0,1,</t>
  </si>
  <si>
    <t>0,0,1,0,0,1,0,0,0,1,0,0,1,0,0,0,1,0,0,1,0,1,0,0,0,0,0,1,0,0,1,0,0,1,0,0,0,1,0,0,1,0,0,0,1,0,0,1,0,1,0,0,0,1,0,0,0,0,1,0,0,1,0,0,0,0,1,0,0,0,0,1,0,0,0,1,0,0,1,0,0,0,1,0,0,1,0,0,0,1,0,0,1,0,1,0,0,0,0,0,1,0,0,0,1,0,1,0,0,0,1,0,0,1,0,0,0,1,0,0,1,0,1,0,0,0,1,0,0,0,0,1,0,0,1,0,0,0,0,1,0,0,1,0,0,0,</t>
  </si>
  <si>
    <t>0,0,1,0,0,1,0,0,0,1,0,0,1,0,0,0,1,0,0,1,0,1,0,0,0,0,0,1,0,0,1,0,0,1,0,0,0,1,0,0,1,0,0,0,1,0,0,1,0,1,0,0,0,1,0,0,0,0,1,0,0,1,0,0,0,0,1,0,0,0,0,1,0,0,0,1,0,0,1,0,0,0,1,0,0,1,0,0,0,1,0,0,1,0,1,0,0,0,0,0,1,0,0,0,1,0,1,0,0,0,1,0,0,1,0,0,0,1,0,0,1,0,1,0,0,0,1,0,0,0,0,1,0,0,1,0,0,0,0,1,0,0,0,1,0,0,</t>
  </si>
  <si>
    <t>0,0,1,0,0,1,0,0,0,1,0,0,1,0,0,0,1,0,0,1,0,1,0,0,0,0,0,1,0,0,1,0,0,1,0,0,0,1,0,0,1,0,0,0,1,0,0,1,0,1,0,0,0,1,0,0,0,0,1,0,0,1,0,0,0,0,1,0,0,0,0,1,0,0,0,0,0,1,1,0,0,0,1,0,0,1,0,0,0,1,0,0,1,0,1,0,0,0,0,0,1,0,0,1,0,0,1,0,0,0,1,0,0,1,0,0,0,0,1,0,1,0,1,0,0,0,1,0,0,0,0,1,0,0,1,0,0,0,0,1,0,0,0,0,1,0,</t>
  </si>
  <si>
    <t>0,0,1,0,0,1,0,0,0,1,0,0,1,0,0,0,1,0,0,1,0,1,0,0,0,0,0,1,0,0,1,0,0,1,0,0,0,1,0,0,1,0,0,0,1,0,0,1,0,1,0,0,0,1,0,0,0,0,1,0,0,1,0,0,0,0,1,0,0,0,0,1,0,1,0,0,0,0,1,0,0,0,1,0,0,1,0,0,0,1,0,0,1,0,1,0,0,0,0,0,1,0,0,1,0,0,1,0,0,0,1,0,0,1,0,0,0,0,1,0,1,0,1,0,0,0,1,0,0,0,0,1,0,0,1,0,0,0,0,1,0,0,0,0,1,0,</t>
  </si>
  <si>
    <t>0,0,1,0,0,1,0,0,0,1,0,0,1,0,0,0,1,0,0,1,0,1,0,0,0,0,0,1,0,0,1,0,0,1,0,0,0,1,0,0,1,0,0,0,1,0,0,1,0,1,0,0,0,1,0,0,0,0,1,0,0,1,0,0,0,0,1,0,0,0,0,1,0,0,1,0,0,0,1,0,0,0,1,0,0,1,0,0,0,1,0,0,1,0,1,0,0,0,0,0,1,0,0,1,0,0,1,0,0,0,1,0,0,1,0,0,0,0,1,0,1,0,1,0,0,0,1,0,0,0,0,1,0,0,1,0,0,0,0,1,0,0,0,0,1,0,</t>
  </si>
  <si>
    <t>0,0,1,0,0,1,0,0,0,1,0,0,1,0,0,0,1,0,0,1,0,1,0,0,0,0,0,1,0,0,1,0,0,1,0,0,0,1,0,0,1,0,0,0,1,0,0,1,0,1,0,0,0,1,0,0,0,0,1,0,0,1,0,0,0,0,1,0,0,0,0,1,0,0,0,1,0,0,0,1,0,0,1,0,0,1,0,0,0,1,0,0,1,0,1,0,0,0,0,0,1,0,0,1,0,0,1,0,0,0,1,0,0,1,0,0,0,0,1,0,1,0,1,0,0,0,1,0,0,0,0,1,0,0,1,0,0,0,0,1,0,0,0,0,1,0,</t>
  </si>
  <si>
    <t>0,0,1,0,0,1,0,0,0,1,0,0,1,0,0,0,1,0,0,1,0,1,0,0,0,0,0,1,0,0,1,0,0,1,0,0,0,1,0,0,1,0,0,0,1,0,0,1,0,1,0,0,0,1,0,0,0,0,1,0,0,1,0,0,0,0,1,0,0,0,0,1,0,0,0,1,0,0,1,0,0,0,0,1,0,1,0,0,0,1,0,0,1,0,1,0,0,0,0,0,1,0,0,1,0,0,1,0,0,0,1,0,0,1,0,0,0,0,1,0,1,0,1,0,0,0,1,0,0,0,0,1,0,0,1,0,0,0,0,1,0,0,0,0,1,0,</t>
  </si>
  <si>
    <t>0,0,1,0,0,1,0,0,0,1,0,0,1,0,0,0,1,0,0,1,0,1,0,0,0,0,0,1,0,0,1,0,0,1,0,0,0,1,0,0,1,0,0,0,1,0,0,1,0,1,0,0,0,1,0,0,0,0,1,0,0,1,0,0,0,0,1,0,0,0,0,1,0,0,0,1,0,0,1,0,0,0,0,0,1,1,0,0,0,1,0,0,1,0,1,0,0,0,0,0,1,0,0,1,0,0,1,0,0,0,1,0,0,1,0,0,0,0,1,0,1,0,1,0,0,0,1,0,0,0,0,1,0,0,1,0,0,0,0,1,0,0,0,0,1,0,</t>
  </si>
  <si>
    <t>0,0,1,0,0,1,0,0,0,1,0,0,1,0,0,0,1,0,0,1,0,1,0,0,0,0,0,1,0,0,1,0,0,1,0,0,0,1,0,0,1,0,0,0,1,0,0,1,0,1,0,0,0,1,0,0,0,0,1,0,0,1,0,0,0,0,1,0,0,0,0,1,0,0,0,1,0,0,1,0,1,0,0,0,0,1,0,0,0,1,0,0,1,0,1,0,0,0,0,0,1,0,0,1,0,0,1,0,0,0,1,0,0,1,0,0,0,0,1,0,1,0,1,0,0,0,1,0,0,0,0,1,0,0,1,0,0,0,0,1,0,0,0,0,1,0,</t>
  </si>
  <si>
    <t>0,0,1,0,0,1,0,0,0,1,0,0,1,0,0,0,1,0,0,1,0,1,0,0,0,0,0,1,0,0,1,0,0,1,0,0,0,1,0,0,1,0,0,0,1,0,0,1,0,1,0,0,0,1,0,0,0,0,1,0,0,1,0,0,0,0,1,0,0,0,0,1,0,0,0,1,0,0,1,0,0,1,0,0,0,1,0,0,0,1,0,0,1,0,1,0,0,0,0,0,1,0,0,1,0,0,1,0,0,0,1,0,0,1,0,0,0,0,1,0,1,0,1,0,0,0,1,0,0,0,0,1,0,0,1,0,0,0,0,1,0,0,0,0,1,0,</t>
  </si>
  <si>
    <t>0,0,1,0,0,1,0,0,0,1,0,0,1,0,0,0,1,0,0,1,0,1,0,0,0,0,0,1,0,0,1,0,0,1,0,0,0,1,0,0,1,0,0,0,1,0,0,1,0,1,0,0,0,1,0,0,0,0,1,0,0,1,0,0,0,0,1,0,0,0,0,1,0,0,0,1,0,0,1,0,0,0,1,0,0,0,1,0,0,1,0,0,1,0,1,0,0,0,0,0,1,0,0,1,0,0,1,0,0,0,1,0,0,1,0,0,0,0,1,0,1,0,1,0,0,0,1,0,0,0,0,1,0,0,1,0,0,0,0,1,0,0,0,0,1,0,</t>
  </si>
  <si>
    <t>0,0,1,0,0,1,0,0,0,1,0,0,1,0,0,0,1,0,0,1,0,1,0,0,0,0,0,1,0,0,1,0,0,1,0,0,0,1,0,0,1,0,0,0,1,0,0,1,0,1,0,0,0,1,0,0,0,0,1,0,0,1,0,0,0,0,1,0,0,0,0,1,0,0,0,1,0,0,1,0,0,0,1,0,0,1,0,0,0,0,0,1,1,0,1,0,0,0,0,0,1,0,0,1,0,0,1,0,0,0,1,0,0,1,0,0,0,0,1,0,1,0,1,0,0,0,1,0,0,0,0,1,0,0,1,0,0,0,0,1,0,0,0,0,1,0,</t>
  </si>
  <si>
    <t>0,0,1,0,0,1,0,0,0,1,0,0,1,0,0,0,1,0,0,1,0,1,0,0,0,0,0,1,0,0,1,0,0,1,0,0,0,1,0,0,1,0,0,0,1,0,0,1,0,1,0,0,0,1,0,0,0,0,1,0,0,1,0,0,0,0,1,0,0,0,0,1,0,0,0,1,0,0,1,0,0,0,1,0,0,1,0,1,0,0,0,0,1,0,1,0,0,0,0,0,1,0,0,1,0,0,1,0,0,0,1,0,0,1,0,0,0,0,1,0,1,0,1,0,0,0,1,0,0,0,0,1,0,0,1,0,0,0,0,1,0,0,0,0,1,0,</t>
  </si>
  <si>
    <t>0,0,1,0,0,1,0,0,0,1,0,0,1,0,0,0,1,0,0,1,0,1,0,0,0,0,0,1,0,0,1,0,0,1,0,0,0,1,0,0,1,0,0,0,1,0,0,1,0,1,0,0,0,1,0,0,0,0,1,0,0,1,0,0,0,0,1,0,0,0,0,1,0,0,0,1,0,0,1,0,0,0,1,0,0,1,0,0,1,0,0,0,1,0,1,0,0,0,0,0,1,0,0,1,0,0,1,0,0,0,1,0,0,1,0,0,0,0,1,0,1,0,1,0,0,0,1,0,0,0,0,1,0,0,1,0,0,0,0,1,0,0,0,0,1,0,</t>
  </si>
  <si>
    <t>0,0,1,0,0,1,0,0,0,1,0,0,1,0,0,0,1,0,0,1,0,1,0,0,0,0,0,1,0,0,1,0,0,1,0,0,0,1,0,0,1,0,0,0,1,0,0,1,0,1,0,0,0,1,0,0,0,0,1,0,0,1,0,0,0,0,1,0,0,0,0,1,0,0,0,1,0,0,1,0,0,0,1,0,0,1,0,0,0,1,0,0,0,1,1,0,0,0,0,0,1,0,0,1,0,0,1,0,0,0,1,0,0,1,0,0,0,0,1,0,1,0,1,0,0,0,1,0,0,0,0,1,0,0,1,0,0,0,0,1,0,0,0,0,1,0,</t>
  </si>
  <si>
    <t>0,0,1,0,0,1,0,0,0,1,0,0,1,0,0,0,1,0,0,1,0,1,0,0,0,0,0,1,0,0,1,0,0,1,0,0,0,1,0,0,1,0,0,0,1,0,0,1,0,1,0,0,0,1,0,0,0,0,1,0,0,1,0,0,0,0,1,0,0,0,0,1,0,0,0,1,0,0,1,0,0,0,1,0,0,1,0,0,0,1,0,0,1,0,0,1,0,0,0,0,1,0,0,1,0,0,1,0,0,0,1,0,0,1,0,0,0,0,1,0,1,0,1,0,0,0,1,0,0,0,0,1,0,0,1,0,0,0,0,1,0,0,0,0,1,0,</t>
  </si>
  <si>
    <t>0,0,1,0,0,1,0,0,0,1,0,0,1,0,0,0,1,0,0,1,0,1,0,0,0,0,0,1,0,0,1,0,0,1,0,0,0,1,0,0,1,0,0,0,1,0,0,1,0,1,0,0,0,1,0,0,0,0,1,0,0,1,0,0,0,0,1,0,0,0,0,1,0,0,0,1,0,0,1,0,0,0,1,0,0,1,0,0,0,1,0,0,1,0,0,0,1,0,0,0,1,0,0,1,0,0,1,0,0,0,1,0,0,1,0,0,0,0,1,0,1,0,1,0,0,0,1,0,0,0,0,1,0,0,1,0,0,0,0,1,0,0,0,0,1,0,</t>
  </si>
  <si>
    <t>0,0,1,0,0,1,0,0,0,1,0,0,1,0,0,0,1,0,0,1,0,1,0,0,0,0,0,1,0,0,1,0,0,1,0,0,0,1,0,0,1,0,0,0,1,0,0,1,0,1,0,0,0,1,0,0,0,0,1,0,0,1,0,0,0,0,1,0,0,0,0,1,0,0,0,1,0,0,1,0,0,0,1,0,0,1,0,0,0,1,0,0,1,0,0,0,0,1,0,0,1,0,0,1,0,0,1,0,0,0,1,0,0,1,0,0,0,0,1,0,1,0,1,0,0,0,1,0,0,0,0,1,0,0,1,0,0,0,0,1,0,0,0,0,1,0,</t>
  </si>
  <si>
    <t>0,0,1,0,0,1,0,0,0,1,0,0,1,0,0,0,1,0,0,1,0,1,0,0,0,0,0,1,0,0,1,0,0,1,0,0,0,1,0,0,1,0,0,0,1,0,0,1,0,1,0,0,0,1,0,0,0,0,1,0,0,1,0,0,0,0,1,0,0,0,0,1,0,0,0,1,0,0,1,0,0,0,1,0,0,1,0,0,0,1,0,0,1,0,0,0,0,0,1,0,1,0,0,1,0,0,1,0,0,0,1,0,0,1,0,0,0,0,1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</si>
  <si>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1,0,0,0,1,0,0,1,0,0,0,1,0,0,1,0,0,0,0,1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</si>
  <si>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0,0,0,1,1,0,0,0,1,0,0,1,0,0,0,0,1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</si>
  <si>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1,0,0,0,0,1,0,0,0,1,0,0,1,0,0,0,0,1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</si>
  <si>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1,0,0,0,1,0,0,0,1,0,0,1,0,0,0,0,1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</si>
  <si>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0,1,0,0,0,1,0,0,1,0,0,1,0,0,0,0,1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</si>
  <si>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0,1,0,0,1,0,0,0,0,1,0,1,0,0,0,0,1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</si>
  <si>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0,1,0,0,1,0,0,0,0,0,1,1,0,0,0,0,1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</si>
  <si>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0,1,0,0,1,0,1,0,0,0,0,1,0,0,0,0,1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</si>
  <si>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0,1,0,0,1,0,0,1,0,0,0,1,0,0,0,0,1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</si>
  <si>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0,1,0,0,0,1,0,1,0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</si>
  <si>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0,1,0,0,1,1,0,0,0,1,0,0,0,0,1,0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</si>
  <si>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0,1,0,1,0,0,1,0,0,1,0,0,0,0,1,0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</si>
  <si>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0,1,0,1,0,1,0,0,0,0,1,0,0,0,1,0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</si>
  <si>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0,1,0,1,0,1,0,0,0,0,0,1,0,0,1,0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</si>
  <si>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0,1,0,1,0,1,0,1,0,0,0,0,0,0,1,0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</si>
  <si>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0,1,0,1,0,1,0,0,1,0,0,0,0,0,1,0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</si>
  <si>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0,1,0,1,0,1,0,0,0,1,0,0,0,0,0,1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</si>
  <si>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0,1,0,1,0,1,0,0,0,1,0,0,0,0,0,0,1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</si>
  <si>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0,1,0,1,0,1,0,0,0,1,0,0,1,0,0,0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</si>
  <si>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0,1,0,1,0,1,0,0,0,1,0,0,0,1,0,0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</si>
  <si>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0,1,0,1,0,1,0,0,0,1,0,0,0,0,1,0,0,0,1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</si>
  <si>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0,1,0,1,0,1,0,0,0,1,0,0,0,0,1,0,0,0,0,1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</si>
  <si>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0,1,0,1,0,1,0,0,0,1,0,0,0,0,1,0,0,0,0,0,1,0,1,0,0,0,0,1,0,</t>
  </si>
  <si>
    <t>0,0,1,0,0,1,0,0,0,1,0,0,1,0,0,0,1,0,0,1,0,1,0,0,0,0,0,1,0,0,1,0,0,1,0,0,0,1,0,0,1,0,0,0,1,0,0,1,0,1,0,0,0,1,0,0,0,0,1,0,0,1,0,0,0,0,1,0,0,0,0,1,0,0,0,1,0,0,1,0,0,0,1,0,0,1,0,0,0,1,0,0,1,0,1,0,0,0,0,0,1,0,0,1,0,0,1,0,0,0,1,0,0,1,0,0,0,0,1,0,1,0,1,0,0,0,1,0,0,0,0,1,0,0,1,0,0,0,0,0,1,0,0,0,1,0,</t>
  </si>
  <si>
    <t>0,0,1,0,0,1,0,0,0,1,0,0,1,0,0,0,1,0,0,1,0,1,0,0,0,0,0,1,0,0,1,0,0,1,0,0,0,1,0,0,1,0,0,0,1,0,0,1,0,1,0,0,0,1,0,0,0,0,1,0,0,1,0,0,0,0,1,0,0,0,0,1,0,0,0,1,0,0,1,0,0,0,1,0,0,1,0,0,0,1,0,0,1,0,1,0,0,0,0,0,1,0,0,1,0,0,1,0,0,0,1,0,0,1,0,0,0,0,1,0,1,0,1,0,0,0,1,0,0,0,0,1,0,0,1,0,0,0,0,0,0,1,0,0,1,0,</t>
  </si>
  <si>
    <t>0,0,1,0,0,1,0,0,0,1,0,0,1,0,0,0,1,0,0,1,0,1,0,0,0,0,0,1,0,0,1,0,0,1,0,0,0,1,0,0,1,0,0,0,1,0,0,1,0,1,0,0,0,1,0,0,0,0,1,0,0,1,0,0,0,0,1,0,0,0,0,1,0,0,0,1,0,0,1,0,0,0,1,0,0,1,0,0,0,1,0,0,1,0,1,0,0,0,0,0,1,0,0,1,0,0,1,0,0,0,1,0,0,1,0,0,0,0,1,0,1,0,1,0,0,0,1,0,0,0,0,1,0,0,1,0,0,0,1,0,0,0,0,0,1,0,</t>
  </si>
  <si>
    <t>0,0,1,0,0,1,0,0,0,1,0,0,1,0,0,0,1,0,0,1,0,1,0,0,0,0,0,1,0,0,1,0,0,1,0,0,0,1,0,0,1,0,0,0,1,0,0,1,0,1,0,0,0,1,0,0,0,0,1,0,0,1,0,0,0,0,1,0,0,0,0,1,0,0,0,1,0,0,1,0,0,0,1,0,0,1,0,0,0,1,0,0,1,0,1,0,0,0,0,0,1,0,0,1,0,0,1,0,0,0,1,0,0,1,0,0,0,0,1,0,1,0,1,0,0,0,1,0,0,0,0,1,0,0,1,0,0,0,0,1,0,0,0,0,0,1,</t>
  </si>
  <si>
    <t>0,0,1,0,0,1,0,0,0,1,0,0,1,0,0,0,1,0,0,1,0,1,0,0,0,0,0,1,0,0,1,0,0,1,0,0,0,1,0,0,1,0,0,0,1,0,0,1,0,1,0,0,0,1,0,0,0,0,1,0,0,1,0,0,0,0,1,0,0,0,0,1,0,0,0,1,0,0,1,0,0,0,1,0,0,1,0,0,0,1,0,0,1,0,1,0,0,0,0,0,1,0,0,1,0,0,1,0,0,0,1,0,0,1,0,0,0,0,1,0,1,0,1,0,0,0,1,0,0,0,0,1,0,0,1,0,0,0,0,1,0,0,1,0,0,0,</t>
  </si>
  <si>
    <t>0,0,1,0,0,1,0,0,0,1,0,0,1,0,0,0,1,0,0,1,0,1,0,0,0,0,0,1,0,0,1,0,0,1,0,0,0,1,0,0,1,0,0,0,1,0,0,1,0,1,0,0,0,1,0,0,0,0,1,0,0,1,0,0,0,0,1,0,0,0,0,1,0,0,0,1,0,0,1,0,0,0,1,0,0,1,0,0,0,1,0,0,1,0,1,0,0,0,0,0,1,0,0,1,0,0,1,0,0,0,1,0,0,1,0,0,0,0,1,0,1,0,1,0,0,0,1,0,0,0,0,1,0,0,1,0,0,0,0,1,0,0,0,1,0,0,</t>
  </si>
  <si>
    <t>0,0,1,0,0,1,0,0,0,1,0,0,1,0,0,0,1,0,0,1,0,1,0,0,0,0,0,1,0,0,1,0,0,1,0,0,0,1,0,0,1,0,0,0,1,0,0,1,0,1,0,0,0,1,0,0,0,0,1,0,0,1,0,0,0,0,1,0,0,0,0,1,0,0,0,0,0,1,1,0,0,0,1,0,0,1,0,0,0,1,0,0,1,0,1,0,0,0,0,0,1,0,0,1,0,0,1,0,0,0,1,0,0,1,0,0,0,1,0,0,1,0,1,0,0,0,1,0,0,0,0,0,1,0,1,0,0,0,0,1,0,0,0,0,1,0,</t>
  </si>
  <si>
    <t>0,0,1,0,0,1,0,0,0,1,0,0,1,0,0,0,1,0,0,1,0,1,0,0,0,0,0,1,0,0,1,0,0,1,0,0,0,1,0,0,1,0,0,0,1,0,0,1,0,1,0,0,0,1,0,0,0,0,1,0,0,1,0,0,0,0,1,0,0,0,0,1,0,1,0,0,0,0,1,0,0,0,1,0,0,1,0,0,0,1,0,0,1,0,1,0,0,0,0,0,1,0,0,1,0,0,1,0,0,0,1,0,0,1,0,0,0,1,0,0,1,0,1,0,0,0,1,0,0,0,0,0,1,0,1,0,0,0,0,1,0,0,0,0,1,0,</t>
  </si>
  <si>
    <t>0,0,1,0,0,1,0,0,0,1,0,0,1,0,0,0,1,0,0,1,0,1,0,0,0,0,0,1,0,0,1,0,0,1,0,0,0,1,0,0,1,0,0,0,1,0,0,1,0,1,0,0,0,1,0,0,0,0,1,0,0,1,0,0,0,0,1,0,0,0,0,1,0,0,1,0,0,0,1,0,0,0,1,0,0,1,0,0,0,1,0,0,1,0,1,0,0,0,0,0,1,0,0,1,0,0,1,0,0,0,1,0,0,1,0,0,0,1,0,0,1,0,1,0,0,0,1,0,0,0,0,0,1,0,1,0,0,0,0,1,0,0,0,0,1,0,</t>
  </si>
  <si>
    <t>0,0,1,0,0,1,0,0,0,1,0,0,1,0,0,0,1,0,0,1,0,1,0,0,0,0,0,1,0,0,1,0,0,1,0,0,0,1,0,0,1,0,0,0,1,0,0,1,0,1,0,0,0,1,0,0,0,0,1,0,0,1,0,0,0,0,1,0,0,0,0,1,0,0,0,1,0,0,0,1,0,0,1,0,0,1,0,0,0,1,0,0,1,0,1,0,0,0,0,0,1,0,0,1,0,0,1,0,0,0,1,0,0,1,0,0,0,1,0,0,1,0,1,0,0,0,1,0,0,0,0,0,1,0,1,0,0,0,0,1,0,0,0,0,1,0,</t>
  </si>
  <si>
    <t>0,0,1,0,0,1,0,0,0,1,0,0,1,0,0,0,1,0,0,1,0,1,0,0,0,0,0,1,0,0,1,0,0,1,0,0,0,1,0,0,1,0,0,0,1,0,0,1,0,1,0,0,0,1,0,0,0,0,1,0,0,1,0,0,0,0,1,0,0,0,0,1,0,0,0,1,0,0,1,0,0,0,0,1,0,1,0,0,0,1,0,0,1,0,1,0,0,0,0,0,1,0,0,1,0,0,1,0,0,0,1,0,0,1,0,0,0,1,0,0,1,0,1,0,0,0,1,0,0,0,0,0,1,0,1,0,0,0,0,1,0,0,0,0,1,0,</t>
  </si>
  <si>
    <t>0,0,1,0,0,1,0,0,0,1,0,0,1,0,0,0,1,0,0,1,0,1,0,0,0,0,0,1,0,0,1,0,0,1,0,0,0,1,0,0,1,0,0,0,1,0,0,1,0,1,0,0,0,1,0,0,0,0,1,0,0,1,0,0,0,0,1,0,0,0,0,1,0,0,0,1,0,0,1,0,0,0,0,0,1,1,0,0,0,1,0,0,1,0,1,0,0,0,0,0,1,0,0,1,0,0,1,0,0,0,1,0,0,1,0,0,0,1,0,0,1,0,1,0,0,0,1,0,0,0,0,0,1,0,1,0,0,0,0,1,0,0,0,0,1,0,</t>
  </si>
  <si>
    <t>0,0,1,0,0,1,0,0,0,1,0,0,1,0,0,0,1,0,0,1,0,1,0,0,0,0,0,1,0,0,1,0,0,1,0,0,0,1,0,0,1,0,0,0,1,0,0,1,0,1,0,0,0,1,0,0,0,0,1,0,0,1,0,0,0,0,1,0,0,0,0,1,0,0,0,1,0,0,1,0,1,0,0,0,0,1,0,0,0,1,0,0,1,0,1,0,0,0,0,0,1,0,0,1,0,0,1,0,0,0,1,0,0,1,0,0,0,1,0,0,1,0,1,0,0,0,1,0,0,0,0,0,1,0,1,0,0,0,0,1,0,0,0,0,1,0,</t>
  </si>
  <si>
    <t>0,0,1,0,0,1,0,0,0,1,0,0,1,0,0,0,1,0,0,1,0,1,0,0,0,0,0,1,0,0,1,0,0,1,0,0,0,1,0,0,1,0,0,0,1,0,0,1,0,1,0,0,0,1,0,0,0,0,1,0,0,1,0,0,0,0,1,0,0,0,0,1,0,0,0,1,0,0,1,0,0,1,0,0,0,1,0,0,0,1,0,0,1,0,1,0,0,0,0,0,1,0,0,1,0,0,1,0,0,0,1,0,0,1,0,0,0,1,0,0,1,0,1,0,0,0,1,0,0,0,0,0,1,0,1,0,0,0,0,1,0,0,0,0,1,0,</t>
  </si>
  <si>
    <t>0,0,1,0,0,1,0,0,0,1,0,0,1,0,0,0,1,0,0,1,0,1,0,0,0,0,0,1,0,0,1,0,0,1,0,0,0,1,0,0,1,0,0,0,1,0,0,1,0,1,0,0,0,1,0,0,0,0,1,0,0,1,0,0,0,0,1,0,0,0,0,1,0,0,0,1,0,0,1,0,0,0,1,0,0,0,1,0,0,1,0,0,1,0,1,0,0,0,0,0,1,0,0,1,0,0,1,0,0,0,1,0,0,1,0,0,0,1,0,0,1,0,1,0,0,0,1,0,0,0,0,0,1,0,1,0,0,0,0,1,0,0,0,0,1,0,</t>
  </si>
  <si>
    <t>0,0,1,0,0,1,0,0,0,1,0,0,1,0,0,0,1,0,0,1,0,1,0,0,0,0,0,1,0,0,1,0,0,1,0,0,0,1,0,0,1,0,0,0,1,0,0,1,0,1,0,0,0,1,0,0,0,0,1,0,0,1,0,0,0,0,1,0,0,0,0,1,0,0,0,1,0,0,1,0,0,0,1,0,0,1,0,0,0,0,0,1,1,0,1,0,0,0,0,0,1,0,0,1,0,0,1,0,0,0,1,0,0,1,0,0,0,1,0,0,1,0,1,0,0,0,1,0,0,0,0,0,1,0,1,0,0,0,0,1,0,0,0,0,1,0,</t>
  </si>
  <si>
    <t>0,0,1,0,0,1,0,0,0,1,0,0,1,0,0,0,1,0,0,1,0,1,0,0,0,0,0,1,0,0,1,0,0,1,0,0,0,1,0,0,1,0,0,0,1,0,0,1,0,1,0,0,0,1,0,0,0,0,1,0,0,1,0,0,0,0,1,0,0,0,0,1,0,0,0,1,0,0,1,0,0,0,1,0,0,1,0,1,0,0,0,0,1,0,1,0,0,0,0,0,1,0,0,1,0,0,1,0,0,0,1,0,0,1,0,0,0,1,0,0,1,0,1,0,0,0,1,0,0,0,0,0,1,0,1,0,0,0,0,1,0,0,0,0,1,0,</t>
  </si>
  <si>
    <t>0,0,1,0,0,1,0,0,0,1,0,0,1,0,0,0,1,0,0,1,0,1,0,0,0,0,0,1,0,0,1,0,0,1,0,0,0,1,0,0,1,0,0,0,1,0,0,1,0,1,0,0,0,1,0,0,0,0,1,0,0,1,0,0,0,0,1,0,0,0,0,1,0,0,0,1,0,0,1,0,0,0,1,0,0,1,0,0,1,0,0,0,1,0,1,0,0,0,0,0,1,0,0,1,0,0,1,0,0,0,1,0,0,1,0,0,0,1,0,0,1,0,1,0,0,0,1,0,0,0,0,0,1,0,1,0,0,0,0,1,0,0,0,0,1,0,</t>
  </si>
  <si>
    <t>0,0,1,0,0,1,0,0,0,1,0,0,1,0,0,0,1,0,0,1,0,1,0,0,0,0,0,1,0,0,1,0,0,1,0,0,0,1,0,0,1,0,0,0,1,0,0,1,0,1,0,0,0,1,0,0,0,0,1,0,0,1,0,0,0,0,1,0,0,0,0,1,0,0,0,1,0,0,1,0,0,0,1,0,0,1,0,0,0,1,0,0,0,1,1,0,0,0,0,0,1,0,0,1,0,0,1,0,0,0,1,0,0,1,0,0,0,1,0,0,1,0,1,0,0,0,1,0,0,0,0,0,1,0,1,0,0,0,0,1,0,0,0,0,1,0,</t>
  </si>
  <si>
    <t>0,0,1,0,0,1,0,0,0,1,0,0,1,0,0,0,1,0,0,1,0,1,0,0,0,0,0,1,0,0,1,0,0,1,0,0,0,1,0,0,1,0,0,0,1,0,0,1,0,1,0,0,0,1,0,0,0,0,1,0,0,1,0,0,0,0,1,0,0,0,0,1,0,0,0,1,0,0,1,0,0,0,1,0,0,1,0,0,0,1,0,0,1,0,0,1,0,0,0,0,1,0,0,1,0,0,1,0,0,0,1,0,0,1,0,0,0,1,0,0,1,0,1,0,0,0,1,0,0,0,0,0,1,0,1,0,0,0,0,1,0,0,0,0,1,0,</t>
  </si>
  <si>
    <t>0,0,1,0,0,1,0,0,0,1,0,0,1,0,0,0,1,0,0,1,0,1,0,0,0,0,0,1,0,0,1,0,0,1,0,0,0,1,0,0,1,0,0,0,1,0,0,1,0,1,0,0,0,1,0,0,0,0,1,0,0,1,0,0,0,0,1,0,0,0,0,1,0,0,0,1,0,0,1,0,0,0,1,0,0,1,0,0,0,1,0,0,1,0,0,0,1,0,0,0,1,0,0,1,0,0,1,0,0,0,1,0,0,1,0,0,0,1,0,0,1,0,1,0,0,0,1,0,0,0,0,0,1,0,1,0,0,0,0,1,0,0,0,0,1,0,</t>
  </si>
  <si>
    <t>0,0,1,0,0,1,0,0,0,1,0,0,1,0,0,0,1,0,0,1,0,1,0,0,0,0,0,1,0,0,1,0,0,1,0,0,0,1,0,0,1,0,0,0,1,0,0,1,0,1,0,0,0,1,0,0,0,0,1,0,0,1,0,0,0,0,1,0,0,0,0,1,0,0,0,1,0,0,1,0,0,0,1,0,0,1,0,0,0,1,0,0,1,0,0,0,0,1,0,0,1,0,0,1,0,0,1,0,0,0,1,0,0,1,0,0,0,1,0,0,1,0,1,0,0,0,1,0,0,0,0,0,1,0,1,0,0,0,0,1,0,0,0,0,1,0,</t>
  </si>
  <si>
    <t>0,0,1,0,0,1,0,0,0,1,0,0,1,0,0,0,1,0,0,1,0,1,0,0,0,0,0,1,0,0,1,0,0,1,0,0,0,1,0,0,1,0,0,0,1,0,0,1,0,1,0,0,0,1,0,0,0,0,1,0,0,1,0,0,0,0,1,0,0,0,0,1,0,0,0,1,0,0,1,0,0,0,1,0,0,1,0,0,0,1,0,0,1,0,0,0,0,0,1,0,1,0,0,1,0,0,1,0,0,0,1,0,0,1,0,0,0,1,0,0,1,0,1,0,0,0,1,0,0,0,0,0,1,0,1,0,0,0,0,1,0,0,0,0,1,0,</t>
  </si>
  <si>
    <t>0,0,1,0,0,1,0,0,0,1,0,0,1,0,0,0,1,0,0,1,0,1,0,0,0,0,0,1,0,0,1,0,0,1,0,0,0,1,0,0,1,0,0,0,1,0,0,1,0,1,0,0,0,1,0,0,0,0,1,0,0,1,0,0,0,0,1,0,0,0,0,1,0,0,0,1,0,0,1,0,0,0,1,0,0,1,0,0,0,1,0,0,1,0,1,0,0,0,0,1,0,0,0,1,0,0,1,0,0,0,1,0,0,1,0,0,0,1,0,0,1,0,1,0,0,0,1,0,0,0,0,0,1,0,1,0,0,0,0,1,0,0,0,0,1,0,</t>
  </si>
  <si>
    <t>0,0,1,0,0,1,0,0,0,1,0,0,1,0,0,0,1,0,0,1,0,1,0,0,0,0,0,1,0,0,1,0,0,1,0,0,0,1,0,0,1,0,0,0,1,0,0,1,0,1,0,0,0,1,0,0,0,0,1,0,0,1,0,0,0,0,1,0,0,0,0,1,0,0,0,1,0,0,1,0,0,0,1,0,0,1,0,0,0,1,0,0,1,0,1,0,0,0,0,0,1,0,0,0,0,1,1,0,0,0,1,0,0,1,0,0,0,1,0,0,1,0,1,0,0,0,1,0,0,0,0,0,1,0,1,0,0,0,0,1,0,0,0,0,1,0,</t>
  </si>
  <si>
    <t>0,0,1,0,0,1,0,0,0,1,0,0,1,0,0,0,1,0,0,1,0,1,0,0,0,0,0,1,0,0,1,0,0,1,0,0,0,1,0,0,1,0,0,0,1,0,0,1,0,1,0,0,0,1,0,0,0,0,1,0,0,1,0,0,0,0,1,0,0,0,0,1,0,0,0,1,0,0,1,0,0,0,1,0,0,1,0,0,0,1,0,0,1,0,1,0,0,0,0,0,1,1,0,0,0,0,1,0,0,0,1,0,0,1,0,0,0,1,0,0,1,0,1,0,0,0,1,0,0,0,0,0,1,0,1,0,0,0,0,1,0,0,0,0,1,0,</t>
  </si>
  <si>
    <t>0,0,1,0,0,1,0,0,0,1,0,0,1,0,0,0,1,0,0,1,0,1,0,0,0,0,0,1,0,0,1,0,0,1,0,0,0,1,0,0,1,0,0,0,1,0,0,1,0,1,0,0,0,1,0,0,0,0,1,0,0,1,0,0,0,0,1,0,0,0,0,1,0,0,0,1,0,0,1,0,0,0,1,0,0,1,0,0,0,1,0,0,1,0,1,0,0,0,0,0,1,0,1,0,0,0,1,0,0,0,1,0,0,1,0,0,0,1,0,0,1,0,1,0,0,0,1,0,0,0,0,0,1,0,1,0,0,0,0,1,0,0,0,0,1,0,</t>
  </si>
  <si>
    <t>0,0,1,0,0,1,0,0,0,1,0,0,1,0,0,0,1,0,0,1,0,1,0,0,0,0,0,1,0,0,1,0,0,1,0,0,0,1,0,0,1,0,0,0,1,0,0,1,0,1,0,0,0,1,0,0,0,0,1,0,0,1,0,0,0,0,1,0,0,0,0,1,0,0,0,1,0,0,1,0,0,0,1,0,0,1,0,0,0,1,0,0,1,0,1,0,0,0,0,0,1,0,0,1,0,0,0,1,0,0,1,0,0,1,0,0,0,1,0,0,1,0,1,0,0,0,1,0,0,0,0,0,1,0,1,0,0,0,0,1,0,0,0,0,1,0,</t>
  </si>
  <si>
    <t>0,0,1,0,0,1,0,0,0,1,0,0,1,0,0,0,1,0,0,1,0,1,0,0,0,0,0,1,0,0,1,0,0,1,0,0,0,1,0,0,1,0,0,0,1,0,0,1,0,1,0,0,0,1,0,0,0,0,1,0,0,1,0,0,0,0,1,0,0,0,0,1,0,0,0,1,0,0,1,0,0,0,1,0,0,1,0,0,0,1,0,0,1,0,1,0,0,0,0,0,1,0,0,1,0,0,1,0,0,0,0,1,0,1,0,0,0,1,0,0,1,0,1,0,0,0,1,0,0,0,0,0,1,0,1,0,0,0,0,1,0,0,0,0,1,0,</t>
  </si>
  <si>
    <t>0,0,1,0,0,1,0,0,0,1,0,0,1,0,0,0,1,0,0,1,0,1,0,0,0,0,0,1,0,0,1,0,0,1,0,0,0,1,0,0,1,0,0,0,1,0,0,1,0,1,0,0,0,1,0,0,0,0,1,0,0,1,0,0,0,0,1,0,0,0,0,1,0,0,0,1,0,0,1,0,0,0,1,0,0,1,0,0,0,1,0,0,1,0,1,0,0,0,0,0,1,0,0,1,0,0,1,0,0,0,0,0,1,1,0,0,0,1,0,0,1,0,1,0,0,0,1,0,0,0,0,0,1,0,1,0,0,0,0,1,0,0,0,0,1,0,</t>
  </si>
  <si>
    <t>0,0,1,0,0,1,0,0,0,1,0,0,1,0,0,0,1,0,0,1,0,1,0,0,0,0,0,1,0,0,1,0,0,1,0,0,0,1,0,0,1,0,0,0,1,0,0,1,0,1,0,0,0,1,0,0,0,0,1,0,0,1,0,0,0,0,1,0,0,0,0,1,0,0,0,1,0,0,1,0,0,0,1,0,0,1,0,0,0,1,0,0,1,0,1,0,0,0,0,0,1,0,0,1,0,0,1,0,1,0,0,0,0,1,0,0,0,1,0,0,1,0,1,0,0,0,1,0,0,0,0,0,1,0,1,0,0,0,0,1,0,0,0,0,1,0,</t>
  </si>
  <si>
    <t>0,0,1,0,0,1,0,0,0,1,0,0,1,0,0,0,1,0,0,1,0,1,0,0,0,0,0,1,0,0,1,0,0,1,0,0,0,1,0,0,1,0,0,0,1,0,0,1,0,1,0,0,0,1,0,0,0,0,1,0,0,1,0,0,0,0,1,0,0,0,0,1,0,0,0,1,0,0,1,0,0,0,1,0,0,1,0,0,0,1,0,0,1,0,1,0,0,0,0,0,1,0,0,1,0,0,1,0,0,1,0,0,0,1,0,0,0,1,0,0,1,0,1,0,0,0,1,0,0,0,0,0,1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</si>
  <si>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0,1,0,0,1,0,0,1,0,1,0,0,0,1,0,0,0,0,0,1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</si>
  <si>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0,0,1,1,0,1,0,0,0,1,0,0,0,0,0,1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</si>
  <si>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1,0,0,0,0,1,0,1,0,0,0,1,0,0,0,0,0,1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</si>
  <si>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1,0,0,0,1,0,1,0,0,0,1,0,0,0,0,0,1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</si>
  <si>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1,0,0,0,1,1,0,0,0,1,0,0,0,0,0,1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</si>
  <si>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1,0,0,1,0,0,1,0,0,1,0,0,0,0,0,1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</si>
  <si>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1,0,0,1,0,1,0,0,0,0,1,0,0,0,0,1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</si>
  <si>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1,0,0,1,0,1,0,0,0,0,0,1,0,0,0,1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</si>
  <si>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1,0,0,1,0,1,0,1,0,0,0,0,0,0,0,1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</si>
  <si>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1,0,0,1,0,1,0,0,1,0,0,0,0,0,0,1,0,1,0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</si>
  <si>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1,0,0,1,0,1,0,0,0,1,0,0,0,0,0,1,0,0,1,0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</si>
  <si>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1,0,0,1,0,1,0,0,0,1,0,0,0,0,0,1,0,0,0,1,0,0,1,0,0,0,0,1,0,</t>
  </si>
  <si>
    <t>0,0,1,0,0,1,0,0,0,1,0,0,1,0,0,0,1,0,0,1,0,1,0,0,0,0,0,1,0,0,1,0,0,1,0,0,0,1,0,0,1,0,0,0,1,0,0,1,0,1,0,0,0,1,0,0,0,0,1,0,0,1,0,0,0,0,1,0,0,0,0,1,0,0,0,1,0,0,1,0,0,0,1,0,0,1,0,0,0,1,0,0,1,0,1,0,0,0,0,0,1,0,0,1,0,0,1,0,0,0,1,0,0,1,0,0,0,1,0,0,1,0,1,0,0,0,1,0,0,0,0,0,1,0,0,0,0,1,0,1,0,0,0,0,1,0,</t>
  </si>
  <si>
    <t>0,0,1,0,0,1,0,0,0,1,0,0,1,0,0,0,1,0,0,1,0,1,0,0,0,0,0,1,0,0,1,0,0,1,0,0,0,1,0,0,1,0,0,0,1,0,0,1,0,1,0,0,0,1,0,0,0,0,1,0,0,1,0,0,0,0,1,0,0,0,0,1,0,0,0,1,0,0,1,0,0,0,1,0,0,1,0,0,0,1,0,0,1,0,1,0,0,0,0,0,1,0,0,1,0,0,1,0,0,0,1,0,0,1,0,0,0,1,0,0,1,0,1,0,0,0,1,0,0,0,0,0,1,0,1,0,0,0,0,0,1,0,0,0,1,0,</t>
  </si>
  <si>
    <t>0,0,1,0,0,1,0,0,0,1,0,0,1,0,0,0,1,0,0,1,0,1,0,0,0,0,0,1,0,0,1,0,0,1,0,0,0,1,0,0,1,0,0,0,1,0,0,1,0,1,0,0,0,1,0,0,0,0,1,0,0,1,0,0,0,0,1,0,0,0,0,1,0,0,0,1,0,0,1,0,0,0,1,0,0,1,0,0,0,1,0,0,1,0,1,0,0,0,0,0,1,0,0,1,0,0,1,0,0,0,1,0,0,1,0,0,0,1,0,0,1,0,1,0,0,0,1,0,0,0,0,0,1,0,1,0,0,0,0,0,0,1,0,0,1,0,</t>
  </si>
  <si>
    <t>0,0,1,0,0,1,0,0,0,1,0,0,1,0,0,0,1,0,0,1,0,1,0,0,0,0,0,1,0,0,1,0,0,1,0,0,0,1,0,0,1,0,0,0,1,0,0,1,0,1,0,0,0,1,0,0,0,0,1,0,0,1,0,0,0,0,1,0,0,0,0,1,0,0,0,1,0,0,1,0,0,0,1,0,0,1,0,0,0,1,0,0,1,0,1,0,0,0,0,0,1,0,0,1,0,0,1,0,0,0,1,0,0,1,0,0,0,1,0,0,1,0,1,0,0,0,1,0,0,0,0,0,1,0,1,0,0,0,1,0,0,0,0,0,1,0,</t>
  </si>
  <si>
    <t>0,0,1,0,0,1,0,0,0,1,0,0,1,0,0,0,1,0,0,1,0,1,0,0,0,0,0,1,0,0,1,0,0,1,0,0,0,1,0,0,1,0,0,0,1,0,0,1,0,1,0,0,0,1,0,0,0,0,1,0,0,1,0,0,0,0,1,0,0,0,0,1,0,0,0,1,0,0,1,0,0,0,1,0,0,1,0,0,0,1,0,0,1,0,1,0,0,0,0,0,1,0,0,1,0,0,1,0,0,0,1,0,0,1,0,0,0,1,0,0,1,0,1,0,0,0,1,0,0,0,0,0,1,0,1,0,0,0,0,1,0,0,0,0,0,1,</t>
  </si>
  <si>
    <t>0,0,1,0,0,1,0,0,0,1,0,0,1,0,0,0,1,0,0,1,0,1,0,0,0,0,0,1,0,0,1,0,0,1,0,0,0,1,0,0,1,0,0,0,1,0,0,1,0,1,0,0,0,1,0,0,0,0,1,0,0,1,0,0,0,0,1,0,0,0,0,1,0,0,0,1,0,0,1,0,0,0,1,0,0,1,0,0,0,1,0,0,1,0,1,0,0,0,0,0,1,0,0,1,0,0,1,0,0,0,1,0,0,1,0,0,0,1,0,0,1,0,1,0,0,0,1,0,0,0,0,0,1,0,1,0,0,0,0,1,0,0,1,0,0,0,</t>
  </si>
  <si>
    <t>0,0,1,0,0,1,0,0,0,1,0,0,1,0,0,0,1,0,0,1,0,1,0,0,0,0,0,1,0,0,1,0,0,1,0,0,0,1,0,0,1,0,0,0,1,0,0,1,0,1,0,0,0,1,0,0,0,0,1,0,0,1,0,0,0,0,1,0,0,0,0,1,0,0,0,1,0,0,1,0,0,0,1,0,0,1,0,0,0,1,0,0,1,0,1,0,0,0,0,0,1,0,0,1,0,0,1,0,0,0,1,0,0,1,0,0,0,1,0,0,1,0,1,0,0,0,1,0,0,0,0,0,1,0,1,0,0,0,0,1,0,0,0,1,0,0,</t>
  </si>
  <si>
    <t>0,0,1,0,0,1,0,0,0,1,0,0,1,0,0,0,1,0,0,1,0,1,0,0,0,0,0,1,0,0,1,0,0,1,0,0,0,1,0,0,1,0,0,0,1,0,0,1,0,1,0,0,0,1,0,0,0,0,1,0,0,1,0,0,0,0,1,0,0,0,0,1,0,0,0,0,0,1,1,0,0,0,1,0,0,1,0,0,0,1,0,0,1,0,1,0,0,0,0,0,1,0,0,1,0,0,1,0,0,0,1,0,0,1,0,0,0,1,0,0,1,0,1,0,0,0,1,0,0,0,0,1,0,0,1,0,0,0,0,1,0,0,0,0,0,1,</t>
  </si>
  <si>
    <t>0,0,1,0,0,1,0,0,0,1,0,0,1,0,0,0,1,0,0,1,0,1,0,0,0,0,0,1,0,0,1,0,0,1,0,0,0,1,0,0,1,0,0,0,1,0,0,1,0,1,0,0,0,1,0,0,0,0,1,0,0,1,0,0,0,0,1,0,0,0,0,1,0,1,0,0,0,0,1,0,0,0,1,0,0,1,0,0,0,1,0,0,1,0,1,0,0,0,0,0,1,0,0,1,0,0,1,0,0,0,1,0,0,1,0,0,0,1,0,0,1,0,1,0,0,0,1,0,0,0,0,1,0,0,1,0,0,0,0,1,0,0,0,0,0,1,</t>
  </si>
  <si>
    <t>0,0,1,0,0,1,0,0,0,1,0,0,1,0,0,0,1,0,0,1,0,1,0,0,0,0,0,1,0,0,1,0,0,1,0,0,0,1,0,0,1,0,0,0,1,0,0,1,0,1,0,0,0,1,0,0,0,0,1,0,0,1,0,0,0,0,1,0,0,0,0,1,0,0,1,0,0,0,1,0,0,0,1,0,0,1,0,0,0,1,0,0,1,0,1,0,0,0,0,0,1,0,0,1,0,0,1,0,0,0,1,0,0,1,0,0,0,1,0,0,1,0,1,0,0,0,1,0,0,0,0,1,0,0,1,0,0,0,0,1,0,0,0,0,0,1,</t>
  </si>
  <si>
    <t>0,0,1,0,0,1,0,0,0,1,0,0,1,0,0,0,1,0,0,1,0,1,0,0,0,0,0,1,0,0,1,0,0,1,0,0,0,1,0,0,1,0,0,0,1,0,0,1,0,1,0,0,0,1,0,0,0,0,1,0,0,1,0,0,0,0,1,0,0,0,0,1,0,0,0,1,0,0,0,1,0,0,1,0,0,1,0,0,0,1,0,0,1,0,1,0,0,0,0,0,1,0,0,1,0,0,1,0,0,0,1,0,0,1,0,0,0,1,0,0,1,0,1,0,0,0,1,0,0,0,0,1,0,0,1,0,0,0,0,1,0,0,0,0,0,1,</t>
  </si>
  <si>
    <t>0,0,1,0,0,1,0,0,0,1,0,0,1,0,0,0,1,0,0,1,0,1,0,0,0,0,0,1,0,0,1,0,0,1,0,0,0,1,0,0,1,0,0,0,1,0,0,1,0,1,0,0,0,1,0,0,0,0,1,0,0,1,0,0,0,0,1,0,0,0,0,1,0,0,0,1,0,0,1,0,0,0,0,1,0,1,0,0,0,1,0,0,1,0,1,0,0,0,0,0,1,0,0,1,0,0,1,0,0,0,1,0,0,1,0,0,0,1,0,0,1,0,1,0,0,0,1,0,0,0,0,1,0,0,1,0,0,0,0,1,0,0,0,0,0,1,</t>
  </si>
  <si>
    <t>0,0,1,0,0,1,0,0,0,1,0,0,1,0,0,0,1,0,0,1,0,1,0,0,0,0,0,1,0,0,1,0,0,1,0,0,0,1,0,0,1,0,0,0,1,0,0,1,0,1,0,0,0,1,0,0,0,0,1,0,0,1,0,0,0,0,1,0,0,0,0,1,0,0,0,1,0,0,1,0,0,0,0,0,1,1,0,0,0,1,0,0,1,0,1,0,0,0,0,0,1,0,0,1,0,0,1,0,0,0,1,0,0,1,0,0,0,1,0,0,1,0,1,0,0,0,1,0,0,0,0,1,0,0,1,0,0,0,0,1,0,0,0,0,0,1,</t>
  </si>
  <si>
    <t>0,0,1,0,0,1,0,0,0,1,0,0,1,0,0,0,1,0,0,1,0,1,0,0,0,0,0,1,0,0,1,0,0,1,0,0,0,1,0,0,1,0,0,0,1,0,0,1,0,1,0,0,0,1,0,0,0,0,1,0,0,1,0,0,0,0,1,0,0,0,0,1,0,0,0,1,0,0,1,0,1,0,0,0,0,1,0,0,0,1,0,0,1,0,1,0,0,0,0,0,1,0,0,1,0,0,1,0,0,0,1,0,0,1,0,0,0,1,0,0,1,0,1,0,0,0,1,0,0,0,0,1,0,0,1,0,0,0,0,1,0,0,0,0,0,1,</t>
  </si>
  <si>
    <t>0,0,1,0,0,1,0,0,0,1,0,0,1,0,0,0,1,0,0,1,0,1,0,0,0,0,0,1,0,0,1,0,0,1,0,0,0,1,0,0,1,0,0,0,1,0,0,1,0,1,0,0,0,1,0,0,0,0,1,0,0,1,0,0,0,0,1,0,0,0,0,1,0,0,0,1,0,0,1,0,0,1,0,0,0,1,0,0,0,1,0,0,1,0,1,0,0,0,0,0,1,0,0,1,0,0,1,0,0,0,1,0,0,1,0,0,0,1,0,0,1,0,1,0,0,0,1,0,0,0,0,1,0,0,1,0,0,0,0,1,0,0,0,0,0,1,</t>
  </si>
  <si>
    <t>0,0,1,0,0,1,0,0,0,1,0,0,1,0,0,0,1,0,0,1,0,1,0,0,0,0,0,1,0,0,1,0,0,1,0,0,0,1,0,0,1,0,0,0,1,0,0,1,0,1,0,0,0,1,0,0,0,0,1,0,0,1,0,0,0,0,1,0,0,0,0,1,0,0,0,1,0,0,1,0,0,0,1,0,0,0,1,0,0,1,0,0,1,0,1,0,0,0,0,0,1,0,0,1,0,0,1,0,0,0,1,0,0,1,0,0,0,1,0,0,1,0,1,0,0,0,1,0,0,0,0,1,0,0,1,0,0,0,0,1,0,0,0,0,0,1,</t>
  </si>
  <si>
    <t>0,0,1,0,0,1,0,0,0,1,0,0,1,0,0,0,1,0,0,1,0,1,0,0,0,0,0,1,0,0,1,0,0,1,0,0,0,1,0,0,1,0,0,0,1,0,0,1,0,1,0,0,0,1,0,0,0,0,1,0,0,1,0,0,0,0,1,0,0,0,0,1,0,0,0,1,0,0,1,0,0,0,1,0,0,1,0,0,0,0,0,1,1,0,1,0,0,0,0,0,1,0,0,1,0,0,1,0,0,0,1,0,0,1,0,0,0,1,0,0,1,0,1,0,0,0,1,0,0,0,0,1,0,0,1,0,0,0,0,1,0,0,0,0,0,1,</t>
  </si>
  <si>
    <t>0,0,1,0,0,1,0,0,0,1,0,0,1,0,0,0,1,0,0,1,0,1,0,0,0,0,0,1,0,0,1,0,0,1,0,0,0,1,0,0,1,0,0,0,1,0,0,1,0,1,0,0,0,1,0,0,0,0,1,0,0,1,0,0,0,0,1,0,0,0,0,1,0,0,0,1,0,0,1,0,0,0,1,0,0,1,0,1,0,0,0,0,1,0,1,0,0,0,0,0,1,0,0,1,0,0,1,0,0,0,1,0,0,1,0,0,0,1,0,0,1,0,1,0,0,0,1,0,0,0,0,1,0,0,1,0,0,0,0,1,0,0,0,0,0,1,</t>
  </si>
  <si>
    <t>0,0,1,0,0,1,0,0,0,1,0,0,1,0,0,0,1,0,0,1,0,1,0,0,0,0,0,1,0,0,1,0,0,1,0,0,0,1,0,0,1,0,0,0,1,0,0,1,0,1,0,0,0,1,0,0,0,0,1,0,0,1,0,0,0,0,1,0,0,0,0,1,0,0,0,1,0,0,1,0,0,0,1,0,0,1,0,0,1,0,0,0,1,0,1,0,0,0,0,0,1,0,0,1,0,0,1,0,0,0,1,0,0,1,0,0,0,1,0,0,1,0,1,0,0,0,1,0,0,0,0,1,0,0,1,0,0,0,0,1,0,0,0,0,0,1,</t>
  </si>
  <si>
    <t>0,0,1,0,0,1,0,0,0,1,0,0,1,0,0,0,1,0,0,1,0,1,0,0,0,0,0,1,0,0,1,0,0,1,0,0,0,1,0,0,1,0,0,0,1,0,0,1,0,1,0,0,0,1,0,0,0,0,1,0,0,1,0,0,0,0,1,0,0,0,0,1,0,0,0,1,0,0,1,0,0,0,1,0,0,1,0,0,0,1,0,0,0,1,1,0,0,0,0,0,1,0,0,1,0,0,1,0,0,0,1,0,0,1,0,0,0,1,0,0,1,0,1,0,0,0,1,0,0,0,0,1,0,0,1,0,0,0,0,1,0,0,0,0,0,1,</t>
  </si>
  <si>
    <t>0,0,1,0,0,1,0,0,0,1,0,0,1,0,0,0,1,0,0,1,0,1,0,0,0,0,0,1,0,0,1,0,0,1,0,0,0,1,0,0,1,0,0,0,1,0,0,1,0,1,0,0,0,1,0,0,0,0,1,0,0,1,0,0,0,0,1,0,0,0,0,1,0,0,0,1,0,0,1,0,0,0,1,0,0,1,0,0,0,1,0,0,1,0,0,1,0,0,0,0,1,0,0,1,0,0,1,0,0,0,1,0,0,1,0,0,0,1,0,0,1,0,1,0,0,0,1,0,0,0,0,1,0,0,1,0,0,0,0,1,0,0,0,0,0,1,</t>
  </si>
  <si>
    <t>0,0,1,0,0,1,0,0,0,1,0,0,1,0,0,0,1,0,0,1,0,1,0,0,0,0,0,1,0,0,1,0,0,1,0,0,0,1,0,0,1,0,0,0,1,0,0,1,0,1,0,0,0,1,0,0,0,0,1,0,0,1,0,0,0,0,1,0,0,0,0,1,0,0,0,1,0,0,1,0,0,0,1,0,0,1,0,0,0,1,0,0,1,0,0,0,1,0,0,0,1,0,0,1,0,0,1,0,0,0,1,0,0,1,0,0,0,1,0,0,1,0,1,0,0,0,1,0,0,0,0,1,0,0,1,0,0,0,0,1,0,0,0,0,0,1,</t>
  </si>
  <si>
    <t>0,0,1,0,0,1,0,0,0,1,0,0,1,0,0,0,1,0,0,1,0,1,0,0,0,0,0,1,0,0,1,0,0,1,0,0,0,1,0,0,1,0,0,0,1,0,0,1,0,1,0,0,0,1,0,0,0,0,1,0,0,1,0,0,0,0,1,0,0,0,0,1,0,0,0,1,0,0,1,0,0,0,1,0,0,1,0,0,0,1,0,0,1,0,0,0,0,1,0,0,1,0,0,1,0,0,1,0,0,0,1,0,0,1,0,0,0,1,0,0,1,0,1,0,0,0,1,0,0,0,0,1,0,0,1,0,0,0,0,1,0,0,0,0,0,1,</t>
  </si>
  <si>
    <t>0,0,1,0,0,1,0,0,0,1,0,0,1,0,0,0,1,0,0,1,0,1,0,0,0,0,0,1,0,0,1,0,0,1,0,0,0,1,0,0,1,0,0,0,1,0,0,1,0,1,0,0,0,1,0,0,0,0,1,0,0,1,0,0,0,0,1,0,0,0,0,1,0,0,0,1,0,0,1,0,0,0,1,0,0,1,0,0,0,1,0,0,1,0,0,0,0,0,1,0,1,0,0,1,0,0,1,0,0,0,1,0,0,1,0,0,0,1,0,0,1,0,1,0,0,0,1,0,0,0,0,1,0,0,1,0,0,0,0,1,0,0,0,0,0,1,</t>
  </si>
  <si>
    <t>0,0,1,0,0,1,0,0,0,1,0,0,1,0,0,0,1,0,0,1,0,1,0,0,0,0,0,1,0,0,1,0,0,1,0,0,0,1,0,0,1,0,0,0,1,0,0,1,0,1,0,0,0,1,0,0,0,0,1,0,0,1,0,0,0,0,1,0,0,0,0,1,0,0,0,1,0,0,1,0,0,0,1,0,0,1,0,0,0,1,0,0,1,0,1,0,0,0,0,1,0,0,0,1,0,0,1,0,0,0,1,0,0,1,0,0,0,1,0,0,1,0,1,0,0,0,1,0,0,0,0,1,0,0,1,0,0,0,0,1,0,0,0,0,0,1,</t>
  </si>
  <si>
    <t>0,0,1,0,0,1,0,0,0,1,0,0,1,0,0,0,1,0,0,1,0,1,0,0,0,0,0,1,0,0,1,0,0,1,0,0,0,1,0,0,1,0,0,0,1,0,0,1,0,1,0,0,0,1,0,0,0,0,1,0,0,1,0,0,0,0,1,0,0,0,0,1,0,0,0,1,0,0,1,0,0,0,1,0,0,1,0,0,0,1,0,0,1,0,1,0,0,0,0,0,1,0,0,0,0,1,1,0,0,0,1,0,0,1,0,0,0,1,0,0,1,0,1,0,0,0,1,0,0,0,0,1,0,0,1,0,0,0,0,1,0,0,0,0,0,1,</t>
  </si>
  <si>
    <t>0,0,1,0,0,1,0,0,0,1,0,0,1,0,0,0,1,0,0,1,0,1,0,0,0,0,0,1,0,0,1,0,0,1,0,0,0,1,0,0,1,0,0,0,1,0,0,1,0,1,0,0,0,1,0,0,0,0,1,0,0,1,0,0,0,0,1,0,0,0,0,1,0,0,0,1,0,0,1,0,0,0,1,0,0,1,0,0,0,1,0,0,1,0,1,0,0,0,0,0,1,1,0,0,0,0,1,0,0,0,1,0,0,1,0,0,0,1,0,0,1,0,1,0,0,0,1,0,0,0,0,1,0,0,1,0,0,0,0,1,0,0,0,0,0,1,</t>
  </si>
  <si>
    <t>0,0,1,0,0,1,0,0,0,1,0,0,1,0,0,0,1,0,0,1,0,1,0,0,0,0,0,1,0,0,1,0,0,1,0,0,0,1,0,0,1,0,0,0,1,0,0,1,0,1,0,0,0,1,0,0,0,0,1,0,0,1,0,0,0,0,1,0,0,0,0,1,0,0,0,1,0,0,1,0,0,0,1,0,0,1,0,0,0,1,0,0,1,0,1,0,0,0,0,0,1,0,1,0,0,0,1,0,0,0,1,0,0,1,0,0,0,1,0,0,1,0,1,0,0,0,1,0,0,0,0,1,0,0,1,0,0,0,0,1,0,0,0,0,0,1,</t>
  </si>
  <si>
    <t>0,0,1,0,0,1,0,0,0,1,0,0,1,0,0,0,1,0,0,1,0,1,0,0,0,0,0,1,0,0,1,0,0,1,0,0,0,1,0,0,1,0,0,0,1,0,0,1,0,1,0,0,0,1,0,0,0,0,1,0,0,1,0,0,0,0,1,0,0,0,0,1,0,0,0,1,0,0,1,0,0,0,1,0,0,1,0,0,0,1,0,0,1,0,1,0,0,0,0,0,1,0,0,1,0,0,0,1,0,0,1,0,0,1,0,0,0,1,0,0,1,0,1,0,0,0,1,0,0,0,0,1,0,0,1,0,0,0,0,1,0,0,0,0,0,1,</t>
  </si>
  <si>
    <t>0,0,1,0,0,1,0,0,0,1,0,0,1,0,0,0,1,0,0,1,0,1,0,0,0,0,0,1,0,0,1,0,0,1,0,0,0,1,0,0,1,0,0,0,1,0,0,1,0,1,0,0,0,1,0,0,0,0,1,0,0,1,0,0,0,0,1,0,0,0,0,1,0,0,0,1,0,0,1,0,0,0,1,0,0,1,0,0,0,1,0,0,1,0,1,0,0,0,0,0,1,0,0,1,0,0,1,0,0,0,0,1,0,1,0,0,0,1,0,0,1,0,1,0,0,0,1,0,0,0,0,1,0,0,1,0,0,0,0,1,0,0,0,0,0,1,</t>
  </si>
  <si>
    <t>0,0,1,0,0,1,0,0,0,1,0,0,1,0,0,0,1,0,0,1,0,1,0,0,0,0,0,1,0,0,1,0,0,1,0,0,0,1,0,0,1,0,0,0,1,0,0,1,0,1,0,0,0,1,0,0,0,0,1,0,0,1,0,0,0,0,1,0,0,0,0,1,0,0,0,1,0,0,1,0,0,0,1,0,0,1,0,0,0,1,0,0,1,0,1,0,0,0,0,0,1,0,0,1,0,0,1,0,0,0,0,0,1,1,0,0,0,1,0,0,1,0,1,0,0,0,1,0,0,0,0,1,0,0,1,0,0,0,0,1,0,0,0,0,0,1,</t>
  </si>
  <si>
    <t>0,0,1,0,0,1,0,0,0,1,0,0,1,0,0,0,1,0,0,1,0,1,0,0,0,0,0,1,0,0,1,0,0,1,0,0,0,1,0,0,1,0,0,0,1,0,0,1,0,1,0,0,0,1,0,0,0,0,1,0,0,1,0,0,0,0,1,0,0,0,0,1,0,0,0,1,0,0,1,0,0,0,1,0,0,1,0,0,0,1,0,0,1,0,1,0,0,0,0,0,1,0,0,1,0,0,1,0,1,0,0,0,0,1,0,0,0,1,0,0,1,0,1,0,0,0,1,0,0,0,0,1,0,0,1,0,0,0,0,1,0,0,0,0,0,1,</t>
  </si>
  <si>
    <t>0,0,1,0,0,1,0,0,0,1,0,0,1,0,0,0,1,0,0,1,0,1,0,0,0,0,0,1,0,0,1,0,0,1,0,0,0,1,0,0,1,0,0,0,1,0,0,1,0,1,0,0,0,1,0,0,0,0,1,0,0,1,0,0,0,0,1,0,0,0,0,1,0,0,0,1,0,0,1,0,0,0,1,0,0,1,0,0,0,1,0,0,1,0,1,0,0,0,0,0,1,0,0,1,0,0,1,0,0,1,0,0,0,1,0,0,0,1,0,0,1,0,1,0,0,0,1,0,0,0,0,1,0,0,1,0,0,0,0,1,0,0,0,0,0,1,</t>
  </si>
  <si>
    <t>0,0,1,0,0,1,0,0,0,1,0,0,1,0,0,0,1,0,0,1,0,1,0,0,0,0,0,1,0,0,1,0,0,1,0,0,0,1,0,0,1,0,0,0,1,0,0,1,0,1,0,0,0,1,0,0,0,0,1,0,0,1,0,0,0,0,1,0,0,0,0,1,0,0,0,1,0,0,1,0,0,0,1,0,0,1,0,0,0,1,0,0,1,0,1,0,0,0,0,0,1,0,0,1,0,0,1,0,0,0,1,0,0,0,1,0,0,1,0,0,1,0,1,0,0,0,1,0,0,0,0,1,0,0,1,0,0,0,0,1,0,0,0,0,0,1,</t>
  </si>
  <si>
    <t>0,0,1,0,0,1,0,0,0,1,0,0,1,0,0,0,1,0,0,1,0,1,0,0,0,0,0,1,0,0,1,0,0,1,0,0,0,1,0,0,1,0,0,0,1,0,0,1,0,1,0,0,0,1,0,0,0,0,1,0,0,1,0,0,0,0,1,0,0,0,0,1,0,0,0,1,0,0,1,0,0,0,1,0,0,1,0,0,0,1,0,0,1,0,1,0,0,0,0,0,1,0,0,1,0,0,1,0,0,0,1,0,0,1,0,0,0,0,0,1,1,0,1,0,0,0,1,0,0,0,0,1,0,0,1,0,0,0,0,1,0,0,0,0,0,1,</t>
  </si>
  <si>
    <t>0,0,1,0,0,1,0,0,0,1,0,0,1,0,0,0,1,0,0,1,0,1,0,0,0,0,0,1,0,0,1,0,0,1,0,0,0,1,0,0,1,0,0,0,1,0,0,1,0,1,0,0,0,1,0,0,0,0,1,0,0,1,0,0,0,0,1,0,0,0,0,1,0,0,0,1,0,0,1,0,0,0,1,0,0,1,0,0,0,1,0,0,1,0,1,0,0,0,0,0,1,0,0,1,0,0,1,0,0,0,1,0,0,1,0,1,0,0,0,0,1,0,1,0,0,0,1,0,0,0,0,1,0,0,1,0,0,0,0,1,0,0,0,0,0,1,</t>
  </si>
  <si>
    <t>0,0,1,0,0,1,0,0,0,1,0,0,1,0,0,0,1,0,0,1,0,1,0,0,0,0,0,1,0,0,1,0,0,1,0,0,0,1,0,0,1,0,0,0,1,0,0,1,0,1,0,0,0,1,0,0,0,0,1,0,0,1,0,0,0,0,1,0,0,0,0,1,0,0,0,1,0,0,1,0,0,0,1,0,0,1,0,0,0,1,0,0,1,0,1,0,0,0,0,0,1,0,0,1,0,0,1,0,0,0,1,0,0,1,0,0,1,0,0,0,1,0,1,0,0,0,1,0,0,0,0,1,0,0,1,0,0,0,0,1,0,0,0,0,0,1,</t>
  </si>
  <si>
    <t>0,0,1,0,0,1,0,0,0,1,0,0,1,0,0,0,1,0,0,1,0,1,0,0,0,0,0,1,0,0,1,0,0,1,0,0,0,1,0,0,1,0,0,0,1,0,0,1,0,1,0,0,0,1,0,0,0,0,1,0,0,1,0,0,0,0,1,0,0,0,0,1,0,0,0,1,0,0,1,0,0,0,1,0,0,1,0,0,0,1,0,0,1,0,1,0,0,0,0,0,1,0,0,1,0,0,1,0,0,0,1,0,0,1,0,0,0,1,0,0,0,1,1,0,0,0,1,0,0,0,0,1,0,0,1,0,0,0,0,1,0,0,0,0,0,1,</t>
  </si>
  <si>
    <t>0,0,1,0,0,1,0,0,0,1,0,0,1,0,0,0,1,0,0,1,0,1,0,0,0,0,0,1,0,0,1,0,0,1,0,0,0,1,0,0,1,0,0,0,1,0,0,1,0,1,0,0,0,1,0,0,0,0,1,0,0,1,0,0,0,0,1,0,0,0,0,1,0,0,0,1,0,0,1,0,0,0,1,0,0,1,0,0,0,1,0,0,1,0,1,0,0,0,0,0,1,0,0,1,0,0,1,0,0,0,1,0,0,1,0,0,0,1,0,0,1,0,0,1,0,0,1,0,0,0,0,1,0,0,1,0,0,0,0,1,0,0,0,0,0,1,</t>
  </si>
  <si>
    <t>0,0,1,0,0,1,0,0,0,1,0,0,1,0,0,0,1,0,0,1,0,1,0,0,0,0,0,1,0,0,1,0,0,1,0,0,0,1,0,0,1,0,0,0,1,0,0,1,0,1,0,0,0,1,0,0,0,0,1,0,0,1,0,0,0,0,1,0,0,0,0,1,0,0,0,1,0,0,1,0,0,0,1,0,0,1,0,0,0,1,0,0,1,0,1,0,0,0,0,0,1,0,0,1,0,0,1,0,0,0,1,0,0,1,0,0,0,1,0,0,1,0,1,0,0,0,0,1,0,0,0,1,0,0,1,0,0,0,0,1,0,0,0,0,0,1,</t>
  </si>
  <si>
    <t>0,0,1,0,0,1,0,0,0,1,0,0,1,0,0,0,1,0,0,1,0,1,0,0,0,0,0,1,0,0,1,0,0,1,0,0,0,1,0,0,1,0,0,0,1,0,0,1,0,1,0,0,0,1,0,0,0,0,1,0,0,1,0,0,0,0,1,0,0,0,0,1,0,0,0,1,0,0,1,0,0,0,1,0,0,1,0,0,0,1,0,0,1,0,1,0,0,0,0,0,1,0,0,1,0,0,1,0,0,0,1,0,0,1,0,0,0,1,0,0,1,0,1,0,0,0,0,0,1,0,0,1,0,0,1,0,0,0,0,1,0,0,0,0,0,1,</t>
  </si>
  <si>
    <t>0,0,1,0,0,1,0,0,0,1,0,0,1,0,0,0,1,0,0,1,0,1,0,0,0,0,0,1,0,0,1,0,0,1,0,0,0,1,0,0,1,0,0,0,1,0,0,1,0,1,0,0,0,1,0,0,0,0,1,0,0,1,0,0,0,0,1,0,0,0,0,1,0,0,0,1,0,0,1,0,0,0,1,0,0,1,0,0,0,1,0,0,1,0,1,0,0,0,0,0,1,0,0,1,0,0,1,0,0,0,1,0,0,1,0,0,0,1,0,0,1,0,1,0,1,0,0,0,0,0,0,1,0,0,1,0,0,0,0,1,0,0,0,0,0,1,</t>
  </si>
  <si>
    <t>0,0,1,0,0,1,0,0,0,1,0,0,1,0,0,0,1,0,0,1,0,1,0,0,0,0,0,1,0,0,1,0,0,1,0,0,0,1,0,0,1,0,0,0,1,0,0,1,0,1,0,0,0,1,0,0,0,0,1,0,0,1,0,0,0,0,1,0,0,0,0,1,0,0,0,1,0,0,1,0,0,0,1,0,0,1,0,0,0,1,0,0,1,0,1,0,0,0,0,0,1,0,0,1,0,0,1,0,0,0,1,0,0,1,0,0,0,1,0,0,1,0,1,0,0,1,0,0,0,0,0,1,0,0,1,0,0,0,0,1,0,0,0,0,0,1,</t>
  </si>
  <si>
    <t>0,0,1,0,0,1,0,0,0,1,0,0,1,0,0,0,1,0,0,1,0,1,0,0,0,0,0,1,0,0,1,0,0,1,0,0,0,1,0,0,1,0,0,0,1,0,0,1,0,1,0,0,0,1,0,0,0,0,1,0,0,1,0,0,0,0,1,0,0,0,0,1,0,0,0,1,0,0,1,0,0,0,1,0,0,1,0,0,0,1,0,0,1,0,1,0,0,0,0,0,1,0,0,1,0,0,1,0,0,0,1,0,0,1,0,0,0,1,0,0,1,0,1,0,0,0,1,0,0,0,0,0,0,1,1,0,0,0,0,1,0,0,0,0,0,1,</t>
  </si>
  <si>
    <t>0,0,1,0,0,1,0,0,0,1,0,0,1,0,0,0,1,0,0,1,0,1,0,0,0,0,0,1,0,0,1,0,0,1,0,0,0,1,0,0,1,0,0,0,1,0,0,1,0,1,0,0,0,1,0,0,0,0,1,0,0,1,0,0,0,0,1,0,0,0,0,1,0,0,0,1,0,0,1,0,0,0,1,0,0,1,0,0,0,1,0,0,1,0,1,0,0,0,0,0,1,0,0,1,0,0,1,0,0,0,1,0,0,1,0,0,0,1,0,0,1,0,1,0,0,0,1,0,0,1,0,0,0,0,1,0,0,0,0,1,0,0,0,0,0,1,</t>
  </si>
  <si>
    <t>0,0,1,0,0,1,0,0,0,1,0,0,1,0,0,0,1,0,0,1,0,1,0,0,0,0,0,1,0,0,1,0,0,1,0,0,0,1,0,0,1,0,0,0,1,0,0,1,0,1,0,0,0,1,0,0,0,0,1,0,0,1,0,0,0,0,1,0,0,0,0,1,0,0,0,1,0,0,1,0,0,0,1,0,0,1,0,0,0,1,0,0,1,0,1,0,0,0,0,0,1,0,0,1,0,0,1,0,0,0,1,0,0,1,0,0,0,1,0,0,1,0,1,0,0,0,1,0,0,0,1,0,0,0,1,0,0,0,0,1,0,0,0,0,0,1,</t>
  </si>
  <si>
    <t>0,0,1,0,0,1,0,0,0,1,0,0,1,0,0,0,1,0,0,1,0,1,0,0,0,0,0,1,0,0,1,0,0,1,0,0,0,1,0,0,1,0,0,0,1,0,0,1,0,1,0,0,0,1,0,0,0,0,1,0,0,1,0,0,0,0,1,0,0,0,0,1,0,0,0,1,0,0,1,0,0,0,1,0,0,1,0,0,0,1,0,0,1,0,1,0,0,0,0,0,1,0,0,1,0,0,1,0,0,0,1,0,0,1,0,0,0,1,0,0,1,0,1,0,0,0,1,0,0,0,0,1,0,0,0,1,0,0,0,1,0,0,0,0,0,1,</t>
  </si>
  <si>
    <t>0,0,1,0,0,1,0,0,0,1,0,0,1,0,0,0,1,0,0,1,0,1,0,0,0,0,0,1,0,0,1,0,0,1,0,0,0,1,0,0,1,0,0,0,1,0,0,1,0,1,0,0,0,1,0,0,0,0,1,0,0,1,0,0,0,0,1,0,0,0,0,1,0,0,0,1,0,0,1,0,0,0,1,0,0,1,0,0,0,1,0,0,1,0,1,0,0,0,0,0,1,0,0,1,0,0,1,0,0,0,1,0,0,1,0,0,0,1,0,0,1,0,1,0,0,0,1,0,0,0,0,1,0,0,0,0,1,0,0,1,0,0,0,0,0,1,</t>
  </si>
  <si>
    <t>0,0,1,0,0,1,0,0,0,1,0,0,1,0,0,0,1,0,0,1,0,1,0,0,0,0,0,1,0,0,1,0,0,1,0,0,0,1,0,0,1,0,0,0,1,0,0,1,0,1,0,0,0,1,0,0,0,0,1,0,0,1,0,0,0,0,1,0,0,0,0,1,0,0,0,1,0,0,1,0,0,0,1,0,0,1,0,0,0,1,0,0,1,0,1,0,0,0,0,0,1,0,0,1,0,0,1,0,0,0,1,0,0,1,0,0,0,1,0,0,1,0,1,0,0,0,1,0,0,0,0,1,0,0,0,0,0,1,0,1,0,0,0,0,0,1,</t>
  </si>
  <si>
    <t>0,0,1,0,0,1,0,0,0,1,0,0,1,0,0,0,1,0,0,1,0,1,0,0,0,0,0,1,0,0,1,0,0,1,0,0,0,1,0,0,1,0,0,0,1,0,0,1,0,1,0,0,0,1,0,0,0,0,1,0,0,1,0,0,0,0,1,0,0,0,0,1,0,0,0,1,0,0,1,0,0,0,1,0,0,1,0,0,0,1,0,0,1,0,1,0,0,0,0,0,1,0,0,1,0,0,1,0,0,0,1,0,0,1,0,0,0,1,0,0,1,0,1,0,0,0,1,0,0,0,0,1,0,0,1,0,0,0,0,0,1,0,0,0,0,1,</t>
  </si>
  <si>
    <t>0,0,1,0,0,1,0,0,0,1,0,0,1,0,0,0,1,0,0,1,0,1,0,0,0,0,0,1,0,0,1,0,0,1,0,0,0,1,0,0,1,0,0,0,1,0,0,1,0,1,0,0,0,1,0,0,0,0,1,0,0,1,0,0,0,0,1,0,0,0,0,1,0,0,0,1,0,0,1,0,0,0,1,0,0,1,0,0,0,1,0,0,1,0,1,0,0,0,0,0,1,0,0,1,0,0,1,0,0,0,1,0,0,1,0,0,0,1,0,0,1,0,1,0,0,0,1,0,0,0,0,1,0,0,1,0,0,0,0,0,0,1,0,0,0,1,</t>
  </si>
  <si>
    <t>0,0,1,0,0,1,0,0,0,1,0,0,1,0,0,0,1,0,0,1,0,1,0,0,0,0,0,1,0,0,1,0,0,1,0,0,0,1,0,0,1,0,0,0,1,0,0,1,0,1,0,0,0,1,0,0,0,0,1,0,0,1,0,0,0,0,1,0,0,0,0,1,0,0,0,1,0,0,1,0,0,0,1,0,0,1,0,0,0,1,0,0,1,0,1,0,0,0,0,0,1,0,0,1,0,0,1,0,0,0,1,0,0,1,0,0,0,1,0,0,1,0,1,0,0,0,1,0,0,0,0,1,0,0,1,0,0,0,1,0,0,0,0,0,0,1,</t>
  </si>
  <si>
    <t>0,0,1,0,0,1,0,0,0,1,0,0,1,0,0,0,1,0,0,1,0,1,0,0,0,0,0,1,0,0,1,0,0,1,0,0,0,1,0,0,1,0,0,0,1,0,0,1,0,1,0,0,0,1,0,0,0,0,1,0,0,1,0,0,0,0,1,0,0,0,0,1,0,0,0,1,0,0,1,0,0,0,1,0,0,1,0,0,0,1,0,0,1,0,1,0,0,0,0,0,1,0,0,1,0,0,1,0,0,0,1,0,0,1,0,0,0,1,0,0,1,0,1,0,0,0,1,0,0,0,0,1,0,0,1,0,0,0,0,1,0,0,0,1,0,0,</t>
  </si>
  <si>
    <t>0,0,1,0,0,1,0,0,0,1,0,0,1,0,0,0,1,0,0,1,0,1,0,0,0,0,0,1,0,0,1,0,0,1,0,0,0,1,0,0,1,0,0,0,1,0,0,1,0,1,0,0,0,1,0,0,0,0,1,0,0,1,0,0,0,0,1,0,0,0,0,1,0,0,0,1,0,0,0,1,0,0,0,1,0,1,0,0,0,1,0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</si>
  <si>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0,1,0,0,0,0,1,1,0,0,0,1,0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</si>
  <si>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0,1,1,0,0,0,0,1,0,0,0,1,0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</si>
  <si>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0,1,0,1,0,0,0,1,0,0,0,1,0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</si>
  <si>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0,1,0,1,0,0,0,0,1,0,0,1,0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</si>
  <si>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0,1,0,1,0,0,0,0,1,0,0,0,1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</si>
  <si>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0,1,0,1,0,0,0,0,1,0,0,0,0,1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</si>
  <si>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0,1,0,1,0,0,0,0,1,1,0,0,0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</si>
  <si>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0,1,0,1,0,0,0,0,1,0,1,0,0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</si>
  <si>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0,1,0,1,0,0,0,0,1,0,1,0,0,0,0,1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</si>
  <si>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0,1,0,1,0,0,0,0,1,0,1,0,0,0,0,1,0,1,0,0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</si>
  <si>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0,1,0,1,0,0,0,0,1,0,1,0,0,0,0,1,0,0,1,0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</si>
  <si>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0,1,0,1,0,0,0,0,1,0,1,0,0,0,0,1,0,0,0,1,0,0,1,0,0,1,0,0,1,0,0,0,1,0,0,1,0,0,0,1,0,0,1,0,1,0,0,0,1,0,0,0,0,1,0,0,1,0,0,0,0,1,0,0,0,0,1,0,</t>
  </si>
  <si>
    <t>0,0,1,0,0,1,0,0,0,1,0,0,1,0,0,0,1,0,0,1,0,1,0,0,0,0,0,1,0,0,1,0,0,1,0,0,0,1,0,0,1,0,0,0,1,0,0,1,0,1,0,0,0,1,0,0,0,0,1,0,0,1,0,0,0,0,1,0,0,0,0,1,0,0,0,1,0,0,0,1,0,1,0,0,0,0,1,0,1,0,0,0,0,1,0,0,0,0,1,0,1,0,0,1,0,0,1,0,0,0,1,0,0,1,0,0,0,1,0,0,1,0,1,0,0,0,1,0,0,0,0,1,0,0,1,0,0,0,0,1,0,0,0,0,1,0,</t>
  </si>
  <si>
    <t>0,0,1,0,0,1,0,0,0,1,0,0,1,0,0,0,1,0,0,1,0,1,0,0,0,0,0,1,0,0,1,0,0,1,0,0,0,1,0,0,1,0,0,0,1,0,0,1,0,1,0,0,0,1,0,0,0,0,1,0,0,1,0,0,0,0,1,0,0,0,0,1,0,0,0,1,0,0,0,1,0,1,0,0,0,0,1,0,1,0,0,0,0,1,0,0,0,0,1,1,0,0,0,1,0,0,1,0,0,0,1,0,0,1,0,0,0,1,0,0,1,0,1,0,0,0,1,0,0,0,0,1,0,0,1,0,0,0,0,1,0,0,0,0,1,0,</t>
  </si>
  <si>
    <t>0,0,1,0,0,1,0,0,0,1,0,0,1,0,0,0,1,0,0,1,0,1,0,0,0,0,0,1,0,0,1,0,0,1,0,0,0,1,0,0,1,0,0,0,1,0,0,1,0,1,0,0,0,1,0,0,0,0,1,0,0,1,0,0,0,0,1,0,0,0,0,1,0,0,0,1,0,0,0,1,0,1,0,0,0,0,1,0,1,0,0,0,0,1,0,0,0,0,1,1,0,0,0,0,1,0,1,0,0,0,1,0,0,1,0,0,0,1,0,0,1,0,1,0,0,0,1,0,0,0,0,1,0,0,1,0,0,0,0,1,0,0,0,0,1,0,</t>
  </si>
  <si>
    <t>0,0,1,0,0,1,0,0,0,1,0,0,1,0,0,0,1,0,0,1,0,1,0,0,0,0,0,1,0,0,1,0,0,1,0,0,0,1,0,0,1,0,0,0,1,0,0,1,0,1,0,0,0,1,0,0,0,0,1,0,0,1,0,0,0,0,1,0,0,0,0,1,0,0,0,1,0,0,0,1,0,1,0,0,0,0,1,0,1,0,0,0,0,1,0,0,0,0,1,1,0,0,0,0,0,1,1,0,0,0,1,0,0,1,0,0,0,1,0,0,1,0,1,0,0,0,1,0,0,0,0,1,0,0,1,0,0,0,0,1,0,0,0,0,1,0,</t>
  </si>
  <si>
    <t>0,0,1,0,0,1,0,0,0,1,0,0,1,0,0,0,1,0,0,1,0,1,0,0,0,0,0,1,0,0,1,0,0,1,0,0,0,1,0,0,1,0,0,0,1,0,0,1,0,1,0,0,0,1,0,0,0,0,1,0,0,1,0,0,0,0,1,0,0,0,0,1,0,0,0,1,0,0,0,1,0,1,0,0,0,0,1,0,1,0,0,0,0,1,0,0,0,0,1,1,0,1,0,0,0,0,1,0,0,0,1,0,0,1,0,0,0,1,0,0,1,0,1,0,0,0,1,0,0,0,0,1,0,0,1,0,0,0,0,1,0,0,0,0,1,0,</t>
  </si>
  <si>
    <t>0,0,1,0,0,1,0,0,0,1,0,0,1,0,0,0,1,0,0,1,0,1,0,0,0,0,0,1,0,0,1,0,0,1,0,0,0,1,0,0,1,0,0,0,1,0,0,1,0,1,0,0,0,1,0,0,0,0,1,0,0,1,0,0,0,0,1,0,0,0,0,1,0,0,0,1,0,0,0,1,0,1,0,0,0,0,1,0,1,0,0,0,0,1,0,0,0,0,1,1,0,0,1,0,0,0,1,0,0,0,1,0,0,1,0,0,0,1,0,0,1,0,1,0,0,0,1,0,0,0,0,1,0,0,1,0,0,0,0,1,0,0,0,0,1,0,</t>
  </si>
  <si>
    <t>0,0,1,0,0,1,0,0,0,1,0,0,1,0,0,0,1,0,0,1,0,1,0,0,0,0,0,1,0,0,1,0,0,1,0,0,0,1,0,0,1,0,0,0,1,0,0,1,0,1,0,0,0,1,0,0,0,0,1,0,0,1,0,0,0,0,1,0,0,0,0,1,0,0,0,1,0,0,0,1,0,1,0,0,0,0,1,0,1,0,0,0,0,1,0,0,0,0,1,1,0,0,1,0,0,0,0,1,0,0,1,0,0,1,0,0,0,1,0,0,1,0,1,0,0,0,1,0,0,0,0,1,0,0,1,0,0,0,0,1,0,0,0,0,1,0,</t>
  </si>
  <si>
    <t>0,0,1,0,0,1,0,0,0,1,0,0,1,0,0,0,1,0,0,1,0,1,0,0,0,0,0,1,0,0,1,0,0,1,0,0,0,1,0,0,1,0,0,0,1,0,0,1,0,1,0,0,0,1,0,0,0,0,1,0,0,1,0,0,0,0,1,0,0,0,0,1,0,0,0,1,0,0,0,1,0,1,0,0,0,0,1,0,1,0,0,0,0,1,0,0,0,0,1,1,0,0,1,0,0,0,0,1,0,0,0,1,0,1,0,0,0,1,0,0,1,0,1,0,0,0,1,0,0,0,0,1,0,0,1,0,0,0,0,1,0,0,0,0,1,0,</t>
  </si>
  <si>
    <t>0,0,1,0,0,1,0,0,0,1,0,0,1,0,0,0,1,0,0,1,0,1,0,0,0,0,0,1,0,0,1,0,0,1,0,0,0,1,0,0,1,0,0,0,1,0,0,1,0,1,0,0,0,1,0,0,0,0,1,0,0,1,0,0,0,0,1,0,0,0,0,1,0,0,0,1,0,0,0,1,0,1,0,0,0,0,1,0,1,0,0,0,0,1,0,0,0,0,1,1,0,0,1,0,0,0,0,1,0,0,0,0,1,1,0,0,0,1,0,0,1,0,1,0,0,0,1,0,0,0,0,1,0,0,1,0,0,0,0,1,0,0,0,0,1,0,</t>
  </si>
  <si>
    <t>0,0,1,0,0,1,0,0,0,1,0,0,1,0,0,0,1,0,0,1,0,1,0,0,0,0,0,1,0,0,1,0,0,1,0,0,0,1,0,0,1,0,0,0,1,0,0,1,0,1,0,0,0,1,0,0,0,0,1,0,0,1,0,0,0,0,1,0,0,0,0,1,0,0,0,1,0,0,0,1,0,1,0,0,0,0,1,0,1,0,0,0,0,1,0,0,0,0,1,1,0,0,1,0,0,0,0,1,1,0,0,0,0,1,0,0,0,1,0,0,1,0,1,0,0,0,1,0,0,0,0,1,0,0,1,0,0,0,0,1,0,0,0,0,1,0,</t>
  </si>
  <si>
    <t>0,0,1,0,0,1,0,0,0,1,0,0,1,0,0,0,1,0,0,1,0,1,0,0,0,0,0,1,0,0,1,0,0,1,0,0,0,1,0,0,1,0,0,0,1,0,0,1,0,1,0,0,0,1,0,0,0,0,1,0,0,1,0,0,0,0,1,0,0,0,0,1,0,0,0,1,0,0,0,1,0,1,0,0,0,0,1,0,1,0,0,0,0,1,0,0,0,0,1,1,0,0,1,0,0,0,0,1,0,1,0,0,0,1,0,0,0,1,0,0,1,0,1,0,0,0,1,0,0,0,0,1,0,0,1,0,0,0,0,1,0,0,0,0,1,0,</t>
  </si>
  <si>
    <t>0,0,1,0,0,1,0,0,0,1,0,0,1,0,0,0,1,0,0,1,0,1,0,0,0,0,0,1,0,0,1,0,0,1,0,0,0,1,0,0,1,0,0,0,1,0,0,1,0,1,0,0,0,1,0,0,0,0,1,0,0,1,0,0,0,0,1,0,0,0,0,1,0,0,0,1,0,0,0,1,0,1,0,0,0,0,1,0,1,0,0,0,0,1,0,0,0,0,1,1,0,0,1,0,0,0,0,1,0,1,0,0,0,0,1,0,0,1,0,0,1,0,1,0,0,0,1,0,0,0,0,1,0,0,1,0,0,0,0,1,0,0,0,0,1,0,</t>
  </si>
  <si>
    <t>0,0,1,0,0,1,0,0,0,1,0,0,1,0,0,0,1,0,0,1,0,1,0,0,0,0,0,1,0,0,1,0,0,1,0,0,0,1,0,0,1,0,0,0,1,0,0,1,0,1,0,0,0,1,0,0,0,0,1,0,0,1,0,0,0,0,1,0,0,0,0,1,0,0,0,1,0,0,0,1,0,1,0,0,0,0,1,0,1,0,0,0,0,1,0,0,0,0,1,1,0,0,1,0,0,0,0,1,0,1,0,0,0,0,1,0,0,0,1,0,1,0,1,0,0,0,1,0,0,0,0,1,0,0,1,0,0,0,0,1,0,0,0,0,1,0,</t>
  </si>
  <si>
    <t>0,0,1,0,0,1,0,0,0,1,0,0,1,0,0,0,1,0,0,1,0,1,0,0,0,0,0,1,0,0,1,0,0,1,0,0,0,1,0,0,1,0,0,0,1,0,0,1,0,1,0,0,0,1,0,0,0,0,1,0,0,1,0,0,0,0,1,0,0,0,0,1,0,0,0,1,0,0,0,1,0,1,0,0,0,0,1,0,1,0,0,0,0,1,0,0,0,0,1,1,0,0,1,0,0,0,0,1,0,1,0,0,0,0,1,0,0,0,0,1,1,0,1,0,0,0,1,0,0,0,0,1,0,0,1,0,0,0,0,1,0,0,0,0,1,0,</t>
  </si>
  <si>
    <t>0,0,1,0,0,1,0,0,0,1,0,0,1,0,0,0,1,0,0,1,0,1,0,0,0,0,0,1,0,0,1,0,0,1,0,0,0,1,0,0,1,0,0,0,1,0,0,1,0,1,0,0,0,1,0,0,0,0,1,0,0,1,0,0,0,0,1,0,0,0,0,1,0,0,0,1,0,0,0,1,0,1,0,0,0,0,1,0,1,0,0,0,0,1,0,0,0,0,1,1,0,0,1,0,0,0,0,1,0,1,0,0,0,0,1,1,0,0,0,0,1,0,1,0,0,0,1,0,0,0,0,1,0,0,1,0,0,0,0,1,0,0,0,0,1,0,</t>
  </si>
  <si>
    <t>0,0,1,0,0,1,0,0,0,1,0,0,1,0,0,0,1,0,0,1,0,1,0,0,0,0,0,1,0,0,1,0,0,1,0,0,0,1,0,0,1,0,0,0,1,0,0,1,0,1,0,0,0,1,0,0,0,0,1,0,0,1,0,0,0,0,1,0,0,0,0,1,0,0,0,1,0,0,0,1,0,1,0,0,0,0,1,0,1,0,0,0,0,1,0,0,0,0,1,1,0,0,1,0,0,0,0,1,0,1,0,0,0,0,1,0,1,0,0,0,1,0,1,0,0,0,1,0,0,0,0,1,0,0,1,0,0,0,0,1,0,0,0,0,1,0,</t>
  </si>
  <si>
    <t>0,0,1,0,0,1,0,0,0,1,0,0,1,0,0,0,1,0,0,1,0,1,0,0,0,0,0,1,0,0,1,0,0,1,0,0,0,1,0,0,1,0,0,0,1,0,0,1,0,1,0,0,0,1,0,0,0,0,1,0,0,1,0,0,0,0,1,0,0,0,0,1,0,0,0,1,0,0,0,1,0,1,0,0,0,0,1,0,1,0,0,0,0,1,0,0,0,0,1,1,0,0,1,0,0,0,0,1,0,1,0,0,0,0,1,0,1,0,0,0,0,1,1,0,0,0,1,0,0,0,0,1,0,0,1,0,0,0,0,1,0,0,0,0,1,0,</t>
  </si>
  <si>
    <t>0,0,1,0,0,1,0,0,0,1,0,0,1,0,0,0,1,0,0,1,0,1,0,0,0,0,0,1,0,0,1,0,0,1,0,0,0,1,0,0,1,0,0,0,1,0,0,1,0,1,0,0,0,1,0,0,0,0,1,0,0,1,0,0,0,0,1,0,0,0,0,1,0,0,0,1,0,0,0,1,0,1,0,0,0,0,1,0,1,0,0,0,0,1,0,0,0,0,1,1,0,0,1,0,0,0,0,1,0,1,0,0,0,0,1,0,1,0,0,0,0,1,0,1,0,0,1,0,0,0,0,1,0,0,1,0,0,0,0,1,0,0,0,0,1,0,</t>
  </si>
  <si>
    <t>0,0,1,0,0,1,0,0,0,1,0,0,1,0,0,0,1,0,0,1,0,1,0,0,0,0,0,1,0,0,1,0,0,1,0,0,0,1,0,0,1,0,0,0,1,0,0,1,0,1,0,0,0,1,0,0,0,0,1,0,0,1,0,0,0,0,1,0,0,0,0,1,0,0,0,1,0,0,0,1,0,1,0,0,0,0,1,0,1,0,0,0,0,1,0,0,0,0,1,1,0,0,1,0,0,0,0,1,0,1,0,0,0,0,1,0,1,0,0,0,0,1,0,1,0,0,0,1,0,0,0,1,0,0,1,0,0,0,0,1,0,0,0,0,1,0,</t>
  </si>
  <si>
    <t>0,0,1,0,0,1,0,0,0,1,0,0,1,0,0,0,1,0,0,1,0,1,0,0,0,0,0,1,0,0,1,0,0,1,0,0,0,1,0,0,1,0,0,0,1,0,0,1,0,1,0,0,0,1,0,0,0,0,1,0,0,1,0,0,0,0,1,0,0,0,0,1,0,0,0,1,0,0,0,1,0,1,0,0,0,0,1,0,1,0,0,0,0,1,0,0,0,0,1,1,0,0,1,0,0,0,0,1,0,1,0,0,0,0,1,0,1,0,0,0,0,1,0,1,0,0,0,0,1,0,0,1,0,0,1,0,0,0,0,1,0,0,0,0,1,0,</t>
  </si>
  <si>
    <t>0,0,1,0,0,1,0,0,0,1,0,0,1,0,0,0,1,0,0,1,0,1,0,0,0,0,0,1,0,0,1,0,0,1,0,0,0,1,0,0,1,0,0,0,1,0,0,1,0,1,0,0,0,1,0,0,0,0,1,0,0,1,0,0,0,0,1,0,0,0,0,1,0,0,0,1,0,0,0,1,0,1,0,0,0,0,1,0,1,0,0,0,0,1,0,0,0,0,1,1,0,0,1,0,0,0,0,1,0,1,0,0,0,0,1,0,1,0,0,0,0,1,0,1,1,0,0,0,0,0,0,1,0,0,1,0,0,0,0,1,0,0,0,0,1,0,</t>
  </si>
  <si>
    <t>0,0,1,0,0,1,0,0,0,1,0,0,1,0,0,0,1,0,0,1,0,1,0,0,0,0,0,1,0,0,1,0,0,1,0,0,0,1,0,0,1,0,0,0,1,0,0,1,0,1,0,0,0,1,0,0,0,0,1,0,0,1,0,0,0,0,1,0,0,0,0,1,0,0,0,1,0,0,0,1,0,1,0,0,0,0,1,0,1,0,0,0,0,1,0,0,0,0,1,1,0,0,1,0,0,0,0,1,0,1,0,0,0,0,1,0,1,0,0,0,0,1,0,1,0,1,0,0,0,0,0,1,0,0,1,0,0,0,0,1,0,0,0,0,1,0,</t>
  </si>
  <si>
    <t>0,0,1,0,0,1,0,0,0,1,0,0,1,0,0,0,1,0,0,1,0,1,0,0,0,0,0,1,0,0,1,0,0,1,0,0,0,1,0,0,1,0,0,0,1,0,0,1,0,1,0,0,0,1,0,0,0,0,1,0,0,1,0,0,0,0,1,0,0,0,0,1,0,0,0,1,0,0,0,1,0,1,0,0,0,0,1,0,1,0,0,0,0,1,0,0,0,0,1,1,0,0,1,0,0,0,0,1,0,1,0,0,0,0,1,0,1,0,0,0,0,1,0,1,0,1,0,0,0,0,0,0,1,0,1,0,0,0,0,1,0,0,0,0,1,0,</t>
  </si>
  <si>
    <t>0,0,1,0,0,1,0,0,0,1,0,0,1,0,0,0,1,0,0,1,0,1,0,0,0,0,0,1,0,0,1,0,0,1,0,0,0,1,0,0,1,0,0,0,1,0,0,1,0,1,0,0,0,1,0,0,0,0,1,0,0,1,0,0,0,0,1,0,0,0,0,1,0,0,0,1,0,0,0,1,0,1,0,0,0,0,1,0,1,0,0,0,0,1,0,0,0,0,1,1,0,0,1,0,0,0,0,1,0,1,0,0,0,0,1,0,1,0,0,0,0,1,0,1,0,1,0,0,0,0,0,0,0,1,1,0,0,0,0,1,0,0,0,0,1,0,</t>
  </si>
  <si>
    <t>0,0,1,0,0,1,0,0,0,1,0,0,1,0,0,0,1,0,0,1,0,1,0,0,0,0,0,1,0,0,1,0,0,1,0,0,0,1,0,0,1,0,0,0,1,0,0,1,0,1,0,0,0,1,0,0,0,0,1,0,0,1,0,0,0,0,1,0,0,0,0,1,0,0,0,1,0,0,0,1,0,1,0,0,0,0,1,0,1,0,0,0,0,1,0,0,0,0,1,1,0,0,1,0,0,0,0,1,0,1,0,0,0,0,1,0,1,0,0,0,0,1,0,1,0,1,0,0,0,1,0,0,0,0,1,0,0,0,0,1,0,0,0,0,1,0,</t>
  </si>
  <si>
    <t>0,0,1,0,0,1,0,0,0,1,0,0,1,0,0,0,1,0,0,1,0,1,0,0,0,0,0,1,0,0,1,0,0,1,0,0,0,1,0,0,1,0,0,0,1,0,0,1,0,1,0,0,0,1,0,0,0,0,1,0,0,1,0,0,0,0,1,0,0,0,0,1,0,0,0,1,0,0,0,1,0,1,0,0,0,0,1,0,1,0,0,0,0,1,0,0,0,0,1,1,0,0,1,0,0,0,0,1,0,1,0,0,0,0,1,0,1,0,0,0,0,1,0,1,0,1,0,0,0,0,1,0,0,0,1,0,0,0,0,1,0,0,0,0,1,0,</t>
  </si>
  <si>
    <t>0,0,1,0,0,1,0,0,0,1,0,0,1,0,0,0,1,0,0,1,0,1,0,0,0,0,0,1,0,0,1,0,0,1,0,0,0,1,0,0,1,0,0,0,1,0,0,1,0,1,0,0,0,1,0,0,0,0,1,0,0,1,0,0,0,0,1,0,0,0,0,1,0,0,0,1,0,0,0,1,0,1,0,0,0,0,1,0,1,0,0,0,0,1,0,0,0,0,1,1,0,0,1,0,0,0,0,1,0,1,0,0,0,0,1,0,1,0,0,0,0,1,0,1,0,1,0,0,0,0,1,0,0,0,0,1,0,0,0,1,0,0,0,0,1,0,</t>
  </si>
  <si>
    <t>0,0,1,0,0,1,0,0,0,1,0,0,1,0,0,0,1,0,0,1,0,1,0,0,0,0,0,1,0,0,1,0,0,1,0,0,0,1,0,0,1,0,0,0,1,0,0,1,0,1,0,0,0,1,0,0,0,0,1,0,0,1,0,0,0,0,1,0,0,0,0,1,0,0,0,1,0,0,0,1,0,1,0,0,0,0,1,0,1,0,0,0,0,1,0,0,0,0,1,1,0,0,1,0,0,0,0,1,0,1,0,0,0,0,1,0,1,0,0,0,0,1,0,1,0,1,0,0,0,0,1,0,0,0,0,0,1,0,0,1,0,0,0,0,1,0,</t>
  </si>
  <si>
    <t>0,0,1,0,0,1,0,0,0,1,0,0,1,0,0,0,1,0,0,1,0,1,0,0,0,0,0,1,0,0,1,0,0,1,0,0,0,1,0,0,1,0,0,0,1,0,0,1,0,1,0,0,0,1,0,0,0,0,1,0,0,1,0,0,0,0,1,0,0,0,0,1,0,0,0,1,0,0,0,1,0,1,0,0,0,0,1,0,1,0,0,0,0,1,0,0,0,0,1,1,0,0,1,0,0,0,0,1,0,1,0,0,0,0,1,0,1,0,0,0,0,1,0,1,0,1,0,0,0,0,1,0,0,0,0,0,0,1,0,1,0,0,0,0,1,0,</t>
  </si>
  <si>
    <t>0,0,1,0,0,1,0,0,0,1,0,0,1,0,0,0,1,0,0,1,0,1,0,0,0,0,0,1,0,0,1,0,0,1,0,0,0,1,0,0,1,0,0,0,1,0,0,1,0,1,0,0,0,1,0,0,0,0,1,0,0,1,0,0,0,0,1,0,0,0,0,1,0,0,0,1,0,0,0,1,0,1,0,0,0,0,1,0,1,0,0,0,0,1,0,0,0,0,1,1,0,0,1,0,0,0,0,1,0,1,0,0,0,0,1,0,1,0,0,0,0,1,0,1,0,1,0,0,0,0,1,0,0,0,0,0,0,1,0,0,1,0,0,0,1,0,</t>
  </si>
  <si>
    <t>0,0,1,0,0,1,0,0,0,1,0,0,1,0,0,0,1,0,0,1,0,1,0,0,0,0,0,1,0,0,1,0,0,1,0,0,0,1,0,0,1,0,0,0,1,0,0,1,0,1,0,0,0,1,0,0,0,0,1,0,0,1,0,0,0,0,1,0,0,0,0,1,0,0,0,1,0,0,0,1,0,1,0,0,0,0,1,0,1,0,0,0,0,1,0,0,0,0,1,1,0,0,1,0,0,0,0,1,0,1,0,0,0,0,1,0,1,0,0,0,0,1,0,1,0,1,0,0,0,0,1,0,0,0,0,0,0,1,0,0,0,1,0,0,1,0,</t>
  </si>
  <si>
    <t>0,0,1,0,0,1,0,0,0,1,0,0,1,0,0,0,1,0,0,1,0,1,0,0,0,0,0,1,0,0,1,0,0,1,0,0,0,1,0,0,1,0,0,0,1,0,0,1,0,1,0,0,0,1,0,0,0,0,1,0,0,1,0,0,0,0,1,0,0,0,0,1,0,0,0,1,0,0,0,1,0,1,0,0,0,0,1,0,1,0,0,0,0,1,0,0,0,0,1,1,0,0,1,0,0,0,0,1,0,1,0,0,0,0,1,0,1,0,0,0,0,1,0,1,0,1,0,0,0,0,1,0,0,0,0,0,0,1,1,0,0,0,0,0,1,0,</t>
  </si>
  <si>
    <t>0,0,1,0,0,1,0,0,0,1,0,0,1,0,0,0,1,0,0,1,0,1,0,0,0,0,0,1,0,0,1,0,0,1,0,0,0,1,0,0,1,0,0,0,1,0,0,1,0,1,0,0,0,1,0,0,0,0,1,0,0,1,0,0,0,0,1,0,0,0,0,1,0,0,0,1,0,0,0,1,0,1,0,0,0,0,1,0,1,0,0,0,0,1,0,0,0,0,1,1,0,0,1,0,0,0,0,1,0,1,0,0,0,0,1,0,1,0,0,0,0,1,0,1,0,1,0,0,0,0,1,0,0,0,0,0,0,1,1,0,0,0,0,0,0,1,</t>
  </si>
  <si>
    <t>0,0,1,0,0,1,0,0,0,1,0,0,1,0,0,0,1,0,0,1,0,1,0,0,0,0,0,1,0,0,1,0,0,1,0,0,0,1,0,0,1,0,0,0,1,0,0,1,0,1,0,0,0,1,0,0,0,0,1,0,0,1,0,0,0,0,1,0,0,0,0,1,0,0,0,1,0,0,0,1,0,1,0,0,0,0,1,0,1,0,0,0,0,1,0,0,0,0,1,1,0,0,1,0,0,0,0,1,0,1,0,0,0,0,1,0,1,0,0,0,0,1,0,1,0,1,0,0,0,0,1,0,0,0,0,0,0,1,1,0,0,0,1,0,0,0,</t>
  </si>
  <si>
    <t>0,0,1,0,0,1,0,0,0,1,0,0,1,0,0,0,1,0,0,1,0,1,0,0,0,0,0,1,0,0,1,0,0,1,0,0,0,1,0,0,1,0,0,0,1,0,0,1,0,1,0,0,0,1,0,0,0,0,1,0,0,1,0,0,0,0,1,0,0,0,0,1,0,0,0,1,0,0,0,1,0,1,0,0,0,0,1,0,1,0,0,0,0,1,0,0,0,0,1,1,0,0,1,0,0,0,0,1,0,1,0,0,0,0,1,0,1,0,0,0,0,1,0,1,0,1,0,0,0,0,1,0,0,0,0,0,0,1,1,0,0,0,0,1,0,0,</t>
  </si>
  <si>
    <t>0,0,1,0,0,1,0,0,0,1,0,0,1,0,0,0,1,0,0,1,0,1,0,0,0,0,0,1,0,0,1,0,0,1,0,0,0,1,0,0,1,0,0,0,1,0,0,1,0,1,0,0,0,1,0,0,0,0,1,0,0,1,0,0,0,0,1,0,0,0,0,1,0,0,0,0,1,0,0,1,0,1,0,0,0,0,1,0,0,0,1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</si>
  <si>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0,0,0,0,1,0,1,0,1,0,0,0,0,1,0,0,0,1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</si>
  <si>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1,0,0,0,0,0,1,0,1,0,0,0,0,1,0,0,0,1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</si>
  <si>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1,0,0,0,0,1,0,0,1,0,0,0,0,1,0,0,0,1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</si>
  <si>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1,0,0,0,0,1,0,0,0,1,0,0,0,1,0,0,0,1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</si>
  <si>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1,0,0,0,0,1,0,0,0,0,1,0,0,1,0,0,0,1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</si>
  <si>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1,0,0,0,0,1,0,0,0,0,0,1,0,1,0,0,0,1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</si>
  <si>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0,1,0,0,0,1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</si>
  <si>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0,0,0,1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</si>
  <si>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0,0,0,0,1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</si>
  <si>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1,0,0,0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</si>
  <si>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0,1,0,0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</si>
  <si>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0,0,1,0,0,1,0,1,0,0,0,0,0,1,0,0,1,0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</si>
  <si>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0,0,1,0,0,0,1,1,0,0,0,0,0,1,0,0,1,0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</si>
  <si>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0,0,1,0,0,0,1,0,1,0,0,0,0,1,0,0,1,0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</si>
  <si>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0,0,1,0,0,0,1,0,0,1,0,0,0,1,0,0,1,0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</si>
  <si>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0,0,1,0,0,0,1,0,0,0,1,0,0,1,0,0,1,0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</si>
  <si>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0,0,1,0,0,0,1,0,0,0,0,1,0,1,0,0,1,0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</si>
  <si>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0,0,1,0,0,0,1,0,0,0,0,1,1,0,0,0,1,0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</si>
  <si>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0,0,1,0,0,0,1,0,0,0,0,1,1,0,0,0,0,1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</si>
  <si>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0,0,1,0,0,0,1,0,0,0,0,1,1,0,0,0,0,0,1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</si>
  <si>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0,0,1,0,0,0,1,0,0,0,0,1,1,0,1,0,0,0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</si>
  <si>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0,0,1,0,0,0,1,0,0,0,0,1,1,0,0,1,0,0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</si>
  <si>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0,0,1,0,0,0,1,0,0,0,0,1,1,0,0,1,0,0,0,0,1,0,0,1,0,0,1,0,0,0,1,0,0,1,0,1,0,0,0,1,0,0,0,0,1,0,0,1,0,0,0,0,1,0,0,0,0,1,0,</t>
  </si>
  <si>
    <t>0,0,1,0,0,1,0,0,0,1,0,0,1,0,0,0,1,0,0,1,0,1,0,0,0,0,0,1,0,0,1,0,0,1,0,0,0,1,0,0,1,0,0,0,1,0,0,1,0,1,0,0,0,1,0,0,0,0,1,0,0,1,0,0,0,0,1,0,0,0,0,1,0,1,0,0,0,0,1,0,1,0,0,0,0,1,0,0,0,1,0,0,0,1,0,0,0,0,1,1,0,0,1,0,0,0,0,1,0,0,0,1,0,1,0,0,0,1,0,0,1,0,1,0,0,0,1,0,0,0,0,1,0,0,1,0,0,0,0,1,0,0,0,0,1,0,</t>
  </si>
  <si>
    <t>0,0,1,0,0,1,0,0,0,1,0,0,1,0,0,0,1,0,0,1,0,1,0,0,0,0,0,1,0,0,1,0,0,1,0,0,0,1,0,0,1,0,0,0,1,0,0,1,0,1,0,0,0,1,0,0,0,0,1,0,0,1,0,0,0,0,1,0,0,0,0,1,0,1,0,0,0,0,1,0,1,0,0,0,0,1,0,0,0,1,0,0,0,1,0,0,0,0,1,1,0,0,1,0,0,0,0,1,0,0,0,0,1,1,0,0,0,1,0,0,1,0,1,0,0,0,1,0,0,0,0,1,0,0,1,0,0,0,0,1,0,0,0,0,1,0,</t>
  </si>
  <si>
    <t>0,0,1,0,0,1,0,0,0,1,0,0,1,0,0,0,1,0,0,1,0,1,0,0,0,0,0,1,0,0,1,0,0,1,0,0,0,1,0,0,1,0,0,0,1,0,0,1,0,1,0,0,0,1,0,0,0,0,1,0,0,1,0,0,0,0,1,0,0,0,0,1,0,1,0,0,0,0,1,0,1,0,0,0,0,1,0,0,0,1,0,0,0,1,0,0,0,0,1,1,0,0,1,0,0,0,0,1,1,0,0,0,0,1,0,0,0,1,0,0,1,0,1,0,0,0,1,0,0,0,0,1,0,0,1,0,0,0,0,1,0,0,0,0,1,0,</t>
  </si>
  <si>
    <t>0,0,1,0,0,1,0,0,0,1,0,0,1,0,0,0,1,0,0,1,0,1,0,0,0,0,0,1,0,0,1,0,0,1,0,0,0,1,0,0,1,0,0,0,1,0,0,1,0,1,0,0,0,1,0,0,0,0,1,0,0,1,0,0,0,0,1,0,0,0,0,1,0,1,0,0,0,0,1,0,1,0,0,0,0,1,0,0,0,1,0,0,0,1,0,0,0,0,1,1,0,0,1,0,0,0,0,1,0,1,0,0,0,1,0,0,0,1,0,0,1,0,1,0,0,0,1,0,0,0,0,1,0,0,1,0,0,0,0,1,0,0,0,0,1,0,</t>
  </si>
  <si>
    <t>0,0,1,0,0,1,0,0,0,1,0,0,1,0,0,0,1,0,0,1,0,1,0,0,0,0,0,1,0,0,1,0,0,1,0,0,0,1,0,0,1,0,0,0,1,0,0,1,0,1,0,0,0,1,0,0,0,0,1,0,0,1,0,0,0,0,1,0,0,0,0,1,0,1,0,0,0,0,1,0,1,0,0,0,0,1,0,0,0,1,0,0,0,1,0,0,0,0,1,1,0,0,1,0,0,0,0,1,0,1,0,0,0,0,1,0,0,1,0,0,1,0,1,0,0,0,1,0,0,0,0,1,0,0,1,0,0,0,0,1,0,0,0,0,1,0,</t>
  </si>
  <si>
    <t>0,0,1,0,0,1,0,0,0,1,0,0,1,0,0,0,1,0,0,1,0,1,0,0,0,0,0,1,0,0,1,0,0,1,0,0,0,1,0,0,1,0,0,0,1,0,0,1,0,1,0,0,0,1,0,0,0,0,1,0,0,1,0,0,0,0,1,0,0,0,0,1,0,1,0,0,0,0,1,0,1,0,0,0,0,1,0,0,0,1,0,0,0,1,0,0,0,0,1,1,0,0,1,0,0,0,0,1,0,1,0,0,0,0,1,0,0,0,1,0,1,0,1,0,0,0,1,0,0,0,0,1,0,0,1,0,0,0,0,1,0,0,0,0,1,0,</t>
  </si>
  <si>
    <t>0,0,1,0,0,1,0,0,0,1,0,0,1,0,0,0,1,0,0,1,0,1,0,0,0,0,0,1,0,0,1,0,0,1,0,0,0,1,0,0,1,0,0,0,1,0,0,1,0,1,0,0,0,1,0,0,0,0,1,0,0,1,0,0,0,0,1,0,0,0,0,1,0,1,0,0,0,0,1,0,1,0,0,0,0,1,0,0,0,1,0,0,0,1,0,0,0,0,1,1,0,0,1,0,0,0,0,1,0,1,0,0,0,0,1,0,0,0,0,1,1,0,1,0,0,0,1,0,0,0,0,1,0,0,1,0,0,0,0,1,0,0,0,0,1,0,</t>
  </si>
  <si>
    <t>0,0,1,0,0,1,0,0,0,1,0,0,1,0,0,0,1,0,0,1,0,1,0,0,0,0,0,1,0,0,1,0,0,1,0,0,0,1,0,0,1,0,0,0,1,0,0,1,0,1,0,0,0,1,0,0,0,0,1,0,0,1,0,0,0,0,1,0,0,0,0,1,0,1,0,0,0,0,1,0,1,0,0,0,0,1,0,0,0,1,0,0,0,1,0,0,0,0,1,1,0,0,1,0,0,0,0,1,0,1,0,0,0,0,1,1,0,0,0,0,1,0,1,0,0,0,1,0,0,0,0,1,0,0,1,0,0,0,0,1,0,0,0,0,1,0,</t>
  </si>
  <si>
    <t>0,0,1,0,0,1,0,0,0,1,0,0,1,0,0,0,1,0,0,1,0,1,0,0,0,0,0,1,0,0,1,0,0,1,0,0,0,1,0,0,1,0,0,0,1,0,0,1,0,1,0,0,0,1,0,0,0,0,1,0,0,1,0,0,0,0,1,0,0,0,0,1,0,1,0,0,0,0,1,0,1,0,0,0,0,1,0,0,0,1,0,0,0,1,0,0,0,0,1,1,0,0,1,0,0,0,0,1,0,1,0,0,0,0,1,0,1,0,0,0,1,0,1,0,0,0,1,0,0,0,0,1,0,0,1,0,0,0,0,1,0,0,0,0,1,0,</t>
  </si>
  <si>
    <t>0,0,1,0,0,1,0,0,0,1,0,0,1,0,0,0,1,0,0,1,0,1,0,0,0,0,0,1,0,0,1,0,0,1,0,0,0,1,0,0,1,0,0,0,1,0,0,1,0,1,0,0,0,1,0,0,0,0,1,0,0,1,0,0,0,0,1,0,0,0,0,1,0,1,0,0,0,0,1,0,1,0,0,0,0,1,0,0,0,1,0,0,0,1,0,0,0,0,1,1,0,0,1,0,0,0,0,1,0,1,0,0,0,0,1,0,1,0,0,0,0,1,1,0,0,0,1,0,0,0,0,1,0,0,1,0,0,0,0,1,0,0,0,0,1,0,</t>
  </si>
  <si>
    <t>0,0,1,0,0,1,0,0,0,1,0,0,1,0,0,0,1,0,0,1,0,1,0,0,0,0,0,1,0,0,1,0,0,1,0,0,0,1,0,0,1,0,0,0,1,0,0,1,0,1,0,0,0,1,0,0,0,0,1,0,0,1,0,0,0,0,1,0,0,0,0,1,0,1,0,0,0,0,1,0,1,0,0,0,0,1,0,0,0,1,0,0,0,1,0,0,0,0,1,1,0,0,1,0,0,0,0,1,0,1,0,0,0,0,1,0,1,0,0,0,0,1,0,1,0,0,1,0,0,0,0,1,0,0,1,0,0,0,0,1,0,0,0,0,1,0,</t>
  </si>
  <si>
    <t>0,0,1,0,0,1,0,0,0,1,0,0,1,0,0,0,1,0,0,1,0,1,0,0,0,0,0,1,0,0,1,0,0,1,0,0,0,1,0,0,1,0,0,0,1,0,0,1,0,1,0,0,0,1,0,0,0,0,1,0,0,1,0,0,0,0,1,0,0,0,0,1,0,1,0,0,0,0,1,0,1,0,0,0,0,1,0,0,0,1,0,0,0,1,0,0,0,0,1,1,0,0,1,0,0,0,0,1,0,1,0,0,0,0,1,0,1,0,0,0,0,1,0,1,0,0,0,1,0,0,0,1,0,0,1,0,0,0,0,1,0,0,0,0,1,0,</t>
  </si>
  <si>
    <t>0,0,1,0,0,1,0,0,0,1,0,0,1,0,0,0,1,0,0,1,0,1,0,0,0,0,0,1,0,0,1,0,0,1,0,0,0,1,0,0,1,0,0,0,1,0,0,1,0,1,0,0,0,1,0,0,0,0,1,0,0,1,0,0,0,0,1,0,0,0,0,1,0,1,0,0,0,0,1,0,1,0,0,0,0,1,0,0,0,1,0,0,0,1,0,0,0,0,1,1,0,0,1,0,0,0,0,1,0,1,0,0,0,0,1,0,1,0,0,0,0,1,0,1,0,0,0,0,1,0,0,1,0,0,1,0,0,0,0,1,0,0,0,0,1,0,</t>
  </si>
  <si>
    <t>0,0,1,0,0,1,0,0,0,1,0,0,1,0,0,0,1,0,0,1,0,1,0,0,0,0,0,1,0,0,1,0,0,1,0,0,0,1,0,0,1,0,0,0,1,0,0,1,0,1,0,0,0,1,0,0,0,0,1,0,0,1,0,0,0,0,1,0,0,0,0,1,0,1,0,0,0,0,1,0,1,0,0,0,0,1,0,0,0,1,0,0,0,1,0,0,0,0,1,1,0,0,1,0,0,0,0,1,0,1,0,0,0,0,1,0,1,0,0,0,0,1,0,1,1,0,0,0,0,0,0,1,0,0,1,0,0,0,0,1,0,0,0,0,1,0,</t>
  </si>
  <si>
    <t>0,0,1,0,0,1,0,0,0,1,0,0,1,0,0,0,1,0,0,1,0,1,0,0,0,0,0,1,0,0,1,0,0,1,0,0,0,1,0,0,1,0,0,0,1,0,0,1,0,1,0,0,0,1,0,0,0,0,1,0,0,1,0,0,0,0,1,0,0,0,0,1,0,1,0,0,0,0,1,0,1,0,0,0,0,1,0,0,0,1,0,0,0,1,0,0,0,0,1,1,0,0,1,0,0,0,0,1,0,1,0,0,0,0,1,0,1,0,0,0,0,1,0,1,0,1,0,0,0,0,0,1,0,0,1,0,0,0,0,1,0,0,0,0,1,0,</t>
  </si>
  <si>
    <t>0,0,1,0,0,1,0,0,0,1,0,0,1,0,0,0,1,0,0,1,0,1,0,0,0,0,0,1,0,0,1,0,0,1,0,0,0,1,0,0,1,0,0,0,1,0,0,1,0,1,0,0,0,1,0,0,0,0,1,0,0,1,0,0,0,0,1,0,0,0,0,1,0,1,0,0,0,0,1,0,1,0,0,0,0,1,0,0,0,1,0,0,0,1,0,0,0,0,1,1,0,0,1,0,0,0,0,1,0,1,0,0,0,0,1,0,1,0,0,0,0,1,0,1,0,1,0,0,0,0,0,0,1,0,1,0,0,0,0,1,0,0,0,0,1,0,</t>
  </si>
  <si>
    <t>0,0,1,0,0,1,0,0,0,1,0,0,1,0,0,0,1,0,0,1,0,1,0,0,0,0,0,1,0,0,1,0,0,1,0,0,0,1,0,0,1,0,0,0,1,0,0,1,0,1,0,0,0,1,0,0,0,0,1,0,0,1,0,0,0,0,1,0,0,0,0,1,0,1,0,0,0,0,1,0,1,0,0,0,0,1,0,0,0,1,0,0,0,1,0,0,0,0,1,1,0,0,1,0,0,0,0,1,0,1,0,0,0,0,1,0,1,0,0,0,0,1,0,1,0,1,0,0,0,0,0,0,0,1,1,0,0,0,0,1,0,0,0,0,1,0,</t>
  </si>
  <si>
    <t>0,0,1,0,0,1,0,0,0,1,0,0,1,0,0,0,1,0,0,1,0,1,0,0,0,0,0,1,0,0,1,0,0,1,0,0,0,1,0,0,1,0,0,0,1,0,0,1,0,1,0,0,0,1,0,0,0,0,1,0,0,1,0,0,0,0,1,0,0,0,0,1,0,1,0,0,0,0,1,0,1,0,0,0,0,1,0,0,0,1,0,0,0,1,0,0,0,0,1,1,0,0,1,0,0,0,0,1,0,1,0,0,0,0,1,0,1,0,0,0,0,1,0,1,0,1,0,0,0,1,0,0,0,0,1,0,0,0,0,1,0,0,0,0,1,0,</t>
  </si>
  <si>
    <t>0,0,1,0,0,1,0,0,0,1,0,0,1,0,0,0,1,0,0,1,0,1,0,0,0,0,0,1,0,0,1,0,0,1,0,0,0,1,0,0,1,0,0,0,1,0,0,1,0,1,0,0,0,1,0,0,0,0,1,0,0,1,0,0,0,0,1,0,0,0,0,1,0,1,0,0,0,0,1,0,1,0,0,0,0,1,0,0,0,1,0,0,0,1,0,0,0,0,1,1,0,0,1,0,0,0,0,1,0,1,0,0,0,0,1,0,1,0,0,0,0,1,0,1,0,1,0,0,0,0,1,0,0,0,1,0,0,0,0,1,0,0,0,0,1,0,</t>
  </si>
  <si>
    <t>0,0,1,0,0,1,0,0,0,1,0,0,1,0,0,0,1,0,0,1,0,1,0,0,0,0,0,1,0,0,1,0,0,1,0,0,0,1,0,0,1,0,0,0,1,0,0,1,0,1,0,0,0,1,0,0,0,0,1,0,0,1,0,0,0,0,1,0,0,0,0,1,0,1,0,0,0,0,1,0,1,0,0,0,0,1,0,0,0,1,0,0,0,1,0,0,0,0,1,1,0,0,1,0,0,0,0,1,0,1,0,0,0,0,1,0,1,0,0,0,0,1,0,1,0,1,0,0,0,0,1,0,0,0,0,1,0,0,0,1,0,0,0,0,1,0,</t>
  </si>
  <si>
    <t>0,0,1,0,0,1,0,0,0,1,0,0,1,0,0,0,1,0,0,1,0,1,0,0,0,0,0,1,0,0,1,0,0,1,0,0,0,1,0,0,1,0,0,0,1,0,0,1,0,1,0,0,0,1,0,0,0,0,1,0,0,1,0,0,0,0,1,0,0,0,0,1,0,1,0,0,0,0,1,0,1,0,0,0,0,1,0,0,0,1,0,0,0,1,0,0,0,0,1,1,0,0,1,0,0,0,0,1,0,1,0,0,0,0,1,0,1,0,0,0,0,1,0,1,0,1,0,0,0,0,1,0,0,0,0,0,1,0,0,1,0,0,0,0,1,0,</t>
  </si>
  <si>
    <t>0,0,1,0,0,1,0,0,0,1,0,0,1,0,0,0,1,0,0,1,0,1,0,0,0,0,0,1,0,0,1,0,0,1,0,0,0,1,0,0,1,0,0,0,1,0,0,1,0,1,0,0,0,1,0,0,0,0,1,0,0,1,0,0,0,0,1,0,0,0,0,1,0,1,0,0,0,0,1,0,1,0,0,0,0,1,0,0,0,1,0,0,0,1,0,0,0,0,1,1,0,0,1,0,0,0,0,1,0,1,0,0,0,0,1,0,1,0,0,0,0,1,0,1,0,1,0,0,0,0,1,0,0,0,0,0,0,1,0,1,0,0,0,0,1,0,</t>
  </si>
  <si>
    <t>0,0,1,0,0,1,0,0,0,1,0,0,1,0,0,0,1,0,0,1,0,1,0,0,0,0,0,1,0,0,1,0,0,1,0,0,0,1,0,0,1,0,0,0,1,0,0,1,0,1,0,0,0,1,0,0,0,0,1,0,0,1,0,0,0,0,1,0,0,0,0,1,0,1,0,0,0,0,1,0,1,0,0,0,0,1,0,0,0,1,0,0,0,1,0,0,0,0,1,1,0,0,1,0,0,0,0,1,0,1,0,0,0,0,1,0,1,0,0,0,0,1,0,1,0,1,0,0,0,0,1,0,0,0,0,0,0,1,0,0,1,0,0,0,1,0,</t>
  </si>
  <si>
    <t>0,0,1,0,0,1,0,0,0,1,0,0,1,0,0,0,1,0,0,1,0,1,0,0,0,0,0,1,0,0,1,0,0,1,0,0,0,1,0,0,1,0,0,0,1,0,0,1,0,1,0,0,0,1,0,0,0,0,1,0,0,1,0,0,0,0,1,0,0,0,0,1,0,1,0,0,0,0,1,0,1,0,0,0,0,1,0,0,0,1,0,0,0,1,0,0,0,0,1,1,0,0,1,0,0,0,0,1,0,1,0,0,0,0,1,0,1,0,0,0,0,1,0,1,0,1,0,0,0,0,1,0,0,0,0,0,0,1,0,0,0,1,0,0,1,0,</t>
  </si>
  <si>
    <t>0,0,1,0,0,1,0,0,0,1,0,0,1,0,0,0,1,0,0,1,0,1,0,0,0,0,0,1,0,0,1,0,0,1,0,0,0,1,0,0,1,0,0,0,1,0,0,1,0,1,0,0,0,1,0,0,0,0,1,0,0,1,0,0,0,0,1,0,0,0,0,1,0,1,0,0,0,0,1,0,1,0,0,0,0,1,0,0,0,1,0,0,0,1,0,0,0,0,1,1,0,0,1,0,0,0,0,1,0,1,0,0,0,0,1,0,1,0,0,0,0,1,0,1,0,1,0,0,0,0,1,0,0,0,0,0,0,1,1,0,0,0,0,0,1,0,</t>
  </si>
  <si>
    <t>0,0,1,0,0,1,0,0,0,1,0,0,1,0,0,0,1,0,0,1,0,1,0,0,0,0,0,1,0,0,1,0,0,1,0,0,0,1,0,0,1,0,0,0,1,0,0,1,0,1,0,0,0,1,0,0,0,0,1,0,0,1,0,0,0,0,1,0,0,0,0,1,0,1,0,0,0,0,1,0,1,0,0,0,0,1,0,0,0,1,0,0,0,1,0,0,0,0,1,1,0,0,1,0,0,0,0,1,0,1,0,0,0,0,1,0,1,0,0,0,0,1,0,1,0,1,0,0,0,0,1,0,0,0,0,0,0,1,1,0,0,0,0,0,0,1,</t>
  </si>
  <si>
    <t>0,0,1,0,0,1,0,0,0,1,0,0,1,0,0,0,1,0,0,1,0,1,0,0,0,0,0,1,0,0,1,0,0,1,0,0,0,1,0,0,1,0,0,0,1,0,0,1,0,1,0,0,0,1,0,0,0,0,1,0,0,1,0,0,0,0,1,0,0,0,0,1,0,1,0,0,0,0,1,0,1,0,0,0,0,1,0,0,0,1,0,0,0,1,0,0,0,0,1,1,0,0,1,0,0,0,0,1,0,1,0,0,0,0,1,0,1,0,0,0,0,1,0,1,0,1,0,0,0,0,1,0,0,0,0,0,0,1,1,0,0,0,1,0,0,0,</t>
  </si>
  <si>
    <t>0,0,1,0,0,1,0,0,0,1,0,0,1,0,0,0,1,0,0,1,0,1,0,0,0,0,0,1,0,0,1,0,0,1,0,0,0,1,0,0,1,0,0,0,1,0,0,1,0,1,0,0,0,1,0,0,0,0,1,0,0,1,0,0,0,0,1,0,0,0,0,1,0,1,0,0,0,0,1,0,1,0,0,0,0,1,0,0,0,1,0,0,0,1,0,0,0,0,1,1,0,0,1,0,0,0,0,1,0,1,0,0,0,0,1,0,1,0,0,0,0,1,0,1,0,1,0,0,0,0,1,0,0,0,0,0,0,1,1,0,0,0,0,1,0,0,</t>
  </si>
  <si>
    <t>0,0,1,0,0,1,0,0,0,1,0,0,1,0,0,0,1,0,0,1,0,1,0,0,0,0,0,1,0,0,1,0,0,1,0,0,0,1,0,0,1,0,0,0,1,0,0,1,0,1,0,0,0,1,0,0,0,0,1,0,0,1,0,0,0,0,1,0,0,0,0,1,0,0,0,0,1,0,0,1,0,1,0,0,0,0,1,0,1,0,0,0,0,1,0,0,0,0,1,1,0,0,0,0,1,0,1,0,0,0,1,0,0,1,0,0,0,1,0,0,1,0,1,0,0,0,1,0,0,0,0,1,0,0,1,0,0,0,0,1,0,0,0,0,1,0,</t>
  </si>
  <si>
    <t>0,0,1,0,0,1,0,0,0,1,0,0,1,0,0,0,1,0,0,1,0,1,0,0,0,0,0,1,0,0,1,0,0,1,0,0,0,1,0,0,1,0,0,0,1,0,0,1,0,1,0,0,0,1,0,0,0,0,1,0,0,1,0,0,0,0,1,0,0,0,0,1,0,0,0,0,0,1,0,1,0,1,0,0,0,0,1,0,1,0,0,0,0,1,0,0,0,0,1,1,0,0,0,0,1,0,1,0,0,0,1,0,0,1,0,0,0,1,0,0,1,0,1,0,0,0,1,0,0,0,0,1,0,0,1,0,0,0,0,1,0,0,0,0,1,0,</t>
  </si>
  <si>
    <t>0,0,1,0,0,1,0,0,0,1,0,0,1,0,0,0,1,0,0,1,0,1,0,0,0,0,0,1,0,0,1,0,0,1,0,0,0,1,0,0,1,0,0,0,1,0,0,1,0,1,0,0,0,1,0,0,0,0,1,0,0,1,0,0,0,0,1,0,0,0,0,1,0,1,0,0,0,0,0,1,0,1,0,0,0,0,1,0,1,0,0,0,0,1,0,0,0,0,1,1,0,0,0,0,1,0,1,0,0,0,1,0,0,1,0,0,0,1,0,0,1,0,1,0,0,0,1,0,0,0,0,1,0,0,1,0,0,0,0,1,0,0,0,0,1,0,</t>
  </si>
  <si>
    <t>0,0,1,0,0,1,0,0,0,1,0,0,1,0,0,0,1,0,0,1,0,1,0,0,0,0,0,1,0,0,1,0,0,1,0,0,0,1,0,0,1,0,0,0,1,0,0,1,0,1,0,0,0,1,0,0,0,0,1,0,0,1,0,0,0,0,1,0,0,0,0,1,0,1,0,0,0,0,1,0,0,1,0,0,0,0,1,0,1,0,0,0,0,1,0,0,0,0,1,1,0,0,0,0,1,0,1,0,0,0,1,0,0,1,0,0,0,1,0,0,1,0,1,0,0,0,1,0,0,0,0,1,0,0,1,0,0,0,0,1,0,0,0,0,1,0,</t>
  </si>
  <si>
    <t>0,0,1,0,0,1,0,0,0,1,0,0,1,0,0,0,1,0,0,1,0,1,0,0,0,0,0,1,0,0,1,0,0,1,0,0,0,1,0,0,1,0,0,0,1,0,0,1,0,1,0,0,0,1,0,0,0,0,1,0,0,1,0,0,0,0,1,0,0,0,0,1,0,1,0,0,0,0,1,0,0,0,1,0,0,0,1,0,1,0,0,0,0,1,0,0,0,0,1,1,0,0,0,0,1,0,1,0,0,0,1,0,0,1,0,0,0,1,0,0,1,0,1,0,0,0,1,0,0,0,0,1,0,0,1,0,0,0,0,1,0,0,0,0,1,0,</t>
  </si>
  <si>
    <t>0,0,1,0,0,1,0,0,0,1,0,0,1,0,0,0,1,0,0,1,0,1,0,0,0,0,0,1,0,0,1,0,0,1,0,0,0,1,0,0,1,0,0,0,1,0,0,1,0,1,0,0,0,1,0,0,0,0,1,0,0,1,0,0,0,0,1,0,0,0,0,1,0,1,0,0,0,0,1,0,0,0,0,1,0,0,1,0,1,0,0,0,0,1,0,0,0,0,1,1,0,0,0,0,1,0,1,0,0,0,1,0,0,1,0,0,0,1,0,0,1,0,1,0,0,0,1,0,0,0,0,1,0,0,1,0,0,0,0,1,0,0,0,0,1,0,</t>
  </si>
  <si>
    <t>0,0,1,0,0,1,0,0,0,1,0,0,1,0,0,0,1,0,0,1,0,1,0,0,0,0,0,1,0,0,1,0,0,1,0,0,0,1,0,0,1,0,0,0,1,0,0,1,0,1,0,0,0,1,0,0,0,0,1,0,0,1,0,0,0,0,1,0,0,0,0,1,0,1,0,0,0,0,1,0,0,0,0,0,1,0,1,0,1,0,0,0,0,1,0,0,0,0,1,1,0,0,0,0,1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</si>
  <si>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0,1,0,1,0,0,0,0,1,0,0,0,0,1,1,0,0,0,0,1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</si>
  <si>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0,1,0,0,0,0,1,0,0,0,0,1,1,0,0,0,0,1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</si>
  <si>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0,0,0,1,0,0,1,0,0,0,0,1,1,0,0,0,0,1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</si>
  <si>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0,0,0,0,1,0,1,0,0,0,0,1,1,0,0,0,0,1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</si>
  <si>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1,0,0,0,0,0,1,0,0,0,0,1,1,0,0,0,0,1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</si>
  <si>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1,0,0,0,0,1,0,0,0,0,0,1,1,0,0,0,0,1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</si>
  <si>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1,0,0,0,0,1,0,1,0,0,0,0,1,0,0,0,0,1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</si>
  <si>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1,0,0,0,0,1,0,0,1,0,0,0,1,0,0,0,0,1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</si>
  <si>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1,0,0,0,0,1,0,0,0,1,0,0,1,0,0,0,0,1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</si>
  <si>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1,0,0,0,0,1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</si>
  <si>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0,0,0,1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</si>
  <si>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0,0,0,0,1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</si>
  <si>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1,0,0,0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</si>
  <si>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0,1,0,0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</si>
  <si>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0,0,1,0,0,1,0,0,0,1,0,0,1,0,0,0,1,0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</si>
  <si>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0,0,1,0,0,0,1,0,0,1,0,0,1,0,0,0,1,0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</si>
  <si>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0,0,1,0,0,0,1,0,0,0,1,0,1,0,0,0,1,0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</si>
  <si>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0,0,1,0,0,0,1,0,0,0,0,1,1,0,0,0,1,0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</si>
  <si>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0,0,1,0,0,0,1,1,0,0,0,0,1,0,0,0,1,0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</si>
  <si>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0,0,1,0,0,0,1,0,1,0,0,0,1,0,0,0,1,0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</si>
  <si>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0,0,1,0,0,0,1,0,1,0,0,0,0,1,0,0,1,0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</si>
  <si>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0,0,1,0,0,0,1,0,1,0,0,0,0,1,0,0,0,1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</si>
  <si>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0,0,1,0,0,0,1,0,1,0,0,0,0,1,0,0,0,0,1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</si>
  <si>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0,0,1,0,0,0,1,0,1,0,0,0,0,1,1,0,0,0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</si>
  <si>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0,0,1,0,0,0,1,0,1,0,0,0,0,1,0,1,0,0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</si>
  <si>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0,0,1,0,0,0,1,0,1,0,0,0,0,1,0,1,0,0,0,0,1,1,0,0,0,1,0,0,0,0,1,0,0,1,0,0,0,0,1,0,0,0,0,1,0,</t>
  </si>
  <si>
    <t>0,0,1,0,0,1,0,0,0,1,0,0,1,0,0,0,1,0,0,1,0,1,0,0,0,0,0,1,0,0,1,0,0,1,0,0,0,1,0,0,1,0,0,0,1,0,0,1,0,1,0,0,0,1,0,0,0,0,1,0,0,1,0,0,0,0,1,0,0,0,0,1,0,1,0,0,0,0,1,0,1,0,0,0,0,1,0,1,0,0,0,0,1,0,0,0,0,1,0,0,1,0,0,1,0,0,0,1,0,1,0,0,0,0,1,0,1,0,0,0,0,1,0,1,0,0,1,0,0,0,0,1,0,0,1,0,0,0,0,1,0,0,0,0,1,0,</t>
  </si>
  <si>
    <t>0,0,1,0,0,1,0,0,0,1,0,0,1,0,0,0,1,0,0,1,0,1,0,0,0,0,0,1,0,0,1,0,0,1,0,0,0,1,0,0,1,0,0,0,1,0,0,1,0,1,0,0,0,1,0,0,0,0,1,0,0,1,0,0,0,0,1,0,0,0,0,1,0,1,0,0,0,0,1,0,1,0,0,0,0,1,0,1,0,0,0,0,1,0,0,0,0,1,0,0,1,0,0,1,0,0,0,1,0,1,0,0,0,0,1,0,1,0,0,0,0,1,0,1,0,0,0,1,0,0,0,1,0,0,1,0,0,0,0,1,0,0,0,0,1,0,</t>
  </si>
  <si>
    <t>0,0,1,0,0,1,0,0,0,1,0,0,1,0,0,0,1,0,0,1,0,1,0,0,0,0,0,1,0,0,1,0,0,1,0,0,0,1,0,0,1,0,0,0,1,0,0,1,0,1,0,0,0,1,0,0,0,0,1,0,0,1,0,0,0,0,1,0,0,0,0,1,0,1,0,0,0,0,1,0,1,0,0,0,0,1,0,1,0,0,0,0,1,0,0,0,0,1,0,0,1,0,0,1,0,0,0,1,0,1,0,0,0,0,1,0,1,0,0,0,0,1,0,1,0,0,0,0,1,0,0,1,0,0,1,0,0,0,0,1,0,0,0,0,1,0,</t>
  </si>
  <si>
    <t>0,0,1,0,0,1,0,0,0,1,0,0,1,0,0,0,1,0,0,1,0,1,0,0,0,0,0,1,0,0,1,0,0,1,0,0,0,1,0,0,1,0,0,0,1,0,0,1,0,1,0,0,0,1,0,0,0,0,1,0,0,1,0,0,0,0,1,0,0,0,0,1,0,1,0,0,0,0,1,0,1,0,0,0,0,1,0,1,0,0,0,0,1,0,0,0,0,1,0,0,1,0,0,1,0,0,0,1,0,1,0,0,0,0,1,0,1,0,0,0,0,1,0,1,1,0,0,0,0,0,0,1,0,0,1,0,0,0,0,1,0,0,0,0,1,0,</t>
  </si>
  <si>
    <t>0,0,1,0,0,1,0,0,0,1,0,0,1,0,0,0,1,0,0,1,0,1,0,0,0,0,0,1,0,0,1,0,0,1,0,0,0,1,0,0,1,0,0,0,1,0,0,1,0,1,0,0,0,1,0,0,0,0,1,0,0,1,0,0,0,0,1,0,0,0,0,1,0,1,0,0,0,0,1,0,1,0,0,0,0,1,0,1,0,0,0,0,1,0,0,0,0,1,0,0,1,0,0,1,0,0,0,1,0,1,0,0,0,0,1,0,1,0,0,0,0,1,0,1,0,1,0,0,0,0,0,1,0,0,1,0,0,0,0,1,0,0,0,0,1,0,</t>
  </si>
  <si>
    <t>0,0,1,0,0,1,0,0,0,1,0,0,1,0,0,0,1,0,0,1,0,1,0,0,0,0,0,1,0,0,1,0,0,1,0,0,0,1,0,0,1,0,0,0,1,0,0,1,0,1,0,0,0,1,0,0,0,0,1,0,0,1,0,0,0,0,1,0,0,0,0,1,0,1,0,0,0,0,1,0,1,0,0,0,0,1,0,1,0,0,0,0,1,0,0,0,0,1,0,0,1,0,0,1,0,0,0,1,0,1,0,0,0,0,1,0,1,0,0,0,0,1,0,1,0,1,0,0,0,0,0,0,1,0,1,0,0,0,0,1,0,0,0,0,1,0,</t>
  </si>
  <si>
    <t>0,0,1,0,0,1,0,0,0,1,0,0,1,0,0,0,1,0,0,1,0,1,0,0,0,0,0,1,0,0,1,0,0,1,0,0,0,1,0,0,1,0,0,0,1,0,0,1,0,1,0,0,0,1,0,0,0,0,1,0,0,1,0,0,0,0,1,0,0,0,0,1,0,1,0,0,0,0,1,0,1,0,0,0,0,1,0,1,0,0,0,0,1,0,0,0,0,1,0,0,1,0,0,1,0,0,0,1,0,1,0,0,0,0,1,0,1,0,0,0,0,1,0,1,0,1,0,0,0,0,0,0,0,1,1,0,0,0,0,1,0,0,0,0,1,0,</t>
  </si>
  <si>
    <t>0,0,1,0,0,1,0,0,0,1,0,0,1,0,0,0,1,0,0,1,0,1,0,0,0,0,0,1,0,0,1,0,0,1,0,0,0,1,0,0,1,0,0,0,1,0,0,1,0,1,0,0,0,1,0,0,0,0,1,0,0,1,0,0,0,0,1,0,0,0,0,1,0,1,0,0,0,0,1,0,1,0,0,0,0,1,0,1,0,0,0,0,1,0,0,0,0,1,0,0,1,0,0,1,0,0,0,1,0,1,0,0,0,0,1,0,1,0,0,0,0,1,0,1,0,1,0,0,0,1,0,0,0,0,1,0,0,0,0,1,0,0,0,0,1,0,</t>
  </si>
  <si>
    <t>0,0,1,0,0,1,0,0,0,1,0,0,1,0,0,0,1,0,0,1,0,1,0,0,0,0,0,1,0,0,1,0,0,1,0,0,0,1,0,0,1,0,0,0,1,0,0,1,0,1,0,0,0,1,0,0,0,0,1,0,0,1,0,0,0,0,1,0,0,0,0,1,0,1,0,0,0,0,1,0,1,0,0,0,0,1,0,1,0,0,0,0,1,0,0,0,0,1,0,0,1,0,0,1,0,0,0,1,0,1,0,0,0,0,1,0,1,0,0,0,0,1,0,1,0,1,0,0,0,0,1,0,0,0,1,0,0,0,0,1,0,0,0,0,1,0,</t>
  </si>
  <si>
    <t>0,0,1,0,0,1,0,0,0,1,0,0,1,0,0,0,1,0,0,1,0,1,0,0,0,0,0,1,0,0,1,0,0,1,0,0,0,1,0,0,1,0,0,0,1,0,0,1,0,1,0,0,0,1,0,0,0,0,1,0,0,1,0,0,0,0,1,0,0,0,0,1,0,1,0,0,0,0,1,0,1,0,0,0,0,1,0,1,0,0,0,0,1,0,0,0,0,1,0,0,1,0,0,1,0,0,0,1,0,1,0,0,0,0,1,0,1,0,0,0,0,1,0,1,0,1,0,0,0,0,1,0,0,0,0,1,0,0,0,1,0,0,0,0,1,0,</t>
  </si>
  <si>
    <t>0,0,1,0,0,1,0,0,0,1,0,0,1,0,0,0,1,0,0,1,0,1,0,0,0,0,0,1,0,0,1,0,0,1,0,0,0,1,0,0,1,0,0,0,1,0,0,1,0,1,0,0,0,1,0,0,0,0,1,0,0,1,0,0,0,0,1,0,0,0,0,1,0,1,0,0,0,0,1,0,1,0,0,0,0,1,0,1,0,0,0,0,1,0,0,0,0,1,0,0,1,0,0,1,0,0,0,1,0,1,0,0,0,0,1,0,1,0,0,0,0,1,0,1,0,1,0,0,0,0,1,0,0,0,0,0,1,0,0,1,0,0,0,0,1,0,</t>
  </si>
  <si>
    <t>0,0,1,0,0,1,0,0,0,1,0,0,1,0,0,0,1,0,0,1,0,1,0,0,0,0,0,1,0,0,1,0,0,1,0,0,0,1,0,0,1,0,0,0,1,0,0,1,0,1,0,0,0,1,0,0,0,0,1,0,0,1,0,0,0,0,1,0,0,0,0,1,0,1,0,0,0,0,1,0,1,0,0,0,0,1,0,1,0,0,0,0,1,0,0,0,0,1,0,0,1,0,0,1,0,0,0,1,0,1,0,0,0,0,1,0,1,0,0,0,0,1,0,1,0,1,0,0,0,0,1,0,0,0,0,0,0,1,0,1,0,0,0,0,1,0,</t>
  </si>
  <si>
    <t>0,0,1,0,0,1,0,0,0,1,0,0,1,0,0,0,1,0,0,1,0,1,0,0,0,0,0,1,0,0,1,0,0,1,0,0,0,1,0,0,1,0,0,0,1,0,0,1,0,1,0,0,0,1,0,0,0,0,1,0,0,1,0,0,0,0,1,0,0,0,0,1,0,1,0,0,0,0,1,0,1,0,0,0,0,1,0,1,0,0,0,0,1,0,0,0,0,1,0,0,1,0,0,1,0,0,0,1,0,1,0,0,0,0,1,0,1,0,0,0,0,1,0,1,0,1,0,0,0,0,1,0,0,0,0,0,0,1,0,0,1,0,0,0,1,0,</t>
  </si>
  <si>
    <t>0,0,1,0,0,1,0,0,0,1,0,0,1,0,0,0,1,0,0,1,0,1,0,0,0,0,0,1,0,0,1,0,0,1,0,0,0,1,0,0,1,0,0,0,1,0,0,1,0,1,0,0,0,1,0,0,0,0,1,0,0,1,0,0,0,0,1,0,0,0,0,1,0,1,0,0,0,0,1,0,1,0,0,0,0,1,0,1,0,0,0,0,1,0,0,0,0,1,0,0,1,0,0,1,0,0,0,1,0,1,0,0,0,0,1,0,1,0,0,0,0,1,0,1,0,1,0,0,0,0,1,0,0,0,0,0,0,1,0,0,0,1,0,0,1,0,</t>
  </si>
  <si>
    <t>0,0,1,0,0,1,0,0,0,1,0,0,1,0,0,0,1,0,0,1,0,1,0,0,0,0,0,1,0,0,1,0,0,1,0,0,0,1,0,0,1,0,0,0,1,0,0,1,0,1,0,0,0,1,0,0,0,0,1,0,0,1,0,0,0,0,1,0,0,0,0,1,0,1,0,0,0,0,1,0,1,0,0,0,0,1,0,1,0,0,0,0,1,0,0,0,0,1,0,0,1,0,0,1,0,0,0,1,0,1,0,0,0,0,1,0,1,0,0,0,0,1,0,1,0,1,0,0,0,0,1,0,0,0,0,0,0,1,1,0,0,0,0,0,1,0,</t>
  </si>
  <si>
    <t>0,0,1,0,0,1,0,0,0,1,0,0,1,0,0,0,1,0,0,1,0,1,0,0,0,0,0,1,0,0,1,0,0,1,0,0,0,1,0,0,1,0,0,0,1,0,0,1,0,1,0,0,0,1,0,0,0,0,1,0,0,1,0,0,0,0,1,0,0,0,0,1,0,1,0,0,0,0,1,0,1,0,0,0,0,1,0,1,0,0,0,0,1,0,0,0,0,1,0,0,1,0,0,1,0,0,0,1,0,1,0,0,0,0,1,0,1,0,0,0,0,1,0,1,0,1,0,0,0,0,1,0,0,0,0,0,0,1,1,0,0,0,0,0,0,1,</t>
  </si>
  <si>
    <t>0,0,1,0,0,1,0,0,0,1,0,0,1,0,0,0,1,0,0,1,0,1,0,0,0,0,0,1,0,0,1,0,0,1,0,0,0,1,0,0,1,0,0,0,1,0,0,1,0,1,0,0,0,1,0,0,0,0,1,0,0,1,0,0,0,0,1,0,0,0,0,1,0,1,0,0,0,0,1,0,1,0,0,0,0,1,0,1,0,0,0,0,1,0,0,0,0,1,0,0,1,0,0,1,0,0,0,1,0,1,0,0,0,0,1,0,1,0,0,0,0,1,0,1,0,1,0,0,0,0,1,0,0,0,0,0,0,1,1,0,0,0,1,0,0,0,</t>
  </si>
  <si>
    <t>0,0,1,0,0,1,0,0,0,1,0,0,1,0,0,0,1,0,0,1,0,1,0,0,0,0,0,1,0,0,1,0,0,1,0,0,0,1,0,0,1,0,0,0,1,0,0,1,0,1,0,0,0,1,0,0,0,0,1,0,0,1,0,0,0,0,1,0,0,0,0,1,0,1,0,0,0,0,1,0,1,0,0,0,0,1,0,1,0,0,0,0,1,0,0,0,0,1,0,0,1,0,0,1,0,0,0,1,0,1,0,0,0,0,1,0,1,0,0,0,0,1,0,1,0,1,0,0,0,0,1,0,0,0,0,0,0,1,1,0,0,0,0,1,0,0,</t>
  </si>
  <si>
    <t>0,0,1,0,0,1,0,0,0,1,0,0,1,0,0,0,1,0,0,1,0,1,0,0,0,0,0,1,0,0,1,0,0,1,0,0,0,1,0,0,1,0,0,0,1,0,0,1,0,1,0,0,0,1,0,0,0,0,1,0,0,1,0,0,0,0,1,0,0,0,0,1,0,0,0,0,1,0,0,1,0,1,0,0,0,0,1,0,1,0,0,0,0,1,0,0,0,0,1,1,0,0,1,0,0,0,0,1,0,1,0,0,0,0,1,0,0,0,1,0,1,0,1,0,0,0,1,0,0,0,0,1,0,0,1,0,0,0,0,1,0,0,0,0,1,0,</t>
  </si>
  <si>
    <t>0,0,1,0,0,1,0,0,0,1,0,0,1,0,0,0,1,0,0,1,0,1,0,0,0,0,0,1,0,0,1,0,0,1,0,0,0,1,0,0,1,0,0,0,1,0,0,1,0,1,0,0,0,1,0,0,0,0,1,0,0,1,0,0,0,0,1,0,0,0,0,1,0,0,0,0,0,1,0,1,0,1,0,0,0,0,1,0,1,0,0,0,0,1,0,0,0,0,1,1,0,0,1,0,0,0,0,1,0,1,0,0,0,0,1,0,0,0,1,0,1,0,1,0,0,0,1,0,0,0,0,1,0,0,1,0,0,0,0,1,0,0,0,0,1,0,</t>
  </si>
  <si>
    <t>0,0,1,0,0,1,0,0,0,1,0,0,1,0,0,0,1,0,0,1,0,1,0,0,0,0,0,1,0,0,1,0,0,1,0,0,0,1,0,0,1,0,0,0,1,0,0,1,0,1,0,0,0,1,0,0,0,0,1,0,0,1,0,0,0,0,1,0,0,0,0,1,0,1,0,0,0,0,0,1,0,1,0,0,0,0,1,0,1,0,0,0,0,1,0,0,0,0,1,1,0,0,1,0,0,0,0,1,0,1,0,0,0,0,1,0,0,0,1,0,1,0,1,0,0,0,1,0,0,0,0,1,0,0,1,0,0,0,0,1,0,0,0,0,1,0,</t>
  </si>
  <si>
    <t>0,0,1,0,0,1,0,0,0,1,0,0,1,0,0,0,1,0,0,1,0,1,0,0,0,0,0,1,0,0,1,0,0,1,0,0,0,1,0,0,1,0,0,0,1,0,0,1,0,1,0,0,0,1,0,0,0,0,1,0,0,1,0,0,0,0,1,0,0,0,0,1,0,1,0,0,0,0,1,0,0,1,0,0,0,0,1,0,1,0,0,0,0,1,0,0,0,0,1,1,0,0,1,0,0,0,0,1,0,1,0,0,0,0,1,0,0,0,1,0,1,0,1,0,0,0,1,0,0,0,0,1,0,0,1,0,0,0,0,1,0,0,0,0,1,0,</t>
  </si>
  <si>
    <t>0,0,1,0,0,1,0,0,0,1,0,0,1,0,0,0,1,0,0,1,0,1,0,0,0,0,0,1,0,0,1,0,0,1,0,0,0,1,0,0,1,0,0,0,1,0,0,1,0,1,0,0,0,1,0,0,0,0,1,0,0,1,0,0,0,0,1,0,0,0,0,1,0,1,0,0,0,0,1,0,0,0,1,0,0,0,1,0,1,0,0,0,0,1,0,0,0,0,1,1,0,0,1,0,0,0,0,1,0,1,0,0,0,0,1,0,0,0,1,0,1,0,1,0,0,0,1,0,0,0,0,1,0,0,1,0,0,0,0,1,0,0,0,0,1,0,</t>
  </si>
  <si>
    <t>0,0,1,0,0,1,0,0,0,1,0,0,1,0,0,0,1,0,0,1,0,1,0,0,0,0,0,1,0,0,1,0,0,1,0,0,0,1,0,0,1,0,0,0,1,0,0,1,0,1,0,0,0,1,0,0,0,0,1,0,0,1,0,0,0,0,1,0,0,0,0,1,0,1,0,0,0,0,1,0,0,0,0,1,0,0,1,0,1,0,0,0,0,1,0,0,0,0,1,1,0,0,1,0,0,0,0,1,0,1,0,0,0,0,1,0,0,0,1,0,1,0,1,0,0,0,1,0,0,0,0,1,0,0,1,0,0,0,0,1,0,0,0,0,1,0,</t>
  </si>
  <si>
    <t>0,0,1,0,0,1,0,0,0,1,0,0,1,0,0,0,1,0,0,1,0,1,0,0,0,0,0,1,0,0,1,0,0,1,0,0,0,1,0,0,1,0,0,0,1,0,0,1,0,1,0,0,0,1,0,0,0,0,1,0,0,1,0,0,0,0,1,0,0,0,0,1,0,1,0,0,0,0,1,0,0,0,0,0,1,0,1,0,1,0,0,0,0,1,0,0,0,0,1,1,0,0,1,0,0,0,0,1,0,1,0,0,0,0,1,0,0,0,1,0,1,0,1,0,0,0,1,0,0,0,0,1,0,0,1,0,0,0,0,1,0,0,0,0,1,0,</t>
  </si>
  <si>
    <t>0,0,1,0,0,1,0,0,0,1,0,0,1,0,0,0,1,0,0,1,0,1,0,0,0,0,0,1,0,0,1,0,0,1,0,0,0,1,0,0,1,0,0,0,1,0,0,1,0,1,0,0,0,1,0,0,0,0,1,0,0,1,0,0,0,0,1,0,0,0,0,1,0,1,0,0,0,0,1,0,1,0,0,0,0,0,1,0,1,0,0,0,0,1,0,0,0,0,1,1,0,0,1,0,0,0,0,1,0,1,0,0,0,0,1,0,0,0,1,0,1,0,1,0,0,0,1,0,0,0,0,1,0,0,1,0,0,0,0,1,0,0,0,0,1,0,</t>
  </si>
  <si>
    <t>0,0,1,0,0,1,0,0,0,1,0,0,1,0,0,0,1,0,0,1,0,1,0,0,0,0,0,1,0,0,1,0,0,1,0,0,0,1,0,0,1,0,0,0,1,0,0,1,0,1,0,0,0,1,0,0,0,0,1,0,0,1,0,0,0,0,1,0,0,0,0,1,0,1,0,0,0,0,1,0,1,0,0,0,0,1,0,0,1,0,0,0,0,1,0,0,0,0,1,1,0,0,1,0,0,0,0,1,0,1,0,0,0,0,1,0,0,0,1,0,1,0,1,0,0,0,1,0,0,0,0,1,0,0,1,0,0,0,0,1,0,0,0,0,1,0,</t>
  </si>
  <si>
    <t>0,0,1,0,0,1,0,0,0,1,0,0,1,0,0,0,1,0,0,1,0,1,0,0,0,0,0,1,0,0,1,0,0,1,0,0,0,1,0,0,1,0,0,0,1,0,0,1,0,1,0,0,0,1,0,0,0,0,1,0,0,1,0,0,0,0,1,0,0,0,0,1,0,1,0,0,0,0,1,0,1,0,0,0,0,1,0,0,0,0,1,0,0,1,0,0,0,0,1,1,0,0,1,0,0,0,0,1,0,1,0,0,0,0,1,0,0,0,1,0,1,0,1,0,0,0,1,0,0,0,0,1,0,0,1,0,0,0,0,1,0,0,0,0,1,0,</t>
  </si>
  <si>
    <t>0,0,1,0,0,1,0,0,0,1,0,0,1,0,0,0,1,0,0,1,0,1,0,0,0,0,0,1,0,0,1,0,0,1,0,0,0,1,0,0,1,0,0,0,1,0,0,1,0,1,0,0,0,1,0,0,0,0,1,0,0,1,0,0,0,0,1,0,0,0,0,1,0,1,0,0,0,0,1,0,1,0,0,0,0,1,0,0,0,0,0,1,0,1,0,0,0,0,1,1,0,0,1,0,0,0,0,1,0,1,0,0,0,0,1,0,0,0,1,0,1,0,1,0,0,0,1,0,0,0,0,1,0,0,1,0,0,0,0,1,0,0,0,0,1,0,</t>
  </si>
  <si>
    <t>0,0,1,0,0,1,0,0,0,1,0,0,1,0,0,0,1,0,0,1,0,1,0,0,0,0,0,1,0,0,1,0,0,1,0,0,0,1,0,0,1,0,0,0,1,0,0,1,0,1,0,0,0,1,0,0,0,0,1,0,0,1,0,0,0,0,1,0,0,0,0,1,0,1,0,0,0,0,1,0,1,0,0,0,0,1,0,1,0,0,0,0,0,1,0,0,0,0,1,1,0,0,1,0,0,0,0,1,0,1,0,0,0,0,1,0,0,0,1,0,1,0,1,0,0,0,1,0,0,0,0,1,0,0,1,0,0,0,0,1,0,0,0,0,1,0,</t>
  </si>
  <si>
    <t>0,0,1,0,0,1,0,0,0,1,0,0,1,0,0,0,1,0,0,1,0,1,0,0,0,0,0,1,0,0,1,0,0,1,0,0,0,1,0,0,1,0,0,0,1,0,0,1,0,1,0,0,0,1,0,0,0,0,1,0,0,1,0,0,0,0,1,0,0,0,0,1,0,1,0,0,0,0,1,0,1,0,0,0,0,1,0,1,0,0,0,0,1,0,0,0,0,0,1,1,0,0,1,0,0,0,0,1,0,1,0,0,0,0,1,0,0,0,1,0,1,0,1,0,0,0,1,0,0,0,0,1,0,0,1,0,0,0,0,1,0,0,0,0,1,0,</t>
  </si>
  <si>
    <t>0,0,1,0,0,1,0,0,0,1,0,0,1,0,0,0,1,0,0,1,0,1,0,0,0,0,0,1,0,0,1,0,0,1,0,0,0,1,0,0,1,0,0,0,1,0,0,1,0,1,0,0,0,1,0,0,0,0,1,0,0,1,0,0,0,0,1,0,0,0,0,1,0,1,0,0,0,0,1,0,1,0,0,0,0,1,0,1,0,0,0,0,1,0,1,0,0,0,0,1,0,0,1,0,0,0,0,1,0,1,0,0,0,0,1,0,0,0,1,0,1,0,1,0,0,0,1,0,0,0,0,1,0,0,1,0,0,0,0,1,0,0,0,0,1,0,</t>
  </si>
  <si>
    <t>0,0,1,0,0,1,0,0,0,1,0,0,1,0,0,0,1,0,0,1,0,1,0,0,0,0,0,1,0,0,1,0,0,1,0,0,0,1,0,0,1,0,0,0,1,0,0,1,0,1,0,0,0,1,0,0,0,0,1,0,0,1,0,0,0,0,1,0,0,0,0,1,0,1,0,0,0,0,1,0,1,0,0,0,0,1,0,1,0,0,0,0,1,0,0,1,0,0,0,1,0,0,1,0,0,0,0,1,0,1,0,0,0,0,1,0,0,0,1,0,1,0,1,0,0,0,1,0,0,0,0,1,0,0,1,0,0,0,0,1,0,0,0,0,1,0,</t>
  </si>
  <si>
    <t>0,0,1,0,0,1,0,0,0,1,0,0,1,0,0,0,1,0,0,1,0,1,0,0,0,0,0,1,0,0,1,0,0,1,0,0,0,1,0,0,1,0,0,0,1,0,0,1,0,1,0,0,0,1,0,0,0,0,1,0,0,1,0,0,0,0,1,0,0,0,0,1,0,1,0,0,0,0,1,0,1,0,0,0,0,1,0,1,0,0,0,0,1,0,0,0,1,0,0,1,0,0,1,0,0,0,0,1,0,1,0,0,0,0,1,0,0,0,1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</si>
  <si>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1,0,0,1,0,0,0,0,1,0,1,0,0,0,0,1,0,0,0,1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</si>
  <si>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0,1,0,0,0,0,1,0,1,0,0,0,0,1,0,0,0,1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</si>
  <si>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0,0,0,1,0,0,1,0,1,0,0,0,0,1,0,0,0,1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</si>
  <si>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0,0,0,0,1,0,1,0,1,0,0,0,0,1,0,0,0,1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</si>
  <si>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1,0,0,0,0,0,1,0,1,0,0,0,0,1,0,0,0,1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</si>
  <si>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1,0,0,0,0,1,0,0,1,0,0,0,0,1,0,0,0,1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</si>
  <si>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1,0,0,0,0,1,0,0,0,1,0,0,0,1,0,0,0,1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</si>
  <si>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1,0,0,0,0,1,0,0,0,0,1,0,0,1,0,0,0,1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</si>
  <si>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1,0,0,0,0,1,0,0,0,0,0,1,0,1,0,0,0,1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</si>
  <si>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0,1,0,0,0,1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</si>
  <si>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0,0,0,1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</si>
  <si>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0,0,0,0,1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</si>
  <si>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1,0,0,0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</si>
  <si>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0,1,0,0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</si>
  <si>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0,0,1,0,0,1,0,1,0,0,0,1,0,0,0,0,1,0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</si>
  <si>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0,0,1,0,0,0,1,1,0,0,0,1,0,0,0,0,1,0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</si>
  <si>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0,0,1,0,0,0,1,0,1,0,0,1,0,0,0,0,1,0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</si>
  <si>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0,0,1,0,0,0,1,0,1,0,0,0,1,0,0,0,1,0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</si>
  <si>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0,0,1,0,0,0,1,0,1,0,0,0,0,1,0,0,1,0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</si>
  <si>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0,0,1,0,0,0,1,0,1,1,0,0,0,0,0,0,1,0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</si>
  <si>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0,0,1,0,0,0,1,0,1,0,1,0,0,0,0,0,1,0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</si>
  <si>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0,0,1,0,0,0,1,0,1,0,1,0,0,0,0,0,0,1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</si>
  <si>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0,0,1,0,0,0,1,0,1,0,1,0,0,0,0,0,0,0,1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</si>
  <si>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0,0,1,0,0,0,1,0,1,0,1,0,0,0,1,0,0,0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</si>
  <si>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0,0,1,0,0,0,1,0,1,0,1,0,0,0,0,1,0,0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</si>
  <si>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0,0,1,0,0,0,1,0,1,0,1,0,0,0,0,1,0,0,0,0,1,0,0,0,1,0,0,0,0,1,0,</t>
  </si>
  <si>
    <t>0,0,1,0,0,1,0,0,0,1,0,0,1,0,0,0,1,0,0,1,0,1,0,0,0,0,0,1,0,0,1,0,0,1,0,0,0,1,0,0,1,0,0,0,1,0,0,1,0,1,0,0,0,1,0,0,0,0,1,0,0,1,0,0,0,0,1,0,0,0,0,1,0,1,0,0,0,0,1,0,1,0,0,0,0,1,0,1,0,0,0,0,1,0,0,0,0,1,0,0,1,1,0,0,0,0,1,0,1,0,0,0,0,1,0,0,0,1,0,0,0,1,0,1,0,1,0,0,0,0,1,0,0,0,0,0,1,0,0,1,0,0,0,0,1,0,</t>
  </si>
  <si>
    <t>0,0,1,0,0,1,0,0,0,1,0,0,1,0,0,0,1,0,0,1,0,1,0,0,0,0,0,1,0,0,1,0,0,1,0,0,0,1,0,0,1,0,0,0,1,0,0,1,0,1,0,0,0,1,0,0,0,0,1,0,0,1,0,0,0,0,1,0,0,0,0,1,0,1,0,0,0,0,1,0,1,0,0,0,0,1,0,1,0,0,0,0,1,0,0,0,0,1,0,0,1,1,0,0,0,0,1,0,1,0,0,0,0,1,0,0,0,1,0,0,0,1,0,1,0,1,0,0,0,0,1,0,0,0,0,0,0,1,0,1,0,0,0,0,1,0,</t>
  </si>
  <si>
    <t>0,0,1,0,0,1,0,0,0,1,0,0,1,0,0,0,1,0,0,1,0,1,0,0,0,0,0,1,0,0,1,0,0,1,0,0,0,1,0,0,1,0,0,0,1,0,0,1,0,1,0,0,0,1,0,0,0,0,1,0,0,1,0,0,0,0,1,0,0,0,0,1,0,1,0,0,0,0,1,0,1,0,0,0,0,1,0,1,0,0,0,0,1,0,0,0,0,1,0,0,1,1,0,0,0,0,1,0,1,0,0,0,0,1,0,0,0,1,0,0,0,1,0,1,0,1,0,0,0,0,1,0,0,0,0,0,0,1,0,0,1,0,0,0,1,0,</t>
  </si>
  <si>
    <t>0,0,1,0,0,1,0,0,0,1,0,0,1,0,0,0,1,0,0,1,0,1,0,0,0,0,0,1,0,0,1,0,0,1,0,0,0,1,0,0,1,0,0,0,1,0,0,1,0,1,0,0,0,1,0,0,0,0,1,0,0,1,0,0,0,0,1,0,0,0,0,1,0,1,0,0,0,0,1,0,1,0,0,0,0,1,0,1,0,0,0,0,1,0,0,0,0,1,0,0,1,1,0,0,0,0,1,0,1,0,0,0,0,1,0,0,0,1,0,0,0,1,0,1,0,1,0,0,0,0,1,0,0,0,0,0,0,1,0,0,0,1,0,0,1,0,</t>
  </si>
  <si>
    <t>0,0,1,0,0,1,0,0,0,1,0,0,1,0,0,0,1,0,0,1,0,1,0,0,0,0,0,1,0,0,1,0,0,1,0,0,0,1,0,0,1,0,0,0,1,0,0,1,0,1,0,0,0,1,0,0,0,0,1,0,0,1,0,0,0,0,1,0,0,0,0,1,0,1,0,0,0,0,1,0,1,0,0,0,0,1,0,1,0,0,0,0,1,0,0,0,0,1,0,0,1,1,0,0,0,0,1,0,1,0,0,0,0,1,0,0,0,1,0,0,0,1,0,1,0,1,0,0,0,0,1,0,0,0,0,0,0,1,1,0,0,0,0,0,1,0,</t>
  </si>
  <si>
    <t>0,0,1,0,0,1,0,0,0,1,0,0,1,0,0,0,1,0,0,1,0,1,0,0,0,0,0,1,0,0,1,0,0,1,0,0,0,1,0,0,1,0,0,0,1,0,0,1,0,1,0,0,0,1,0,0,0,0,1,0,0,1,0,0,0,0,1,0,0,0,0,1,0,1,0,0,0,0,1,0,1,0,0,0,0,1,0,1,0,0,0,0,1,0,0,0,0,1,0,0,1,1,0,0,0,0,1,0,1,0,0,0,0,1,0,0,0,1,0,0,0,1,0,1,0,1,0,0,0,0,1,0,0,0,0,0,0,1,1,0,0,0,0,0,0,1,</t>
  </si>
  <si>
    <t>0,0,1,0,0,1,0,0,0,1,0,0,1,0,0,0,1,0,0,1,0,1,0,0,0,0,0,1,0,0,1,0,0,1,0,0,0,1,0,0,1,0,0,0,1,0,0,1,0,1,0,0,0,1,0,0,0,0,1,0,0,1,0,0,0,0,1,0,0,0,0,1,0,1,0,0,0,0,1,0,1,0,0,0,0,1,0,1,0,0,0,0,1,0,0,0,0,1,0,0,1,1,0,0,0,0,1,0,1,0,0,0,0,1,0,0,0,1,0,0,0,1,0,1,0,1,0,0,0,0,1,0,0,0,0,0,0,1,1,0,0,0,1,0,0,0,</t>
  </si>
  <si>
    <t>0,0,1,0,0,1,0,0,0,1,0,0,1,0,0,0,1,0,0,1,0,1,0,0,0,0,0,1,0,0,1,0,0,1,0,0,0,1,0,0,1,0,0,0,1,0,0,1,0,1,0,0,0,1,0,0,0,0,1,0,0,1,0,0,0,0,1,0,0,0,0,1,0,1,0,0,0,0,1,0,1,0,0,0,0,1,0,1,0,0,0,0,1,0,0,0,0,1,0,0,1,1,0,0,0,0,1,0,1,0,0,0,0,1,0,0,0,1,0,0,0,1,0,1,0,1,0,0,0,0,1,0,0,0,0,0,0,1,1,0,0,0,0,1,0,0,</t>
  </si>
  <si>
    <t>0,0,1,0,0,1,0,0,0,1,0,0,1,0,0,0,1,0,0,1,0,1,0,0,0,0,0,1,0,0,1,0,0,1,0,0,0,1,0,0,1,0,0,0,1,0,0,1,0,1,0,0,0,1,0,0,0,0,1,0,0,1,0,0,0,0,1,0,0,0,0,1,0,0,0,0,1,0,0,1,0,1,0,0,0,0,1,0,1,0,0,0,0,1,0,0,0,0,1,1,0,0,1,0,0,0,0,1,0,1,0,0,0,0,1,0,1,0,0,0,0,1,0,1,0,1,0,0,0,0,0,0,1,0,1,0,0,0,0,1,0,0,0,0,1,0,</t>
  </si>
  <si>
    <t>0,0,1,0,0,1,0,0,0,1,0,0,1,0,0,0,1,0,0,1,0,1,0,0,0,0,0,1,0,0,1,0,0,1,0,0,0,1,0,0,1,0,0,0,1,0,0,1,0,1,0,0,0,1,0,0,0,0,1,0,0,1,0,0,0,0,1,0,0,0,0,1,0,0,0,0,0,1,0,1,0,1,0,0,0,0,1,0,1,0,0,0,0,1,0,0,0,0,1,1,0,0,1,0,0,0,0,1,0,1,0,0,0,0,1,0,1,0,0,0,0,1,0,1,0,1,0,0,0,0,0,0,1,0,1,0,0,0,0,1,0,0,0,0,1,0,</t>
  </si>
  <si>
    <t>0,0,1,0,0,1,0,0,0,1,0,0,1,0,0,0,1,0,0,1,0,1,0,0,0,0,0,1,0,0,1,0,0,1,0,0,0,1,0,0,1,0,0,0,1,0,0,1,0,1,0,0,0,1,0,0,0,0,1,0,0,1,0,0,0,0,1,0,0,0,0,1,0,1,0,0,0,0,0,1,0,1,0,0,0,0,1,0,1,0,0,0,0,1,0,0,0,0,1,1,0,0,1,0,0,0,0,1,0,1,0,0,0,0,1,0,1,0,0,0,0,1,0,1,0,1,0,0,0,0,0,0,1,0,1,0,0,0,0,1,0,0,0,0,1,0,</t>
  </si>
  <si>
    <t>0,0,1,0,0,1,0,0,0,1,0,0,1,0,0,0,1,0,0,1,0,1,0,0,0,0,0,1,0,0,1,0,0,1,0,0,0,1,0,0,1,0,0,0,1,0,0,1,0,1,0,0,0,1,0,0,0,0,1,0,0,1,0,0,0,0,1,0,0,0,0,1,0,1,0,0,0,0,1,0,0,1,0,0,0,0,1,0,1,0,0,0,0,1,0,0,0,0,1,1,0,0,1,0,0,0,0,1,0,1,0,0,0,0,1,0,1,0,0,0,0,1,0,1,0,1,0,0,0,0,0,0,1,0,1,0,0,0,0,1,0,0,0,0,1,0,</t>
  </si>
  <si>
    <t>0,0,1,0,0,1,0,0,0,1,0,0,1,0,0,0,1,0,0,1,0,1,0,0,0,0,0,1,0,0,1,0,0,1,0,0,0,1,0,0,1,0,0,0,1,0,0,1,0,1,0,0,0,1,0,0,0,0,1,0,0,1,0,0,0,0,1,0,0,0,0,1,0,1,0,0,0,0,1,0,0,0,1,0,0,0,1,0,1,0,0,0,0,1,0,0,0,0,1,1,0,0,1,0,0,0,0,1,0,1,0,0,0,0,1,0,1,0,0,0,0,1,0,1,0,1,0,0,0,0,0,0,1,0,1,0,0,0,0,1,0,0,0,0,1,0,</t>
  </si>
  <si>
    <t>0,0,1,0,0,1,0,0,0,1,0,0,1,0,0,0,1,0,0,1,0,1,0,0,0,0,0,1,0,0,1,0,0,1,0,0,0,1,0,0,1,0,0,0,1,0,0,1,0,1,0,0,0,1,0,0,0,0,1,0,0,1,0,0,0,0,1,0,0,0,0,1,0,1,0,0,0,0,1,0,0,0,0,1,0,0,1,0,1,0,0,0,0,1,0,0,0,0,1,1,0,0,1,0,0,0,0,1,0,1,0,0,0,0,1,0,1,0,0,0,0,1,0,1,0,1,0,0,0,0,0,0,1,0,1,0,0,0,0,1,0,0,0,0,1,0,</t>
  </si>
  <si>
    <t>0,0,1,0,0,1,0,0,0,1,0,0,1,0,0,0,1,0,0,1,0,1,0,0,0,0,0,1,0,0,1,0,0,1,0,0,0,1,0,0,1,0,0,0,1,0,0,1,0,1,0,0,0,1,0,0,0,0,1,0,0,1,0,0,0,0,1,0,0,0,0,1,0,1,0,0,0,0,1,0,0,0,0,0,1,0,1,0,1,0,0,0,0,1,0,0,0,0,1,1,0,0,1,0,0,0,0,1,0,1,0,0,0,0,1,0,1,0,0,0,0,1,0,1,0,1,0,0,0,0,0,0,1,0,1,0,0,0,0,1,0,0,0,0,1,0,</t>
  </si>
  <si>
    <t>0,0,1,0,0,1,0,0,0,1,0,0,1,0,0,0,1,0,0,1,0,1,0,0,0,0,0,1,0,0,1,0,0,1,0,0,0,1,0,0,1,0,0,0,1,0,0,1,0,1,0,0,0,1,0,0,0,0,1,0,0,1,0,0,0,0,1,0,0,0,0,1,0,1,0,0,0,0,1,0,1,0,0,0,0,0,1,0,1,0,0,0,0,1,0,0,0,0,1,1,0,0,1,0,0,0,0,1,0,1,0,0,0,0,1,0,1,0,0,0,0,1,0,1,0,1,0,0,0,0,0,0,1,0,1,0,0,0,0,1,0,0,0,0,1,0,</t>
  </si>
  <si>
    <t>0,0,1,0,0,1,0,0,0,1,0,0,1,0,0,0,1,0,0,1,0,1,0,0,0,0,0,1,0,0,1,0,0,1,0,0,0,1,0,0,1,0,0,0,1,0,0,1,0,1,0,0,0,1,0,0,0,0,1,0,0,1,0,0,0,0,1,0,0,0,0,1,0,1,0,0,0,0,1,0,1,0,0,0,0,1,0,0,1,0,0,0,0,1,0,0,0,0,1,1,0,0,1,0,0,0,0,1,0,1,0,0,0,0,1,0,1,0,0,0,0,1,0,1,0,1,0,0,0,0,0,0,1,0,1,0,0,0,0,1,0,0,0,0,1,0,</t>
  </si>
  <si>
    <t>0,0,1,0,0,1,0,0,0,1,0,0,1,0,0,0,1,0,0,1,0,1,0,0,0,0,0,1,0,0,1,0,0,1,0,0,0,1,0,0,1,0,0,0,1,0,0,1,0,1,0,0,0,1,0,0,0,0,1,0,0,1,0,0,0,0,1,0,0,0,0,1,0,1,0,0,0,0,1,0,1,0,0,0,0,1,0,0,0,0,1,0,0,1,0,0,0,0,1,1,0,0,1,0,0,0,0,1,0,1,0,0,0,0,1,0,1,0,0,0,0,1,0,1,0,1,0,0,0,0,0,0,1,0,1,0,0,0,0,1,0,0,0,0,1,0,</t>
  </si>
  <si>
    <t>0,0,1,0,0,1,0,0,0,1,0,0,1,0,0,0,1,0,0,1,0,1,0,0,0,0,0,1,0,0,1,0,0,1,0,0,0,1,0,0,1,0,0,0,1,0,0,1,0,1,0,0,0,1,0,0,0,0,1,0,0,1,0,0,0,0,1,0,0,0,0,1,0,1,0,0,0,0,1,0,1,0,0,0,0,1,0,0,0,0,0,1,0,1,0,0,0,0,1,1,0,0,1,0,0,0,0,1,0,1,0,0,0,0,1,0,1,0,0,0,0,1,0,1,0,1,0,0,0,0,0,0,1,0,1,0,0,0,0,1,0,0,0,0,1,0,</t>
  </si>
  <si>
    <t>0,0,1,0,0,1,0,0,0,1,0,0,1,0,0,0,1,0,0,1,0,1,0,0,0,0,0,1,0,0,1,0,0,1,0,0,0,1,0,0,1,0,0,0,1,0,0,1,0,1,0,0,0,1,0,0,0,0,1,0,0,1,0,0,0,0,1,0,0,0,0,1,0,1,0,0,0,0,1,0,1,0,0,0,0,1,0,1,0,0,0,0,0,1,0,0,0,0,1,1,0,0,1,0,0,0,0,1,0,1,0,0,0,0,1,0,1,0,0,0,0,1,0,1,0,1,0,0,0,0,0,0,1,0,1,0,0,0,0,1,0,0,0,0,1,0,</t>
  </si>
  <si>
    <t>0,0,1,0,0,1,0,0,0,1,0,0,1,0,0,0,1,0,0,1,0,1,0,0,0,0,0,1,0,0,1,0,0,1,0,0,0,1,0,0,1,0,0,0,1,0,0,1,0,1,0,0,0,1,0,0,0,0,1,0,0,1,0,0,0,0,1,0,0,0,0,1,0,1,0,0,0,0,1,0,1,0,0,0,0,1,0,1,0,0,0,0,1,0,0,0,0,0,1,1,0,0,1,0,0,0,0,1,0,1,0,0,0,0,1,0,1,0,0,0,0,1,0,1,0,1,0,0,0,0,0,0,1,0,1,0,0,0,0,1,0,0,0,0,1,0,</t>
  </si>
  <si>
    <t>0,0,1,0,0,1,0,0,0,1,0,0,1,0,0,0,1,0,0,1,0,1,0,0,0,0,0,1,0,0,1,0,0,1,0,0,0,1,0,0,1,0,0,0,1,0,0,1,0,1,0,0,0,1,0,0,0,0,1,0,0,1,0,0,0,0,1,0,0,0,0,1,0,1,0,0,0,0,1,0,1,0,0,0,0,1,0,1,0,0,0,0,1,0,1,0,0,0,0,1,0,0,1,0,0,0,0,1,0,1,0,0,0,0,1,0,1,0,0,0,0,1,0,1,0,1,0,0,0,0,0,0,1,0,1,0,0,0,0,1,0,0,0,0,1,0,</t>
  </si>
  <si>
    <t>0,0,1,0,0,1,0,0,0,1,0,0,1,0,0,0,1,0,0,1,0,1,0,0,0,0,0,1,0,0,1,0,0,1,0,0,0,1,0,0,1,0,0,0,1,0,0,1,0,1,0,0,0,1,0,0,0,0,1,0,0,1,0,0,0,0,1,0,0,0,0,1,0,1,0,0,0,0,1,0,1,0,0,0,0,1,0,1,0,0,0,0,1,0,0,1,0,0,0,1,0,0,1,0,0,0,0,1,0,1,0,0,0,0,1,0,1,0,0,0,0,1,0,1,0,1,0,0,0,0,0,0,1,0,1,0,0,0,0,1,0,0,0,0,1,0,</t>
  </si>
  <si>
    <t>0,0,1,0,0,1,0,0,0,1,0,0,1,0,0,0,1,0,0,1,0,1,0,0,0,0,0,1,0,0,1,0,0,1,0,0,0,1,0,0,1,0,0,0,1,0,0,1,0,1,0,0,0,1,0,0,0,0,1,0,0,1,0,0,0,0,1,0,0,0,0,1,0,1,0,0,0,0,1,0,1,0,0,0,0,1,0,1,0,0,0,0,1,0,0,0,1,0,0,1,0,0,1,0,0,0,0,1,0,1,0,0,0,0,1,0,1,0,0,0,0,1,0,1,0,1,0,0,0,0,0,0,1,0,1,0,0,0,0,1,0,0,0,0,1,0,</t>
  </si>
  <si>
    <t>0,0,1,0,0,1,0,0,0,1,0,0,1,0,0,0,1,0,0,1,0,1,0,0,0,0,0,1,0,0,1,0,0,1,0,0,0,1,0,0,1,0,0,0,1,0,0,1,0,1,0,0,0,1,0,0,0,0,1,0,0,1,0,0,0,0,1,0,0,0,0,1,0,1,0,0,0,0,1,0,1,0,0,0,0,1,0,1,0,0,0,0,1,0,0,0,0,1,0,1,0,0,1,0,0,0,0,1,0,1,0,0,0,0,1,0,1,0,0,0,0,1,0,1,0,1,0,0,0,0,0,0,1,0,1,0,0,0,0,1,0,0,0,0,1,0,</t>
  </si>
  <si>
    <t>0,0,1,0,0,1,0,0,0,1,0,0,1,0,0,0,1,0,0,1,0,1,0,0,0,0,0,1,0,0,1,0,0,1,0,0,0,1,0,0,1,0,0,0,1,0,0,1,0,1,0,0,0,1,0,0,0,0,1,0,0,1,0,0,0,0,1,0,0,0,0,1,0,1,0,0,0,0,1,0,1,0,0,0,0,1,0,1,0,0,0,0,1,0,0,0,0,1,0,0,1,0,1,0,0,0,0,1,0,1,0,0,0,0,1,0,1,0,0,0,0,1,0,1,0,1,0,0,0,0,0,0,1,0,1,0,0,0,0,1,0,0,0,0,1,0,</t>
  </si>
  <si>
    <t>0,0,1,0,0,1,0,0,0,1,0,0,1,0,0,0,1,0,0,1,0,1,0,0,0,0,0,1,0,0,1,0,0,1,0,0,0,1,0,0,1,0,0,0,1,0,0,1,0,1,0,0,0,1,0,0,0,0,1,0,0,1,0,0,0,0,1,0,0,0,0,1,0,1,0,0,0,0,1,0,1,0,0,0,0,1,0,1,0,0,0,0,1,0,0,0,0,1,0,0,1,0,0,0,1,0,0,1,0,1,0,0,0,0,1,0,1,0,0,0,0,1,0,1,0,1,0,0,0,0,0,0,1,0,1,0,0,0,0,1,0,0,0,0,1,0,</t>
  </si>
  <si>
    <t>0,0,1,0,0,1,0,0,0,1,0,0,1,0,0,0,1,0,0,1,0,1,0,0,0,0,0,1,0,0,1,0,0,1,0,0,0,1,0,0,1,0,0,0,1,0,0,1,0,1,0,0,0,1,0,0,0,0,1,0,0,1,0,0,0,0,1,0,0,0,0,1,0,1,0,0,0,0,1,0,1,0,0,0,0,1,0,1,0,0,0,0,1,0,0,0,0,1,0,0,1,0,0,0,0,1,0,1,0,1,0,0,0,0,1,0,1,0,0,0,0,1,0,1,0,1,0,0,0,0,0,0,1,0,1,0,0,0,0,1,0,0,0,0,1,0,</t>
  </si>
  <si>
    <t>0,0,1,0,0,1,0,0,0,1,0,0,1,0,0,0,1,0,0,1,0,1,0,0,0,0,0,1,0,0,1,0,0,1,0,0,0,1,0,0,1,0,0,0,1,0,0,1,0,1,0,0,0,1,0,0,0,0,1,0,0,1,0,0,0,0,1,0,0,0,0,1,0,1,0,0,0,0,1,0,1,0,0,0,0,1,0,1,0,0,0,0,1,0,0,0,0,1,0,0,1,1,0,0,0,0,0,1,0,1,0,0,0,0,1,0,1,0,0,0,0,1,0,1,0,1,0,0,0,0,0,0,1,0,1,0,0,0,0,1,0,0,0,0,1,0,</t>
  </si>
  <si>
    <t>0,0,1,0,0,1,0,0,0,1,0,0,1,0,0,0,1,0,0,1,0,1,0,0,0,0,0,1,0,0,1,0,0,1,0,0,0,1,0,0,1,0,0,0,1,0,0,1,0,1,0,0,0,1,0,0,0,0,1,0,0,1,0,0,0,0,1,0,0,0,0,1,0,1,0,0,0,0,1,0,1,0,0,0,0,1,0,1,0,0,0,0,1,0,0,0,0,1,0,0,1,1,0,0,0,0,1,0,0,1,0,0,0,0,1,0,1,0,0,0,0,1,0,1,0,1,0,0,0,0,0,0,1,0,1,0,0,0,0,1,0,0,0,0,1,0,</t>
  </si>
  <si>
    <t>0,0,1,0,0,1,0,0,0,1,0,0,1,0,0,0,1,0,0,1,0,1,0,0,0,0,0,1,0,0,1,0,0,1,0,0,0,1,0,0,1,0,0,0,1,0,0,1,0,1,0,0,0,1,0,0,0,0,1,0,0,1,0,0,0,0,1,0,0,0,0,1,0,1,0,0,0,0,1,0,1,0,0,0,0,1,0,1,0,0,0,0,1,0,0,0,0,1,0,0,1,1,0,0,0,0,1,0,0,0,1,0,0,0,1,0,1,0,0,0,0,1,0,1,0,1,0,0,0,0,0,0,1,0,1,0,0,0,0,1,0,0,0,0,1,0,</t>
  </si>
  <si>
    <t>0,0,1,0,0,1,0,0,0,1,0,0,1,0,0,0,1,0,0,1,0,1,0,0,0,0,0,1,0,0,1,0,0,1,0,0,0,1,0,0,1,0,0,0,1,0,0,1,0,1,0,0,0,1,0,0,0,0,1,0,0,1,0,0,0,0,1,0,0,0,0,1,0,1,0,0,0,0,1,0,1,0,0,0,0,1,0,1,0,0,0,0,1,0,0,0,0,1,0,0,1,1,0,0,0,0,1,0,0,0,0,1,0,0,1,0,1,0,0,0,0,1,0,1,0,1,0,0,0,0,0,0,1,0,1,0,0,0,0,1,0,0,0,0,1,0,</t>
  </si>
  <si>
    <t>0,0,1,0,0,1,0,0,0,1,0,0,1,0,0,0,1,0,0,1,0,1,0,0,0,0,0,1,0,0,1,0,0,1,0,0,0,1,0,0,1,0,0,0,1,0,0,1,0,1,0,0,0,1,0,0,0,0,1,0,0,1,0,0,0,0,1,0,0,0,0,1,0,1,0,0,0,0,1,0,1,0,0,0,0,1,0,1,0,0,0,0,1,0,0,0,0,1,0,0,1,1,0,0,0,0,1,0,0,0,0,0,1,0,1,0,1,0,0,0,0,1,0,1,0,1,0,0,0,0,0,0,1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</si>
  <si>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0,1,0,1,0,0,0,0,1,0,1,0,1,0,0,0,0,0,0,1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</si>
  <si>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0,1,0,0,0,0,1,0,1,0,1,0,0,0,0,0,0,1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</si>
  <si>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0,0,0,1,0,0,1,0,1,0,1,0,0,0,0,0,0,1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</si>
  <si>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0,0,0,0,1,0,1,0,1,0,1,0,0,0,0,0,0,1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</si>
  <si>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1,0,0,0,0,0,1,0,1,0,1,0,0,0,0,0,0,1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</si>
  <si>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1,0,0,0,0,1,0,0,1,0,1,0,0,0,0,0,0,1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</si>
  <si>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1,0,0,0,0,1,0,1,0,0,1,0,0,0,0,0,0,1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</si>
  <si>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1,0,0,0,0,1,0,1,0,0,0,1,0,0,0,0,0,1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</si>
  <si>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1,0,0,0,0,1,0,1,0,0,0,0,1,0,0,0,0,1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</si>
  <si>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1,0,0,0,0,1,0,1,0,0,0,0,0,1,0,0,0,1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</si>
  <si>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1,0,0,0,0,1,0,1,0,1,0,0,0,0,0,0,0,1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</si>
  <si>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1,0,0,0,0,1,0,1,0,1,0,0,0,0,0,0,0,0,1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</si>
  <si>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1,0,0,0,0,1,0,1,0,1,0,0,0,0,1,0,0,0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</si>
  <si>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1,0,0,0,0,1,0,1,0,1,0,0,0,0,0,1,0,0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</si>
  <si>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1,0,0,0,0,1,0,1,0,1,0,0,0,0,0,0,1,0,0,1,0,0,0,0,1,0,0,0,0,1,0,</t>
  </si>
  <si>
    <t>0,0,1,0,0,1,0,0,0,1,0,0,1,0,0,0,1,0,0,1,0,1,0,0,0,0,0,1,0,0,1,0,0,1,0,0,0,1,0,0,1,0,0,0,1,0,0,1,0,1,0,0,0,1,0,0,0,0,1,0,0,1,0,0,0,0,1,0,0,0,0,1,0,1,0,0,0,0,1,0,1,0,0,0,0,1,0,1,0,0,0,0,1,0,0,0,0,1,0,0,1,1,0,0,0,0,1,0,1,0,0,0,0,1,0,1,0,0,0,0,1,0,1,0,1,0,0,0,0,0,0,1,0,0,0,1,0,0,0,1,0,0,0,0,1,0,</t>
  </si>
  <si>
    <t>0,0,1,0,0,1,0,0,0,1,0,0,1,0,0,0,1,0,0,1,0,1,0,0,0,0,0,1,0,0,1,0,0,1,0,0,0,1,0,0,1,0,0,0,1,0,0,1,0,1,0,0,0,1,0,0,0,0,1,0,0,1,0,0,0,0,1,0,0,0,0,1,0,1,0,0,0,0,1,0,1,0,0,0,0,1,0,1,0,0,0,0,1,0,0,0,0,1,0,0,1,1,0,0,0,0,1,0,1,0,0,0,0,1,0,1,0,0,0,0,1,0,1,0,1,0,0,0,0,0,0,1,0,0,0,0,1,0,0,1,0,0,0,0,1,0,</t>
  </si>
  <si>
    <t>0,0,1,0,0,1,0,0,0,1,0,0,1,0,0,0,1,0,0,1,0,1,0,0,0,0,0,1,0,0,1,0,0,1,0,0,0,1,0,0,1,0,0,0,1,0,0,1,0,1,0,0,0,1,0,0,0,0,1,0,0,1,0,0,0,0,1,0,0,0,0,1,0,1,0,0,0,0,1,0,1,0,0,0,0,1,0,1,0,0,0,0,1,0,0,0,0,1,0,0,1,1,0,0,0,0,1,0,1,0,0,0,0,1,0,1,0,0,0,0,1,0,1,0,1,0,0,0,0,0,0,1,0,0,0,0,0,1,0,1,0,0,0,0,1,0,</t>
  </si>
  <si>
    <t>0,0,1,0,0,1,0,0,0,1,0,0,1,0,0,0,1,0,0,1,0,1,0,0,0,0,0,1,0,0,1,0,0,1,0,0,0,1,0,0,1,0,0,0,1,0,0,1,0,1,0,0,0,1,0,0,0,0,1,0,0,1,0,0,0,0,1,0,0,0,0,1,0,1,0,0,0,0,1,0,1,0,0,0,0,1,0,1,0,0,0,0,1,0,0,0,0,1,0,0,1,1,0,0,0,0,1,0,1,0,0,0,0,1,0,1,0,0,0,0,1,0,1,0,1,0,0,0,0,0,0,1,0,0,0,0,0,1,0,0,1,0,0,0,1,0,</t>
  </si>
  <si>
    <t>0,0,1,0,0,1,0,0,0,1,0,0,1,0,0,0,1,0,0,1,0,1,0,0,0,0,0,1,0,0,1,0,0,1,0,0,0,1,0,0,1,0,0,0,1,0,0,1,0,1,0,0,0,1,0,0,0,0,1,0,0,1,0,0,0,0,1,0,0,0,0,1,0,1,0,0,0,0,1,0,1,0,0,0,0,1,0,1,0,0,0,0,1,0,0,0,0,1,0,0,1,1,0,0,0,0,1,0,1,0,0,0,0,1,0,1,0,0,0,0,1,0,1,0,1,0,0,0,0,0,0,1,0,0,0,0,0,1,0,0,0,1,0,0,1,0,</t>
  </si>
  <si>
    <t>0,0,1,0,0,1,0,0,0,1,0,0,1,0,0,0,1,0,0,1,0,1,0,0,0,0,0,1,0,0,1,0,0,1,0,0,0,1,0,0,1,0,0,0,1,0,0,1,0,1,0,0,0,1,0,0,0,0,1,0,0,1,0,0,0,0,1,0,0,0,0,1,0,1,0,0,0,0,1,0,1,0,0,0,0,1,0,1,0,0,0,0,1,0,0,0,0,1,0,0,1,1,0,0,0,0,1,0,1,0,0,0,0,1,0,1,0,0,0,0,1,0,1,0,1,0,0,0,0,0,0,1,0,0,0,0,0,1,1,0,0,0,0,0,1,0,</t>
  </si>
  <si>
    <t>0,0,1,0,0,1,0,0,0,1,0,0,1,0,0,0,1,0,0,1,0,1,0,0,0,0,0,1,0,0,1,0,0,1,0,0,0,1,0,0,1,0,0,0,1,0,0,1,0,1,0,0,0,1,0,0,0,0,1,0,0,1,0,0,0,0,1,0,0,0,0,1,0,1,0,0,0,0,1,0,1,0,0,0,0,1,0,1,0,0,0,0,1,0,0,0,0,1,0,0,1,1,0,0,0,0,1,0,1,0,0,0,0,1,0,1,0,0,0,0,1,0,1,0,1,0,0,0,0,0,0,1,0,0,0,0,0,1,1,0,0,0,0,0,0,1,</t>
  </si>
  <si>
    <t>0,0,1,0,0,1,0,0,0,1,0,0,1,0,0,0,1,0,0,1,0,1,0,0,0,0,0,1,0,0,1,0,0,1,0,0,0,1,0,0,1,0,0,0,1,0,0,1,0,1,0,0,0,1,0,0,0,0,1,0,0,1,0,0,0,0,1,0,0,0,0,1,0,1,0,0,0,0,1,0,1,0,0,0,0,1,0,1,0,0,0,0,1,0,0,0,0,1,0,0,1,1,0,0,0,0,1,0,1,0,0,0,0,1,0,1,0,0,0,0,1,0,1,0,1,0,0,0,0,0,0,1,0,0,0,0,0,1,1,0,0,0,1,0,0,0,</t>
  </si>
  <si>
    <t>0,0,1,0,0,1,0,0,0,1,0,0,1,0,0,0,1,0,0,1,0,1,0,0,0,0,0,1,0,0,1,0,0,1,0,0,0,1,0,0,1,0,0,0,1,0,0,1,0,1,0,0,0,1,0,0,0,0,1,0,0,1,0,0,0,0,1,0,0,0,0,1,0,1,0,0,0,0,1,0,1,0,0,0,0,1,0,1,0,0,0,0,1,0,0,0,0,1,0,0,1,1,0,0,0,0,1,0,1,0,0,0,0,1,0,1,0,0,0,0,1,0,1,0,1,0,0,0,0,0,0,1,0,0,0,0,0,1,1,0,0,0,0,1,0,0,</t>
  </si>
  <si>
    <t>0,0,1,0,0,1,0,0,0,1,0,0,1,0,0,0,1,0,0,1,0,1,0,0,0,0,0,1,0,0,1,0,0,1,0,0,0,1,0,0,1,0,0,0,1,0,0,1,0,1,0,0,0,1,0,0,0,0,1,0,0,1,0,0,0,0,1,0,0,0,0,1,0,0,0,0,1,0,0,1,0,1,0,0,0,0,1,0,1,0,0,0,0,1,0,0,0,0,1,1,0,0,1,0,0,0,0,1,0,1,0,0,0,0,1,0,1,0,0,0,0,1,0,1,0,1,0,0,0,0,1,0,0,0,0,0,0,1,1,0,0,0,0,0,0,1,</t>
  </si>
  <si>
    <t>0,0,1,0,0,1,0,0,0,1,0,0,1,0,0,0,1,0,0,1,0,1,0,0,0,0,0,1,0,0,1,0,0,1,0,0,0,1,0,0,1,0,0,0,1,0,0,1,0,1,0,0,0,1,0,0,0,0,1,0,0,1,0,0,0,0,1,0,0,0,0,1,0,0,0,0,0,1,0,1,0,1,0,0,0,0,1,0,1,0,0,0,0,1,0,0,0,0,1,1,0,0,1,0,0,0,0,1,0,1,0,0,0,0,1,0,1,0,0,0,0,1,0,1,0,1,0,0,0,0,1,0,0,0,0,0,0,1,1,0,0,0,0,0,0,1,</t>
  </si>
  <si>
    <t>0,0,1,0,0,1,0,0,0,1,0,0,1,0,0,0,1,0,0,1,0,1,0,0,0,0,0,1,0,0,1,0,0,1,0,0,0,1,0,0,1,0,0,0,1,0,0,1,0,1,0,0,0,1,0,0,0,0,1,0,0,1,0,0,0,0,1,0,0,0,0,1,0,1,0,0,0,0,0,1,0,1,0,0,0,0,1,0,1,0,0,0,0,1,0,0,0,0,1,1,0,0,1,0,0,0,0,1,0,1,0,0,0,0,1,0,1,0,0,0,0,1,0,1,0,1,0,0,0,0,1,0,0,0,0,0,0,1,1,0,0,0,0,0,0,1,</t>
  </si>
  <si>
    <t>0,0,1,0,0,1,0,0,0,1,0,0,1,0,0,0,1,0,0,1,0,1,0,0,0,0,0,1,0,0,1,0,0,1,0,0,0,1,0,0,1,0,0,0,1,0,0,1,0,1,0,0,0,1,0,0,0,0,1,0,0,1,0,0,0,0,1,0,0,0,0,1,0,1,0,0,0,0,1,0,0,1,0,0,0,0,1,0,1,0,0,0,0,1,0,0,0,0,1,1,0,0,1,0,0,0,0,1,0,1,0,0,0,0,1,0,1,0,0,0,0,1,0,1,0,1,0,0,0,0,1,0,0,0,0,0,0,1,1,0,0,0,0,0,0,1,</t>
  </si>
  <si>
    <t>0,0,1,0,0,1,0,0,0,1,0,0,1,0,0,0,1,0,0,1,0,1,0,0,0,0,0,1,0,0,1,0,0,1,0,0,0,1,0,0,1,0,0,0,1,0,0,1,0,1,0,0,0,1,0,0,0,0,1,0,0,1,0,0,0,0,1,0,0,0,0,1,0,1,0,0,0,0,1,0,0,0,1,0,0,0,1,0,1,0,0,0,0,1,0,0,0,0,1,1,0,0,1,0,0,0,0,1,0,1,0,0,0,0,1,0,1,0,0,0,0,1,0,1,0,1,0,0,0,0,1,0,0,0,0,0,0,1,1,0,0,0,0,0,0,1,</t>
  </si>
  <si>
    <t>0,0,1,0,0,1,0,0,0,1,0,0,1,0,0,0,1,0,0,1,0,1,0,0,0,0,0,1,0,0,1,0,0,1,0,0,0,1,0,0,1,0,0,0,1,0,0,1,0,1,0,0,0,1,0,0,0,0,1,0,0,1,0,0,0,0,1,0,0,0,0,1,0,1,0,0,0,0,1,0,0,0,0,1,0,0,1,0,1,0,0,0,0,1,0,0,0,0,1,1,0,0,1,0,0,0,0,1,0,1,0,0,0,0,1,0,1,0,0,0,0,1,0,1,0,1,0,0,0,0,1,0,0,0,0,0,0,1,1,0,0,0,0,0,0,1,</t>
  </si>
  <si>
    <t>0,0,1,0,0,1,0,0,0,1,0,0,1,0,0,0,1,0,0,1,0,1,0,0,0,0,0,1,0,0,1,0,0,1,0,0,0,1,0,0,1,0,0,0,1,0,0,1,0,1,0,0,0,1,0,0,0,0,1,0,0,1,0,0,0,0,1,0,0,0,0,1,0,1,0,0,0,0,1,0,0,0,0,0,1,0,1,0,1,0,0,0,0,1,0,0,0,0,1,1,0,0,1,0,0,0,0,1,0,1,0,0,0,0,1,0,1,0,0,0,0,1,0,1,0,1,0,0,0,0,1,0,0,0,0,0,0,1,1,0,0,0,0,0,0,1,</t>
  </si>
  <si>
    <t>0,0,1,0,0,1,0,0,0,1,0,0,1,0,0,0,1,0,0,1,0,1,0,0,0,0,0,1,0,0,1,0,0,1,0,0,0,1,0,0,1,0,0,0,1,0,0,1,0,1,0,0,0,1,0,0,0,0,1,0,0,1,0,0,0,0,1,0,0,0,0,1,0,1,0,0,0,0,1,0,1,0,0,0,0,0,1,0,1,0,0,0,0,1,0,0,0,0,1,1,0,0,1,0,0,0,0,1,0,1,0,0,0,0,1,0,1,0,0,0,0,1,0,1,0,1,0,0,0,0,1,0,0,0,0,0,0,1,1,0,0,0,0,0,0,1,</t>
  </si>
  <si>
    <t>0,0,1,0,0,1,0,0,0,1,0,0,1,0,0,0,1,0,0,1,0,1,0,0,0,0,0,1,0,0,1,0,0,1,0,0,0,1,0,0,1,0,0,0,1,0,0,1,0,1,0,0,0,1,0,0,0,0,1,0,0,1,0,0,0,0,1,0,0,0,0,1,0,1,0,0,0,0,1,0,1,0,0,0,0,1,0,0,1,0,0,0,0,1,0,0,0,0,1,1,0,0,1,0,0,0,0,1,0,1,0,0,0,0,1,0,1,0,0,0,0,1,0,1,0,1,0,0,0,0,1,0,0,0,0,0,0,1,1,0,0,0,0,0,0,1,</t>
  </si>
  <si>
    <t>0,0,1,0,0,1,0,0,0,1,0,0,1,0,0,0,1,0,0,1,0,1,0,0,0,0,0,1,0,0,1,0,0,1,0,0,0,1,0,0,1,0,0,0,1,0,0,1,0,1,0,0,0,1,0,0,0,0,1,0,0,1,0,0,0,0,1,0,0,0,0,1,0,1,0,0,0,0,1,0,1,0,0,0,0,1,0,0,0,0,1,0,0,1,0,0,0,0,1,1,0,0,1,0,0,0,0,1,0,1,0,0,0,0,1,0,1,0,0,0,0,1,0,1,0,1,0,0,0,0,1,0,0,0,0,0,0,1,1,0,0,0,0,0,0,1,</t>
  </si>
  <si>
    <t>0,0,1,0,0,1,0,0,0,1,0,0,1,0,0,0,1,0,0,1,0,1,0,0,0,0,0,1,0,0,1,0,0,1,0,0,0,1,0,0,1,0,0,0,1,0,0,1,0,1,0,0,0,1,0,0,0,0,1,0,0,1,0,0,0,0,1,0,0,0,0,1,0,1,0,0,0,0,1,0,1,0,0,0,0,1,0,0,0,0,0,1,0,1,0,0,0,0,1,1,0,0,1,0,0,0,0,1,0,1,0,0,0,0,1,0,1,0,0,0,0,1,0,1,0,1,0,0,0,0,1,0,0,0,0,0,0,1,1,0,0,0,0,0,0,1,</t>
  </si>
  <si>
    <t>0,0,1,0,0,1,0,0,0,1,0,0,1,0,0,0,1,0,0,1,0,1,0,0,0,0,0,1,0,0,1,0,0,1,0,0,0,1,0,0,1,0,0,0,1,0,0,1,0,1,0,0,0,1,0,0,0,0,1,0,0,1,0,0,0,0,1,0,0,0,0,1,0,1,0,0,0,0,1,0,1,0,0,0,0,1,0,1,0,0,0,0,0,1,0,0,0,0,1,1,0,0,1,0,0,0,0,1,0,1,0,0,0,0,1,0,1,0,0,0,0,1,0,1,0,1,0,0,0,0,1,0,0,0,0,0,0,1,1,0,0,0,0,0,0,1,</t>
  </si>
  <si>
    <t>0,0,1,0,0,1,0,0,0,1,0,0,1,0,0,0,1,0,0,1,0,1,0,0,0,0,0,1,0,0,1,0,0,1,0,0,0,1,0,0,1,0,0,0,1,0,0,1,0,1,0,0,0,1,0,0,0,0,1,0,0,1,0,0,0,0,1,0,0,0,0,1,0,1,0,0,0,0,1,0,1,0,0,0,0,1,0,1,0,0,0,0,1,0,0,0,0,0,1,1,0,0,1,0,0,0,0,1,0,1,0,0,0,0,1,0,1,0,0,0,0,1,0,1,0,1,0,0,0,0,1,0,0,0,0,0,0,1,1,0,0,0,0,0,0,1,</t>
  </si>
  <si>
    <t>0,0,1,0,0,1,0,0,0,1,0,0,1,0,0,0,1,0,0,1,0,1,0,0,0,0,0,1,0,0,1,0,0,1,0,0,0,1,0,0,1,0,0,0,1,0,0,1,0,1,0,0,0,1,0,0,0,0,1,0,0,1,0,0,0,0,1,0,0,0,0,1,0,1,0,0,0,0,1,0,1,0,0,0,0,1,0,1,0,0,0,0,1,0,1,0,0,0,0,1,0,0,1,0,0,0,0,1,0,1,0,0,0,0,1,0,1,0,0,0,0,1,0,1,0,1,0,0,0,0,1,0,0,0,0,0,0,1,1,0,0,0,0,0,0,1,</t>
  </si>
  <si>
    <t>0,0,1,0,0,1,0,0,0,1,0,0,1,0,0,0,1,0,0,1,0,1,0,0,0,0,0,1,0,0,1,0,0,1,0,0,0,1,0,0,1,0,0,0,1,0,0,1,0,1,0,0,0,1,0,0,0,0,1,0,0,1,0,0,0,0,1,0,0,0,0,1,0,1,0,0,0,0,1,0,1,0,0,0,0,1,0,1,0,0,0,0,1,0,0,1,0,0,0,1,0,0,1,0,0,0,0,1,0,1,0,0,0,0,1,0,1,0,0,0,0,1,0,1,0,1,0,0,0,0,1,0,0,0,0,0,0,1,1,0,0,0,0,0,0,1,</t>
  </si>
  <si>
    <t>0,0,1,0,0,1,0,0,0,1,0,0,1,0,0,0,1,0,0,1,0,1,0,0,0,0,0,1,0,0,1,0,0,1,0,0,0,1,0,0,1,0,0,0,1,0,0,1,0,1,0,0,0,1,0,0,0,0,1,0,0,1,0,0,0,0,1,0,0,0,0,1,0,1,0,0,0,0,1,0,1,0,0,0,0,1,0,1,0,0,0,0,1,0,0,0,1,0,0,1,0,0,1,0,0,0,0,1,0,1,0,0,0,0,1,0,1,0,0,0,0,1,0,1,0,1,0,0,0,0,1,0,0,0,0,0,0,1,1,0,0,0,0,0,0,1,</t>
  </si>
  <si>
    <t>0,0,1,0,0,1,0,0,0,1,0,0,1,0,0,0,1,0,0,1,0,1,0,0,0,0,0,1,0,0,1,0,0,1,0,0,0,1,0,0,1,0,0,0,1,0,0,1,0,1,0,0,0,1,0,0,0,0,1,0,0,1,0,0,0,0,1,0,0,0,0,1,0,1,0,0,0,0,1,0,1,0,0,0,0,1,0,1,0,0,0,0,1,0,0,0,0,1,0,1,0,0,1,0,0,0,0,1,0,1,0,0,0,0,1,0,1,0,0,0,0,1,0,1,0,1,0,0,0,0,1,0,0,0,0,0,0,1,1,0,0,0,0,0,0,1,</t>
  </si>
  <si>
    <t>0,0,1,0,0,1,0,0,0,1,0,0,1,0,0,0,1,0,0,1,0,1,0,0,0,0,0,1,0,0,1,0,0,1,0,0,0,1,0,0,1,0,0,0,1,0,0,1,0,1,0,0,0,1,0,0,0,0,1,0,0,1,0,0,0,0,1,0,0,0,0,1,0,1,0,0,0,0,1,0,1,0,0,0,0,1,0,1,0,0,0,0,1,0,0,0,0,1,0,0,1,0,1,0,0,0,0,1,0,1,0,0,0,0,1,0,1,0,0,0,0,1,0,1,0,1,0,0,0,0,1,0,0,0,0,0,0,1,1,0,0,0,0,0,0,1,</t>
  </si>
  <si>
    <t>0,0,1,0,0,1,0,0,0,1,0,0,1,0,0,0,1,0,0,1,0,1,0,0,0,0,0,1,0,0,1,0,0,1,0,0,0,1,0,0,1,0,0,0,1,0,0,1,0,1,0,0,0,1,0,0,0,0,1,0,0,1,0,0,0,0,1,0,0,0,0,1,0,1,0,0,0,0,1,0,1,0,0,0,0,1,0,1,0,0,0,0,1,0,0,0,0,1,0,0,1,0,0,0,1,0,0,1,0,1,0,0,0,0,1,0,1,0,0,0,0,1,0,1,0,1,0,0,0,0,1,0,0,0,0,0,0,1,1,0,0,0,0,0,0,1,</t>
  </si>
  <si>
    <t>0,0,1,0,0,1,0,0,0,1,0,0,1,0,0,0,1,0,0,1,0,1,0,0,0,0,0,1,0,0,1,0,0,1,0,0,0,1,0,0,1,0,0,0,1,0,0,1,0,1,0,0,0,1,0,0,0,0,1,0,0,1,0,0,0,0,1,0,0,0,0,1,0,1,0,0,0,0,1,0,1,0,0,0,0,1,0,1,0,0,0,0,1,0,0,0,0,1,0,0,1,0,0,0,0,1,0,1,0,1,0,0,0,0,1,0,1,0,0,0,0,1,0,1,0,1,0,0,0,0,1,0,0,0,0,0,0,1,1,0,0,0,0,0,0,1,</t>
  </si>
  <si>
    <t>0,0,1,0,0,1,0,0,0,1,0,0,1,0,0,0,1,0,0,1,0,1,0,0,0,0,0,1,0,0,1,0,0,1,0,0,0,1,0,0,1,0,0,0,1,0,0,1,0,1,0,0,0,1,0,0,0,0,1,0,0,1,0,0,0,0,1,0,0,0,0,1,0,1,0,0,0,0,1,0,1,0,0,0,0,1,0,1,0,0,0,0,1,0,0,0,0,1,0,0,1,1,0,0,0,0,0,1,0,1,0,0,0,0,1,0,1,0,0,0,0,1,0,1,0,1,0,0,0,0,1,0,0,0,0,0,0,1,1,0,0,0,0,0,0,1,</t>
  </si>
  <si>
    <t>0,0,1,0,0,1,0,0,0,1,0,0,1,0,0,0,1,0,0,1,0,1,0,0,0,0,0,1,0,0,1,0,0,1,0,0,0,1,0,0,1,0,0,0,1,0,0,1,0,1,0,0,0,1,0,0,0,0,1,0,0,1,0,0,0,0,1,0,0,0,0,1,0,1,0,0,0,0,1,0,1,0,0,0,0,1,0,1,0,0,0,0,1,0,0,0,0,1,0,0,1,1,0,0,0,0,1,0,0,1,0,0,0,0,1,0,1,0,0,0,0,1,0,1,0,1,0,0,0,0,1,0,0,0,0,0,0,1,1,0,0,0,0,0,0,1,</t>
  </si>
  <si>
    <t>0,0,1,0,0,1,0,0,0,1,0,0,1,0,0,0,1,0,0,1,0,1,0,0,0,0,0,1,0,0,1,0,0,1,0,0,0,1,0,0,1,0,0,0,1,0,0,1,0,1,0,0,0,1,0,0,0,0,1,0,0,1,0,0,0,0,1,0,0,0,0,1,0,1,0,0,0,0,1,0,1,0,0,0,0,1,0,1,0,0,0,0,1,0,0,0,0,1,0,0,1,1,0,0,0,0,1,0,0,0,1,0,0,0,1,0,1,0,0,0,0,1,0,1,0,1,0,0,0,0,1,0,0,0,0,0,0,1,1,0,0,0,0,0,0,1,</t>
  </si>
  <si>
    <t>0,0,1,0,0,1,0,0,0,1,0,0,1,0,0,0,1,0,0,1,0,1,0,0,0,0,0,1,0,0,1,0,0,1,0,0,0,1,0,0,1,0,0,0,1,0,0,1,0,1,0,0,0,1,0,0,0,0,1,0,0,1,0,0,0,0,1,0,0,0,0,1,0,1,0,0,0,0,1,0,1,0,0,0,0,1,0,1,0,0,0,0,1,0,0,0,0,1,0,0,1,1,0,0,0,0,1,0,0,0,0,1,0,0,1,0,1,0,0,0,0,1,0,1,0,1,0,0,0,0,1,0,0,0,0,0,0,1,1,0,0,0,0,0,0,1,</t>
  </si>
  <si>
    <t>0,0,1,0,0,1,0,0,0,1,0,0,1,0,0,0,1,0,0,1,0,1,0,0,0,0,0,1,0,0,1,0,0,1,0,0,0,1,0,0,1,0,0,0,1,0,0,1,0,1,0,0,0,1,0,0,0,0,1,0,0,1,0,0,0,0,1,0,0,0,0,1,0,1,0,0,0,0,1,0,1,0,0,0,0,1,0,1,0,0,0,0,1,0,0,0,0,1,0,0,1,1,0,0,0,0,1,0,0,0,0,0,1,0,1,0,1,0,0,0,0,1,0,1,0,1,0,0,0,0,1,0,0,0,0,0,0,1,1,0,0,0,0,0,0,1,</t>
  </si>
  <si>
    <t>0,0,1,0,0,1,0,0,0,1,0,0,1,0,0,0,1,0,0,1,0,1,0,0,0,0,0,1,0,0,1,0,0,1,0,0,0,1,0,0,1,0,0,0,1,0,0,1,0,1,0,0,0,1,0,0,0,0,1,0,0,1,0,0,0,0,1,0,0,0,0,1,0,1,0,0,0,0,1,0,1,0,0,0,0,1,0,1,0,0,0,0,1,0,0,0,0,1,0,0,1,1,0,0,0,0,1,0,1,0,0,0,0,0,1,0,1,0,0,0,0,1,0,1,0,1,0,0,0,0,1,0,0,0,0,0,0,1,1,0,0,0,0,0,0,1,</t>
  </si>
  <si>
    <t>0,0,1,0,0,1,0,0,0,1,0,0,1,0,0,0,1,0,0,1,0,1,0,0,0,0,0,1,0,0,1,0,0,1,0,0,0,1,0,0,1,0,0,0,1,0,0,1,0,1,0,0,0,1,0,0,0,0,1,0,0,1,0,0,0,0,1,0,0,0,0,1,0,1,0,0,0,0,1,0,1,0,0,0,0,1,0,1,0,0,0,0,1,0,0,0,0,1,0,0,1,1,0,0,0,0,1,0,1,0,0,0,0,1,0,0,1,0,0,0,0,1,0,1,0,1,0,0,0,0,1,0,0,0,0,0,0,1,1,0,0,0,0,0,0,1,</t>
  </si>
  <si>
    <t>0,0,1,0,0,1,0,0,0,1,0,0,1,0,0,0,1,0,0,1,0,1,0,0,0,0,0,1,0,0,1,0,0,1,0,0,0,1,0,0,1,0,0,0,1,0,0,1,0,1,0,0,0,1,0,0,0,0,1,0,0,1,0,0,0,0,1,0,0,0,0,1,0,1,0,0,0,0,1,0,1,0,0,0,0,1,0,1,0,0,0,0,1,0,0,0,0,1,0,0,1,1,0,0,0,0,1,0,1,0,0,0,0,1,0,0,0,0,1,0,0,1,0,1,0,1,0,0,0,0,1,0,0,0,0,0,0,1,1,0,0,0,0,0,0,1,</t>
  </si>
  <si>
    <t>0,0,1,0,0,1,0,0,0,1,0,0,1,0,0,0,1,0,0,1,0,1,0,0,0,0,0,1,0,0,1,0,0,1,0,0,0,1,0,0,1,0,0,0,1,0,0,1,0,1,0,0,0,1,0,0,0,0,1,0,0,1,0,0,0,0,1,0,0,0,0,1,0,1,0,0,0,0,1,0,1,0,0,0,0,1,0,1,0,0,0,0,1,0,0,0,0,1,0,0,1,1,0,0,0,0,1,0,1,0,0,0,0,1,0,0,0,0,0,1,0,1,0,1,0,1,0,0,0,0,1,0,0,0,0,0,0,1,1,0,0,0,0,0,0,1,</t>
  </si>
  <si>
    <t>0,0,1,0,0,1,0,0,0,1,0,0,1,0,0,0,1,0,0,1,0,1,0,0,0,0,0,1,0,0,1,0,0,1,0,0,0,1,0,0,1,0,0,0,1,0,0,1,0,1,0,0,0,1,0,0,0,0,1,0,0,1,0,0,0,0,1,0,0,0,0,1,0,1,0,0,0,0,1,0,1,0,0,0,0,1,0,1,0,0,0,0,1,0,0,0,0,1,0,0,1,1,0,0,0,0,1,0,1,0,0,0,0,1,0,1,0,0,0,0,0,1,0,1,0,1,0,0,0,0,1,0,0,0,0,0,0,1,1,0,0,0,0,0,0,1,</t>
  </si>
  <si>
    <t>0,0,1,0,0,1,0,0,0,1,0,0,1,0,0,0,1,0,0,1,0,1,0,0,0,0,0,1,0,0,1,0,0,1,0,0,0,1,0,0,1,0,0,0,1,0,0,1,0,1,0,0,0,1,0,0,0,0,1,0,0,1,0,0,0,0,1,0,0,0,0,1,0,1,0,0,0,0,1,0,1,0,0,0,0,1,0,1,0,0,0,0,1,0,0,0,0,1,0,0,1,1,0,0,0,0,1,0,1,0,0,0,0,1,0,1,0,0,0,0,1,0,0,1,0,1,0,0,0,0,1,0,0,0,0,0,0,1,1,0,0,0,0,0,0,1,</t>
  </si>
  <si>
    <t>0,0,1,0,0,1,0,0,0,1,0,0,1,0,0,0,1,0,0,1,0,1,0,0,0,0,0,1,0,0,1,0,0,1,0,0,0,1,0,0,1,0,0,0,1,0,0,1,0,1,0,0,0,1,0,0,0,0,1,0,0,1,0,0,0,0,1,0,0,0,0,1,0,1,0,0,0,0,1,0,1,0,0,0,0,1,0,1,0,0,0,0,1,0,0,0,0,1,0,0,1,1,0,0,0,0,1,0,1,0,0,0,0,1,0,1,0,0,0,0,1,0,1,0,0,1,0,0,0,0,1,0,0,0,0,0,0,1,1,0,0,0,0,0,0,1,</t>
  </si>
  <si>
    <t>0,0,1,0,0,1,0,0,0,1,0,0,1,0,0,0,1,0,0,1,0,1,0,0,0,0,0,1,0,0,1,0,0,1,0,0,0,1,0,0,1,0,0,0,1,0,0,1,0,1,0,0,0,1,0,0,0,0,1,0,0,1,0,0,0,0,1,0,0,0,0,1,0,1,0,0,0,0,1,0,1,0,0,0,0,1,0,1,0,0,0,0,1,0,0,0,0,1,0,0,1,1,0,0,0,0,1,0,1,0,0,0,0,1,0,1,0,0,0,0,1,0,1,0,0,0,1,0,0,0,1,0,0,0,0,0,0,1,1,0,0,0,0,0,0,1,</t>
  </si>
  <si>
    <t>0,0,1,0,0,1,0,0,0,1,0,0,1,0,0,0,1,0,0,1,0,1,0,0,0,0,0,1,0,0,1,0,0,1,0,0,0,1,0,0,1,0,0,0,1,0,0,1,0,1,0,0,0,1,0,0,0,0,1,0,0,1,0,0,0,0,1,0,0,0,0,1,0,1,0,0,0,0,1,0,1,0,0,0,0,1,0,1,0,0,0,0,1,0,0,0,0,1,0,0,1,1,0,0,0,0,1,0,1,0,0,0,0,1,0,1,0,0,0,0,1,0,1,0,0,0,0,1,0,0,1,0,0,0,0,0,0,1,1,0,0,0,0,0,0,1,</t>
  </si>
  <si>
    <t>0,0,1,0,0,1,0,0,0,1,0,0,1,0,0,0,1,0,0,1,0,1,0,0,0,0,0,1,0,0,1,0,0,1,0,0,0,1,0,0,1,0,0,0,1,0,0,1,0,1,0,0,0,1,0,0,0,0,1,0,0,1,0,0,0,0,1,0,0,0,0,1,0,1,0,0,0,0,1,0,1,0,0,0,0,1,0,1,0,0,0,0,1,0,0,0,0,1,0,0,1,1,0,0,0,0,1,0,1,0,0,0,0,1,0,1,0,0,0,0,1,0,1,0,0,0,0,0,1,0,1,0,0,0,0,0,0,1,1,0,0,0,0,0,0,1,</t>
  </si>
  <si>
    <t>0,0,1,0,0,1,0,0,0,1,0,0,1,0,0,0,1,0,0,1,0,1,0,0,0,0,0,1,0,0,1,0,0,1,0,0,0,1,0,0,1,0,0,0,1,0,0,1,0,1,0,0,0,1,0,0,0,0,1,0,0,1,0,0,0,0,1,0,0,0,0,1,0,1,0,0,0,0,1,0,1,0,0,0,0,1,0,1,0,0,0,0,1,0,0,0,0,1,0,0,1,1,0,0,0,0,1,0,1,0,0,0,0,1,0,1,0,0,0,0,1,0,1,0,1,0,0,0,0,0,1,0,0,0,0,0,0,1,1,0,0,0,0,0,0,1,</t>
  </si>
  <si>
    <t>0,0,1,0,0,1,0,0,0,1,0,0,1,0,0,0,1,0,0,1,0,1,0,0,0,0,0,1,0,0,1,0,0,1,0,0,0,1,0,0,1,0,0,0,1,0,0,1,0,1,0,0,0,1,0,0,0,0,1,0,0,1,0,0,0,0,1,0,0,0,0,1,0,1,0,0,0,0,1,0,1,0,0,0,0,1,0,1,0,0,0,0,1,0,0,0,0,1,0,0,1,1,0,0,0,0,1,0,1,0,0,0,0,1,0,1,0,0,0,0,1,0,1,0,1,0,0,0,0,0,0,0,1,0,0,0,0,1,1,0,0,0,0,0,0,1,</t>
  </si>
  <si>
    <t>0,0,1,0,0,1,0,0,0,1,0,0,1,0,0,0,1,0,0,1,0,1,0,0,0,0,0,1,0,0,1,0,0,1,0,0,0,1,0,0,1,0,0,0,1,0,0,1,0,1,0,0,0,1,0,0,0,0,1,0,0,1,0,0,0,0,1,0,0,0,0,1,0,1,0,0,0,0,1,0,1,0,0,0,0,1,0,1,0,0,0,0,1,0,0,0,0,1,0,0,1,1,0,0,0,0,1,0,1,0,0,0,0,1,0,1,0,0,0,0,1,0,1,0,1,0,0,0,0,0,0,0,0,1,0,0,0,1,1,0,0,0,0,0,0,1,</t>
  </si>
  <si>
    <t>0,0,1,0,0,1,0,0,0,1,0,0,1,0,0,0,1,0,0,1,0,1,0,0,0,0,0,1,0,0,1,0,0,1,0,0,0,1,0,0,1,0,0,0,1,0,0,1,0,1,0,0,0,1,0,0,0,0,1,0,0,1,0,0,0,0,1,0,0,0,0,1,0,1,0,0,0,0,1,0,1,0,0,0,0,1,0,1,0,0,0,0,1,0,0,0,0,1,0,0,1,1,0,0,0,0,1,0,1,0,0,0,0,1,0,1,0,0,0,0,1,0,1,0,1,0,0,0,0,1,0,0,0,0,0,0,0,1,1,0,0,0,0,0,0,1,</t>
  </si>
  <si>
    <t>0,0,1,0,0,1,0,0,0,1,0,0,1,0,0,0,1,0,0,1,0,1,0,0,0,0,0,1,0,0,1,0,0,1,0,0,0,1,0,0,1,0,0,0,1,0,0,1,0,1,0,0,0,1,0,0,0,0,1,0,0,1,0,0,0,0,1,0,0,0,0,1,0,1,0,0,0,0,1,0,1,0,0,0,0,1,0,1,0,0,0,0,1,0,0,0,0,1,0,0,1,1,0,0,0,0,1,0,1,0,0,0,0,1,0,1,0,0,0,0,1,0,1,0,1,0,0,0,0,1,0,0,0,0,1,0,0,0,1,0,0,0,0,0,0,1,</t>
  </si>
  <si>
    <t>0,0,1,0,0,1,0,0,0,1,0,0,1,0,0,0,1,0,0,1,0,1,0,0,0,0,0,1,0,0,1,0,0,1,0,0,0,1,0,0,1,0,0,0,1,0,0,1,0,1,0,0,0,1,0,0,0,0,1,0,0,1,0,0,0,0,1,0,0,0,0,1,0,1,0,0,0,0,1,0,1,0,0,0,0,1,0,1,0,0,0,0,1,0,0,0,0,1,0,0,1,1,0,0,0,0,1,0,1,0,0,0,0,1,0,1,0,0,0,0,1,0,1,0,1,0,0,0,0,1,0,0,0,0,0,1,0,0,1,0,0,0,0,0,0,1,</t>
  </si>
  <si>
    <t>0,0,1,0,0,1,0,0,0,1,0,0,1,0,0,0,1,0,0,1,0,1,0,0,0,0,0,1,0,0,1,0,0,1,0,0,0,1,0,0,1,0,0,0,1,0,0,1,0,1,0,0,0,1,0,0,0,0,1,0,0,1,0,0,0,0,1,0,0,0,0,1,0,1,0,0,0,0,1,0,1,0,0,0,0,1,0,1,0,0,0,0,1,0,0,0,0,1,0,0,1,1,0,0,0,0,1,0,1,0,0,0,0,1,0,1,0,0,0,0,1,0,1,0,1,0,0,0,0,1,0,0,0,0,0,0,1,0,1,0,0,0,0,0,0,1,</t>
  </si>
  <si>
    <t>0,0,1,0,0,1,0,0,0,1,0,0,1,0,0,0,1,0,0,1,0,1,0,0,0,0,0,1,0,0,1,0,0,1,0,0,0,1,0,0,1,0,0,0,1,0,0,1,0,1,0,0,0,1,0,0,0,0,1,0,0,1,0,0,0,0,1,0,0,0,0,1,0,1,0,0,0,0,1,0,1,0,0,0,0,1,0,1,0,0,0,0,1,0,0,0,0,1,0,0,1,1,0,0,0,0,1,0,1,0,0,0,0,1,0,1,0,0,0,0,1,0,1,0,1,0,0,0,0,1,0,0,0,0,0,0,1,0,0,1,0,0,0,0,0,1,</t>
  </si>
  <si>
    <t>0,0,1,0,0,1,0,0,0,1,0,0,1,0,0,0,1,0,0,1,0,1,0,0,0,0,0,1,0,0,1,0,0,1,0,0,0,1,0,0,1,0,0,0,1,0,0,1,0,1,0,0,0,1,0,0,0,0,1,0,0,1,0,0,0,0,1,0,0,0,0,1,0,1,0,0,0,0,1,0,1,0,0,0,0,1,0,1,0,0,0,0,1,0,0,0,0,1,0,0,1,1,0,0,0,0,1,0,1,0,0,0,0,1,0,1,0,0,0,0,1,0,1,0,1,0,0,0,0,1,0,0,0,0,0,0,1,0,0,0,1,0,0,0,0,1,</t>
  </si>
  <si>
    <t>0,0,1,0,0,1,0,0,0,1,0,0,1,0,0,0,1,0,0,1,0,1,0,0,0,0,0,1,0,0,1,0,0,1,0,0,0,1,0,0,1,0,0,0,1,0,0,1,0,1,0,0,0,1,0,0,0,0,1,0,0,1,0,0,0,0,1,0,0,0,0,1,0,1,0,0,0,0,1,0,1,0,0,0,0,1,0,1,0,0,0,0,1,0,0,0,0,1,0,0,1,1,0,0,0,0,1,0,1,0,0,0,0,1,0,1,0,0,0,0,1,0,1,0,1,0,0,0,0,1,0,0,0,0,0,0,1,0,0,0,0,1,0,0,0,1,</t>
  </si>
  <si>
    <t>0,0,1,0,0,1,0,0,0,1,0,0,1,0,0,0,1,0,0,1,0,1,0,0,0,0,0,1,0,0,1,0,0,1,0,0,0,1,0,0,1,0,0,0,1,0,0,1,0,1,0,0,0,1,0,0,0,0,1,0,0,1,0,0,0,0,1,0,0,0,0,1,0,1,0,0,0,0,1,0,1,0,0,0,0,1,0,1,0,0,0,0,1,0,0,0,0,1,0,0,1,1,0,0,0,0,1,0,1,0,0,0,0,1,0,1,0,0,0,0,1,0,1,0,1,0,0,0,0,1,0,0,0,0,0,0,1,0,0,0,0,1,1,0,0,0,</t>
  </si>
  <si>
    <t>0,0,1,0,0,1,0,0,0,1,0,0,1,0,0,0,1,0,0,1,0,1,0,0,0,0,0,1,0,0,1,0,0,1,0,0,0,1,0,0,1,0,0,0,1,0,0,1,0,1,0,0,0,1,0,0,0,0,1,0,0,1,0,0,0,0,1,0,0,0,0,1,0,1,0,0,0,0,1,0,1,0,0,0,0,1,0,1,0,0,0,0,1,0,0,0,0,1,0,0,1,1,0,0,0,0,1,0,1,0,0,0,0,1,0,1,0,0,0,0,1,0,1,0,1,0,0,0,0,1,0,0,0,0,0,0,1,0,0,0,0,1,0,1,0,0,</t>
  </si>
  <si>
    <t>0,0,1,0,0,1,0,0,0,1,0,0,1,0,0,0,1,0,0,1,0,1,0,0,0,0,0,1,0,0,1,0,0,1,0,0,0,1,0,0,1,0,0,0,1,0,0,1,0,1,0,0,0,1,0,0,0,0,1,0,0,1,0,0,0,0,1,0,0,0,0,1,0,1,0,0,0,0,1,0,1,0,0,0,0,1,0,1,0,0,0,0,1,0,0,0,0,1,0,0,1,0,1,0,0,0,1,0,0,0,1,0,0,1,0,0,0,1,0,0,1,0,1,0,0,0,1,0,0,0,0,1,0,0,1,0,0,0,0,1,0,0,0,0,1,0,0.448</t>
  </si>
  <si>
    <t>0,0,1,0,0,1,0,0,0,1,0,0,1,0,0,0,1,0,0,1,0,1,0,0,0,0,0,1,0,0,1,0,0,1,0,0,0,1,0,0,1,0,0,0,1,0,0,1,0,1,0,0,0,1,0,0,0,0,1,0,0,1,0,0,0,0,1,0,0,0,0,1,0,0,0,0,1,0,0,1,0,1,0,0,0,0,1,0,1,0,0,0,0,1,0,0,0,0,1,1,0,0,1,0,0,0,0,1,0,1,0,0,0,0,1,0,1,0,0,0,0,1,0,1,0,1,0,0,0,0,1,0,0,0,0,0,0,1,1,0,0,0,0,0,0,1,0.4</t>
  </si>
  <si>
    <t>0,0,1,0,0,1,0,0,0,1,0,0,1,0,0,0,1,0,0,1,0,1,0,0,0,0,0,1,0,0,1,0,0,1,0,0,0,1,0,0,1,0,0,0,1,0,0,1,0,1,0,0,0,1,0,0,0,0,1,0,0,1,0,0,0,0,1,0,0,0,0,1,0,1,0,0,0,0,0,1,0,1,0,0,0,0,1,0,1,0,0,0,0,1,0,0,0,0,1,1,0,0,1,0,0,0,0,1,0,1,0,0,0,0,1,0,1,0,0,0,0,1,0,1,0,1,0,0,0,0,1,0,0,0,0,0,0,1,1,0,0,0,0,0,0,1,0.464</t>
  </si>
  <si>
    <t>0,0,1,0,0,1,0,0,0,1,0,0,1,0,0,0,1,0,0,1,0,1,0,0,0,0,0,1,0,0,1,0,0,1,0,0,0,1,0,0,1,0,0,0,1,0,0,1,0,1,0,0,0,1,0,0,0,0,1,0,0,1,0,0,0,0,1,0,0,0,0,1,0,1,0,0,0,0,1,0,0,1,0,0,0,0,1,0,1,0,0,0,0,1,0,0,0,0,1,1,0,0,1,0,0,0,0,1,0,1,0,0,0,0,1,0,1,0,0,0,0,1,0,1,0,1,0,0,0,0,1,0,0,0,0,0,0,1,1,0,0,0,0,0,0,1,0.471</t>
  </si>
  <si>
    <t>0,0,1,0,0,1,0,0,0,1,0,0,1,0,0,0,1,0,0,1,0,1,0,0,0,0,0,1,0,0,1,0,0,1,0,0,0,1,0,0,1,0,0,0,1,0,0,1,0,1,0,0,0,1,0,0,0,0,1,0,0,1,0,0,0,0,1,0,0,0,0,1,0,1,0,0,0,0,1,0,0,0,1,0,0,0,1,0,1,0,0,0,0,1,0,0,0,0,1,1,0,0,1,0,0,0,0,1,0,1,0,0,0,0,1,0,1,0,0,0,0,1,0,1,0,1,0,0,0,0,1,0,0,0,0,0,0,1,1,0,0,0,0,0,0,1,0.464</t>
  </si>
  <si>
    <t>0,0,1,0,0,1,0,0,0,1,0,0,1,0,0,0,1,0,0,1,0,1,0,0,0,0,0,1,0,0,1,0,0,1,0,0,0,1,0,0,1,0,0,0,1,0,0,1,0,1,0,0,0,1,0,0,0,0,1,0,0,1,0,0,0,0,1,0,0,0,0,1,0,1,0,0,0,0,1,0,0,0,0,1,0,0,1,0,1,0,0,0,0,1,0,0,0,0,1,1,0,0,1,0,0,0,0,1,0,1,0,0,0,0,1,0,1,0,0,0,0,1,0,1,0,1,0,0,0,0,1,0,0,0,0,0,0,1,1,0,0,0,0,0,0,1,0.44</t>
  </si>
  <si>
    <t>0,0,1,0,0,1,0,0,0,1,0,0,1,0,0,0,1,0,0,1,0,1,0,0,0,0,0,1,0,0,1,0,0,1,0,0,0,1,0,0,1,0,0,0,1,0,0,1,0,1,0,0,0,1,0,0,0,0,1,0,0,1,0,0,0,0,1,0,0,0,0,1,0,1,0,0,0,0,1,0,1,0,0,0,0,0,1,0,1,0,0,0,0,1,0,0,0,0,1,1,0,0,1,0,0,0,0,1,0,1,0,0,0,0,1,0,1,0,0,0,0,1,0,1,0,1,0,0,0,0,1,0,0,0,0,0,0,1,1,0,0,0,0,0,0,1,0.471</t>
  </si>
  <si>
    <t>0,0,1,0,0,1,0,0,0,1,0,0,1,0,0,0,1,0,0,1,0,1,0,0,0,0,0,1,0,0,1,0,0,1,0,0,0,1,0,0,1,0,0,0,1,0,0,1,0,1,0,0,0,1,0,0,0,0,1,0,0,1,0,0,0,0,1,0,0,0,0,1,0,1,0,0,0,0,1,0,1,0,0,0,0,1,0,0,1,0,0,0,0,1,0,0,0,0,1,1,0,0,1,0,0,0,0,1,0,1,0,0,0,0,1,0,1,0,0,0,0,1,0,1,0,1,0,0,0,0,1,0,0,0,0,0,0,1,1,0,0,0,0,0,0,1,0.475</t>
  </si>
  <si>
    <t>0,0,1,0,0,1,0,0,0,1,0,0,1,0,0,0,1,0,0,1,0,1,0,0,0,0,0,1,0,0,1,0,0,1,0,0,0,1,0,0,1,0,0,0,1,0,0,1,0,1,0,0,0,1,0,0,0,0,1,0,0,1,0,0,0,0,1,0,0,0,0,1,0,1,0,0,0,0,1,0,1,0,0,0,0,1,0,0,0,1,0,0,0,1,0,0,0,0,1,1,0,0,1,0,0,0,0,1,0,1,0,0,0,0,1,0,1,0,0,0,0,1,0,1,0,1,0,0,0,0,1,0,0,0,0,0,0,1,1,0,0,0,0,0,0,1,0.471</t>
  </si>
  <si>
    <t>0,0,1,0,0,1,0,0,0,1,0,0,1,0,0,0,1,0,0,1,0,1,0,0,0,0,0,1,0,0,1,0,0,1,0,0,0,1,0,0,1,0,0,0,1,0,0,1,0,1,0,0,0,1,0,0,0,0,1,0,0,1,0,0,0,0,1,0,0,0,0,1,0,1,0,0,0,0,1,0,1,0,0,0,0,1,0,0,0,0,1,0,0,1,0,0,0,0,1,1,0,0,1,0,0,0,0,1,0,1,0,0,0,0,1,0,1,0,0,0,0,1,0,1,0,1,0,0,0,0,1,0,0,0,0,0,0,1,1,0,0,0,0,0,0,1,0.462</t>
  </si>
  <si>
    <t>0,0,1,0,0,1,0,0,0,1,0,0,1,0,0,0,1,0,0,1,0,1,0,0,0,0,0,1,0,0,1,0,0,1,0,0,0,1,0,0,1,0,0,0,1,0,0,1,0,1,0,0,0,1,0,0,0,0,1,0,0,1,0,0,0,0,1,0,0,0,0,1,0,1,0,0,0,0,1,0,1,0,0,0,0,1,0,1,0,0,0,0,0,1,0,0,0,0,1,1,0,0,1,0,0,0,0,1,0,1,0,0,0,0,1,0,1,0,0,0,0,1,0,1,0,1,0,0,0,0,1,0,0,0,0,0,0,1,1,0,0,0,0,0,0,1,0.475</t>
  </si>
</sst>
</file>

<file path=xl/styles.xml><?xml version="1.0" encoding="utf-8"?>
<styleSheet xmlns="http://schemas.openxmlformats.org/spreadsheetml/2006/main">
  <numFmts count="1">
    <numFmt numFmtId="164" formatCode="0.0000"/>
  </numFmts>
  <fonts count="14">
    <font>
      <sz val="11"/>
      <color theme="1"/>
      <name val="Calibri"/>
      <family val="2"/>
      <charset val="204"/>
      <scheme val="minor"/>
    </font>
    <font>
      <sz val="16"/>
      <color theme="1"/>
      <name val="Palatino Linotype"/>
      <family val="1"/>
      <charset val="204"/>
    </font>
    <font>
      <sz val="11"/>
      <color theme="1"/>
      <name val="Palatino Linotype"/>
      <family val="1"/>
      <charset val="204"/>
    </font>
    <font>
      <sz val="10"/>
      <color theme="1"/>
      <name val="Calibri"/>
      <family val="2"/>
      <charset val="204"/>
      <scheme val="minor"/>
    </font>
    <font>
      <i/>
      <sz val="11"/>
      <color rgb="FF333333"/>
      <name val="Arial"/>
      <family val="2"/>
      <charset val="204"/>
    </font>
    <font>
      <sz val="11"/>
      <color rgb="FF333333"/>
      <name val="Arial"/>
      <family val="2"/>
      <charset val="204"/>
    </font>
    <font>
      <sz val="12"/>
      <color theme="1"/>
      <name val="Times New Roman"/>
      <family val="1"/>
      <charset val="204"/>
    </font>
    <font>
      <sz val="11"/>
      <color rgb="FF6897BB"/>
      <name val="Calibri"/>
      <family val="2"/>
      <charset val="204"/>
      <scheme val="minor"/>
    </font>
    <font>
      <sz val="11"/>
      <color rgb="FFCC7832"/>
      <name val="Calibri"/>
      <family val="2"/>
      <charset val="204"/>
      <scheme val="minor"/>
    </font>
    <font>
      <sz val="11"/>
      <color rgb="FF212121"/>
      <name val="Courier New"/>
      <family val="3"/>
      <charset val="204"/>
    </font>
    <font>
      <sz val="11"/>
      <color rgb="FF000000"/>
      <name val="Calibri"/>
      <family val="2"/>
      <charset val="204"/>
    </font>
    <font>
      <sz val="10"/>
      <color rgb="FF000000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vertAlign val="subscript"/>
      <sz val="10"/>
      <color rgb="FF000000"/>
      <name val="Times New Roman"/>
      <family val="1"/>
      <charset val="204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A4C2F4"/>
        <bgColor rgb="FFA4C2F4"/>
      </patternFill>
    </fill>
    <fill>
      <patternFill patternType="solid">
        <fgColor rgb="FF6D9EEB"/>
        <bgColor rgb="FF6D9EEB"/>
      </patternFill>
    </fill>
    <fill>
      <patternFill patternType="solid">
        <fgColor rgb="FF6AA84F"/>
        <bgColor rgb="FF6AA84F"/>
      </patternFill>
    </fill>
    <fill>
      <patternFill patternType="solid">
        <fgColor rgb="FF93C47D"/>
        <bgColor rgb="FF93C47D"/>
      </patternFill>
    </fill>
    <fill>
      <patternFill patternType="solid">
        <fgColor theme="6" tint="0.59999389629810485"/>
        <bgColor rgb="FFFFD966"/>
      </patternFill>
    </fill>
    <fill>
      <patternFill patternType="solid">
        <fgColor rgb="FFFFD966"/>
        <bgColor rgb="FFFFD966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249977111117893"/>
        <bgColor rgb="FF6AA84F"/>
      </patternFill>
    </fill>
    <fill>
      <patternFill patternType="solid">
        <fgColor theme="2" tint="-0.249977111117893"/>
        <bgColor rgb="FFFFD966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rgb="FF6AA84F"/>
      </patternFill>
    </fill>
    <fill>
      <patternFill patternType="solid">
        <fgColor rgb="FF92D050"/>
        <bgColor rgb="FF93C47D"/>
      </patternFill>
    </fill>
    <fill>
      <patternFill patternType="solid">
        <fgColor theme="3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0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vertical="center"/>
    </xf>
    <xf numFmtId="0" fontId="0" fillId="0" borderId="0" xfId="0" applyAlignment="1"/>
    <xf numFmtId="0" fontId="1" fillId="4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5" borderId="0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0" fillId="0" borderId="0" xfId="0" applyBorder="1"/>
    <xf numFmtId="0" fontId="0" fillId="6" borderId="1" xfId="0" applyFill="1" applyBorder="1"/>
    <xf numFmtId="0" fontId="0" fillId="0" borderId="3" xfId="0" applyFill="1" applyBorder="1"/>
    <xf numFmtId="0" fontId="0" fillId="0" borderId="0" xfId="0" applyFill="1" applyBorder="1"/>
    <xf numFmtId="0" fontId="1" fillId="0" borderId="2" xfId="0" applyFont="1" applyBorder="1" applyAlignment="1">
      <alignment vertical="center"/>
    </xf>
    <xf numFmtId="0" fontId="1" fillId="2" borderId="4" xfId="0" applyFont="1" applyFill="1" applyBorder="1" applyAlignment="1">
      <alignment horizontal="left" vertical="center"/>
    </xf>
    <xf numFmtId="0" fontId="0" fillId="0" borderId="0" xfId="0" applyBorder="1" applyAlignment="1"/>
    <xf numFmtId="0" fontId="2" fillId="0" borderId="0" xfId="0" applyFont="1" applyBorder="1" applyAlignment="1">
      <alignment vertical="center"/>
    </xf>
    <xf numFmtId="164" fontId="0" fillId="0" borderId="0" xfId="0" applyNumberFormat="1" applyBorder="1" applyAlignment="1"/>
    <xf numFmtId="0" fontId="0" fillId="0" borderId="1" xfId="0" applyFill="1" applyBorder="1"/>
    <xf numFmtId="0" fontId="3" fillId="0" borderId="0" xfId="0" applyNumberFormat="1" applyFont="1" applyFill="1" applyBorder="1" applyAlignment="1">
      <alignment horizontal="left" vertical="center"/>
    </xf>
    <xf numFmtId="0" fontId="0" fillId="0" borderId="0" xfId="0" applyFill="1"/>
    <xf numFmtId="0" fontId="1" fillId="2" borderId="0" xfId="0" applyFont="1" applyFill="1" applyBorder="1" applyAlignment="1">
      <alignment horizontal="left" vertical="center"/>
    </xf>
    <xf numFmtId="0" fontId="0" fillId="2" borderId="0" xfId="0" applyFill="1"/>
    <xf numFmtId="0" fontId="0" fillId="2" borderId="0" xfId="0" applyFill="1" applyBorder="1"/>
    <xf numFmtId="0" fontId="0" fillId="2" borderId="1" xfId="0" applyFill="1" applyBorder="1"/>
    <xf numFmtId="0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horizontal="left" vertical="center"/>
    </xf>
    <xf numFmtId="0" fontId="0" fillId="0" borderId="5" xfId="0" applyFill="1" applyBorder="1"/>
    <xf numFmtId="0" fontId="0" fillId="0" borderId="1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3" xfId="0" applyNumberFormat="1" applyFont="1" applyFill="1" applyBorder="1" applyAlignment="1">
      <alignment vertical="center"/>
    </xf>
    <xf numFmtId="0" fontId="4" fillId="0" borderId="0" xfId="0" applyFont="1" applyAlignment="1">
      <alignment horizontal="left" wrapText="1" indent="1"/>
    </xf>
    <xf numFmtId="0" fontId="5" fillId="0" borderId="0" xfId="0" applyFont="1" applyAlignment="1">
      <alignment horizontal="left" indent="1"/>
    </xf>
    <xf numFmtId="2" fontId="0" fillId="0" borderId="0" xfId="0" applyNumberFormat="1"/>
    <xf numFmtId="0" fontId="0" fillId="0" borderId="0" xfId="0" applyNumberFormat="1"/>
    <xf numFmtId="0" fontId="6" fillId="0" borderId="0" xfId="0" applyFont="1"/>
    <xf numFmtId="0" fontId="7" fillId="0" borderId="0" xfId="0" applyFont="1"/>
    <xf numFmtId="0" fontId="9" fillId="0" borderId="0" xfId="0" applyFont="1"/>
    <xf numFmtId="10" fontId="0" fillId="0" borderId="0" xfId="0" applyNumberFormat="1"/>
    <xf numFmtId="0" fontId="10" fillId="0" borderId="0" xfId="0" applyFont="1" applyAlignment="1">
      <alignment wrapText="1"/>
    </xf>
    <xf numFmtId="0" fontId="0" fillId="7" borderId="0" xfId="0" applyFill="1"/>
    <xf numFmtId="0" fontId="11" fillId="8" borderId="0" xfId="0" applyFont="1" applyFill="1"/>
    <xf numFmtId="0" fontId="3" fillId="9" borderId="0" xfId="0" applyFont="1" applyFill="1" applyAlignment="1">
      <alignment wrapText="1"/>
    </xf>
    <xf numFmtId="0" fontId="3" fillId="10" borderId="0" xfId="0" applyFont="1" applyFill="1" applyAlignment="1">
      <alignment wrapText="1"/>
    </xf>
    <xf numFmtId="0" fontId="3" fillId="3" borderId="0" xfId="0" applyFont="1" applyFill="1" applyAlignment="1">
      <alignment wrapText="1"/>
    </xf>
    <xf numFmtId="0" fontId="3" fillId="8" borderId="0" xfId="0" applyFont="1" applyFill="1" applyAlignment="1">
      <alignment wrapText="1"/>
    </xf>
    <xf numFmtId="0" fontId="3" fillId="0" borderId="0" xfId="0" applyFont="1" applyAlignment="1">
      <alignment wrapText="1"/>
    </xf>
    <xf numFmtId="0" fontId="10" fillId="11" borderId="1" xfId="0" applyFont="1" applyFill="1" applyBorder="1" applyAlignment="1">
      <alignment wrapText="1"/>
    </xf>
    <xf numFmtId="0" fontId="10" fillId="12" borderId="1" xfId="0" applyFont="1" applyFill="1" applyBorder="1" applyAlignment="1">
      <alignment wrapText="1"/>
    </xf>
    <xf numFmtId="0" fontId="10" fillId="13" borderId="1" xfId="0" applyFont="1" applyFill="1" applyBorder="1" applyAlignment="1">
      <alignment wrapText="1"/>
    </xf>
    <xf numFmtId="0" fontId="10" fillId="14" borderId="1" xfId="0" applyFont="1" applyFill="1" applyBorder="1" applyAlignment="1">
      <alignment wrapText="1"/>
    </xf>
    <xf numFmtId="0" fontId="10" fillId="15" borderId="1" xfId="0" applyFont="1" applyFill="1" applyBorder="1" applyAlignment="1">
      <alignment wrapText="1"/>
    </xf>
    <xf numFmtId="0" fontId="10" fillId="16" borderId="1" xfId="0" applyFont="1" applyFill="1" applyBorder="1" applyAlignment="1">
      <alignment wrapText="1"/>
    </xf>
    <xf numFmtId="0" fontId="10" fillId="11" borderId="2" xfId="0" applyFont="1" applyFill="1" applyBorder="1" applyAlignment="1">
      <alignment wrapText="1"/>
    </xf>
    <xf numFmtId="0" fontId="10" fillId="12" borderId="2" xfId="0" applyFont="1" applyFill="1" applyBorder="1" applyAlignment="1">
      <alignment wrapText="1"/>
    </xf>
    <xf numFmtId="0" fontId="10" fillId="13" borderId="2" xfId="0" applyFont="1" applyFill="1" applyBorder="1" applyAlignment="1">
      <alignment wrapText="1"/>
    </xf>
    <xf numFmtId="0" fontId="10" fillId="14" borderId="2" xfId="0" applyFont="1" applyFill="1" applyBorder="1" applyAlignment="1">
      <alignment wrapText="1"/>
    </xf>
    <xf numFmtId="0" fontId="10" fillId="15" borderId="2" xfId="0" applyFont="1" applyFill="1" applyBorder="1" applyAlignment="1">
      <alignment wrapText="1"/>
    </xf>
    <xf numFmtId="0" fontId="3" fillId="0" borderId="1" xfId="0" applyFont="1" applyBorder="1" applyAlignment="1">
      <alignment wrapText="1"/>
    </xf>
    <xf numFmtId="0" fontId="3" fillId="17" borderId="1" xfId="0" applyFont="1" applyFill="1" applyBorder="1" applyAlignment="1">
      <alignment wrapText="1"/>
    </xf>
    <xf numFmtId="0" fontId="3" fillId="0" borderId="1" xfId="0" applyFont="1" applyFill="1" applyBorder="1" applyAlignment="1">
      <alignment wrapText="1"/>
    </xf>
    <xf numFmtId="0" fontId="3" fillId="0" borderId="0" xfId="0" applyFont="1" applyFill="1" applyBorder="1" applyAlignment="1">
      <alignment wrapText="1"/>
    </xf>
    <xf numFmtId="0" fontId="9" fillId="0" borderId="6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7" borderId="0" xfId="0" applyFill="1" applyBorder="1"/>
    <xf numFmtId="0" fontId="11" fillId="8" borderId="0" xfId="0" applyFont="1" applyFill="1" applyBorder="1"/>
    <xf numFmtId="0" fontId="3" fillId="9" borderId="0" xfId="0" applyFont="1" applyFill="1" applyBorder="1" applyAlignment="1">
      <alignment wrapText="1"/>
    </xf>
    <xf numFmtId="0" fontId="3" fillId="10" borderId="0" xfId="0" applyFont="1" applyFill="1" applyBorder="1" applyAlignment="1">
      <alignment wrapText="1"/>
    </xf>
    <xf numFmtId="0" fontId="3" fillId="3" borderId="0" xfId="0" applyFont="1" applyFill="1" applyBorder="1" applyAlignment="1">
      <alignment wrapText="1"/>
    </xf>
    <xf numFmtId="0" fontId="3" fillId="8" borderId="13" xfId="0" applyFont="1" applyFill="1" applyBorder="1" applyAlignment="1">
      <alignment wrapText="1"/>
    </xf>
    <xf numFmtId="0" fontId="10" fillId="11" borderId="14" xfId="0" applyFont="1" applyFill="1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13" xfId="0" applyFont="1" applyBorder="1" applyAlignment="1">
      <alignment wrapText="1"/>
    </xf>
    <xf numFmtId="0" fontId="10" fillId="12" borderId="14" xfId="0" applyFont="1" applyFill="1" applyBorder="1" applyAlignment="1">
      <alignment wrapText="1"/>
    </xf>
    <xf numFmtId="0" fontId="10" fillId="13" borderId="14" xfId="0" applyFont="1" applyFill="1" applyBorder="1" applyAlignment="1">
      <alignment wrapText="1"/>
    </xf>
    <xf numFmtId="0" fontId="3" fillId="17" borderId="0" xfId="0" applyFont="1" applyFill="1" applyBorder="1" applyAlignment="1">
      <alignment wrapText="1"/>
    </xf>
    <xf numFmtId="0" fontId="3" fillId="17" borderId="13" xfId="0" applyFont="1" applyFill="1" applyBorder="1" applyAlignment="1">
      <alignment wrapText="1"/>
    </xf>
    <xf numFmtId="0" fontId="10" fillId="14" borderId="14" xfId="0" applyFont="1" applyFill="1" applyBorder="1" applyAlignment="1">
      <alignment wrapText="1"/>
    </xf>
    <xf numFmtId="0" fontId="10" fillId="15" borderId="14" xfId="0" applyFont="1" applyFill="1" applyBorder="1" applyAlignment="1">
      <alignment wrapText="1"/>
    </xf>
    <xf numFmtId="0" fontId="3" fillId="9" borderId="12" xfId="0" applyFont="1" applyFill="1" applyBorder="1" applyAlignment="1">
      <alignment wrapText="1"/>
    </xf>
    <xf numFmtId="0" fontId="3" fillId="0" borderId="12" xfId="0" applyFont="1" applyBorder="1" applyAlignment="1">
      <alignment wrapText="1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0" fillId="11" borderId="1" xfId="0" applyFont="1" applyFill="1" applyBorder="1" applyAlignment="1">
      <alignment horizontal="right" wrapText="1"/>
    </xf>
    <xf numFmtId="0" fontId="10" fillId="12" borderId="1" xfId="0" applyFont="1" applyFill="1" applyBorder="1" applyAlignment="1">
      <alignment horizontal="right" wrapText="1"/>
    </xf>
    <xf numFmtId="0" fontId="10" fillId="12" borderId="1" xfId="0" applyFont="1" applyFill="1" applyBorder="1" applyAlignment="1">
      <alignment horizontal="left" wrapText="1"/>
    </xf>
    <xf numFmtId="0" fontId="10" fillId="11" borderId="0" xfId="0" applyFont="1" applyFill="1" applyBorder="1" applyAlignment="1">
      <alignment wrapText="1"/>
    </xf>
    <xf numFmtId="0" fontId="10" fillId="12" borderId="0" xfId="0" applyFont="1" applyFill="1" applyBorder="1" applyAlignment="1">
      <alignment wrapText="1"/>
    </xf>
    <xf numFmtId="0" fontId="10" fillId="13" borderId="0" xfId="0" applyFont="1" applyFill="1" applyBorder="1" applyAlignment="1">
      <alignment wrapText="1"/>
    </xf>
    <xf numFmtId="0" fontId="10" fillId="14" borderId="0" xfId="0" applyFont="1" applyFill="1" applyBorder="1" applyAlignment="1">
      <alignment wrapText="1"/>
    </xf>
    <xf numFmtId="0" fontId="10" fillId="16" borderId="0" xfId="0" applyFont="1" applyFill="1" applyBorder="1" applyAlignment="1">
      <alignment wrapText="1"/>
    </xf>
    <xf numFmtId="0" fontId="10" fillId="15" borderId="0" xfId="0" applyFont="1" applyFill="1" applyBorder="1" applyAlignment="1">
      <alignment wrapText="1"/>
    </xf>
    <xf numFmtId="0" fontId="10" fillId="11" borderId="1" xfId="0" applyFont="1" applyFill="1" applyBorder="1" applyAlignment="1">
      <alignment horizontal="left" wrapText="1"/>
    </xf>
    <xf numFmtId="0" fontId="0" fillId="0" borderId="0" xfId="0" applyAlignment="1">
      <alignment horizontal="right"/>
    </xf>
    <xf numFmtId="0" fontId="10" fillId="19" borderId="1" xfId="0" applyFont="1" applyFill="1" applyBorder="1" applyAlignment="1">
      <alignment wrapText="1"/>
    </xf>
    <xf numFmtId="0" fontId="10" fillId="20" borderId="1" xfId="0" applyFont="1" applyFill="1" applyBorder="1" applyAlignment="1">
      <alignment horizontal="right" wrapText="1"/>
    </xf>
    <xf numFmtId="0" fontId="10" fillId="0" borderId="1" xfId="0" applyFont="1" applyFill="1" applyBorder="1" applyAlignment="1">
      <alignment horizontal="right" wrapText="1"/>
    </xf>
    <xf numFmtId="0" fontId="10" fillId="0" borderId="1" xfId="0" applyFont="1" applyFill="1" applyBorder="1" applyAlignment="1">
      <alignment wrapText="1"/>
    </xf>
    <xf numFmtId="0" fontId="3" fillId="0" borderId="1" xfId="0" applyFont="1" applyBorder="1" applyAlignment="1">
      <alignment horizontal="right" wrapText="1"/>
    </xf>
    <xf numFmtId="0" fontId="0" fillId="0" borderId="1" xfId="0" applyBorder="1" applyAlignment="1">
      <alignment horizontal="right"/>
    </xf>
    <xf numFmtId="0" fontId="3" fillId="9" borderId="1" xfId="0" applyFont="1" applyFill="1" applyBorder="1" applyAlignment="1">
      <alignment wrapText="1"/>
    </xf>
    <xf numFmtId="0" fontId="10" fillId="23" borderId="1" xfId="0" applyFont="1" applyFill="1" applyBorder="1" applyAlignment="1">
      <alignment horizontal="right" wrapText="1"/>
    </xf>
    <xf numFmtId="0" fontId="10" fillId="23" borderId="1" xfId="0" applyFont="1" applyFill="1" applyBorder="1" applyAlignment="1">
      <alignment wrapText="1"/>
    </xf>
    <xf numFmtId="0" fontId="10" fillId="24" borderId="1" xfId="0" applyFont="1" applyFill="1" applyBorder="1" applyAlignment="1">
      <alignment horizontal="right" wrapText="1"/>
    </xf>
    <xf numFmtId="0" fontId="10" fillId="24" borderId="1" xfId="0" applyFont="1" applyFill="1" applyBorder="1" applyAlignment="1">
      <alignment wrapText="1"/>
    </xf>
    <xf numFmtId="0" fontId="10" fillId="0" borderId="1" xfId="0" applyFont="1" applyBorder="1" applyAlignment="1">
      <alignment wrapText="1"/>
    </xf>
    <xf numFmtId="0" fontId="10" fillId="18" borderId="1" xfId="0" applyFont="1" applyFill="1" applyBorder="1" applyAlignment="1">
      <alignment wrapText="1"/>
    </xf>
    <xf numFmtId="0" fontId="0" fillId="7" borderId="1" xfId="0" applyFill="1" applyBorder="1"/>
    <xf numFmtId="0" fontId="11" fillId="8" borderId="1" xfId="0" applyFont="1" applyFill="1" applyBorder="1"/>
    <xf numFmtId="0" fontId="3" fillId="10" borderId="1" xfId="0" applyFont="1" applyFill="1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3" fillId="8" borderId="1" xfId="0" applyFont="1" applyFill="1" applyBorder="1" applyAlignment="1">
      <alignment wrapText="1"/>
    </xf>
    <xf numFmtId="0" fontId="3" fillId="21" borderId="1" xfId="0" applyFont="1" applyFill="1" applyBorder="1" applyAlignment="1">
      <alignment horizontal="left"/>
    </xf>
    <xf numFmtId="0" fontId="0" fillId="25" borderId="18" xfId="0" applyFill="1" applyBorder="1" applyAlignment="1">
      <alignment horizontal="center" textRotation="90"/>
    </xf>
    <xf numFmtId="0" fontId="0" fillId="18" borderId="18" xfId="0" applyFill="1" applyBorder="1" applyAlignment="1">
      <alignment horizontal="center" textRotation="90"/>
    </xf>
    <xf numFmtId="0" fontId="0" fillId="21" borderId="18" xfId="0" applyFill="1" applyBorder="1" applyAlignment="1">
      <alignment horizontal="center" textRotation="90"/>
    </xf>
    <xf numFmtId="0" fontId="0" fillId="22" borderId="18" xfId="0" applyFill="1" applyBorder="1" applyAlignment="1">
      <alignment horizontal="center" textRotation="90" wrapText="1"/>
    </xf>
    <xf numFmtId="0" fontId="0" fillId="22" borderId="18" xfId="0" applyFill="1" applyBorder="1" applyAlignment="1">
      <alignment horizontal="center" textRotation="90"/>
    </xf>
    <xf numFmtId="0" fontId="0" fillId="25" borderId="0" xfId="0" applyFill="1" applyBorder="1" applyAlignment="1">
      <alignment horizontal="center" textRotation="90"/>
    </xf>
    <xf numFmtId="0" fontId="0" fillId="18" borderId="0" xfId="0" applyFill="1" applyBorder="1" applyAlignment="1">
      <alignment horizontal="center" textRotation="90"/>
    </xf>
    <xf numFmtId="0" fontId="0" fillId="21" borderId="0" xfId="0" applyFill="1" applyBorder="1" applyAlignment="1">
      <alignment horizontal="center" textRotation="90"/>
    </xf>
    <xf numFmtId="0" fontId="0" fillId="22" borderId="0" xfId="0" applyFill="1" applyBorder="1" applyAlignment="1">
      <alignment horizontal="center" textRotation="90"/>
    </xf>
    <xf numFmtId="0" fontId="0" fillId="0" borderId="0" xfId="0" applyFill="1" applyBorder="1" applyAlignment="1">
      <alignment horizontal="right"/>
    </xf>
    <xf numFmtId="0" fontId="3" fillId="0" borderId="0" xfId="0" applyFont="1" applyFill="1" applyBorder="1" applyAlignment="1">
      <alignment horizontal="left"/>
    </xf>
    <xf numFmtId="0" fontId="12" fillId="0" borderId="19" xfId="0" applyFont="1" applyBorder="1"/>
    <xf numFmtId="0" fontId="12" fillId="0" borderId="20" xfId="0" applyFont="1" applyBorder="1" applyAlignment="1">
      <alignment wrapText="1"/>
    </xf>
    <xf numFmtId="0" fontId="12" fillId="0" borderId="20" xfId="0" applyFont="1" applyBorder="1" applyAlignment="1">
      <alignment textRotation="90" wrapText="1"/>
    </xf>
    <xf numFmtId="0" fontId="12" fillId="0" borderId="20" xfId="0" applyFont="1" applyBorder="1" applyAlignment="1">
      <alignment textRotation="90"/>
    </xf>
    <xf numFmtId="0" fontId="12" fillId="0" borderId="22" xfId="0" applyFont="1" applyBorder="1" applyAlignment="1">
      <alignment horizontal="center" textRotation="90"/>
    </xf>
    <xf numFmtId="0" fontId="12" fillId="0" borderId="17" xfId="0" applyFont="1" applyBorder="1" applyAlignment="1">
      <alignment wrapText="1"/>
    </xf>
    <xf numFmtId="0" fontId="12" fillId="0" borderId="17" xfId="0" applyFont="1" applyBorder="1"/>
    <xf numFmtId="0" fontId="12" fillId="0" borderId="22" xfId="0" applyFont="1" applyBorder="1" applyAlignment="1">
      <alignment horizontal="center" textRotation="90" wrapText="1"/>
    </xf>
    <xf numFmtId="0" fontId="0" fillId="0" borderId="21" xfId="0" applyBorder="1" applyAlignment="1">
      <alignment textRotation="90" wrapText="1"/>
    </xf>
    <xf numFmtId="0" fontId="12" fillId="0" borderId="22" xfId="0" applyFont="1" applyBorder="1" applyAlignment="1">
      <alignment horizontal="center" textRotation="90"/>
    </xf>
    <xf numFmtId="0" fontId="12" fillId="0" borderId="23" xfId="0" applyFont="1" applyBorder="1" applyAlignment="1">
      <alignment horizontal="center" textRotation="90"/>
    </xf>
    <xf numFmtId="0" fontId="12" fillId="0" borderId="21" xfId="0" applyFont="1" applyBorder="1" applyAlignment="1">
      <alignment horizontal="center" textRotation="90"/>
    </xf>
    <xf numFmtId="0" fontId="12" fillId="0" borderId="1" xfId="0" applyFont="1" applyBorder="1" applyAlignment="1">
      <alignment textRotation="90"/>
    </xf>
    <xf numFmtId="0" fontId="12" fillId="0" borderId="1" xfId="0" applyFont="1" applyBorder="1" applyAlignment="1">
      <alignment horizontal="center" textRotation="90"/>
    </xf>
    <xf numFmtId="0" fontId="12" fillId="0" borderId="4" xfId="0" applyFont="1" applyBorder="1" applyAlignment="1">
      <alignment textRotation="90"/>
    </xf>
    <xf numFmtId="0" fontId="12" fillId="0" borderId="2" xfId="0" applyFont="1" applyBorder="1" applyAlignment="1"/>
    <xf numFmtId="0" fontId="12" fillId="0" borderId="1" xfId="0" applyFont="1" applyBorder="1" applyAlignment="1"/>
    <xf numFmtId="0" fontId="11" fillId="0" borderId="2" xfId="0" applyFont="1" applyBorder="1" applyAlignment="1"/>
    <xf numFmtId="0" fontId="11" fillId="0" borderId="1" xfId="0" applyFont="1" applyBorder="1" applyAlignment="1"/>
    <xf numFmtId="0" fontId="0" fillId="0" borderId="0" xfId="0" applyAlignment="1">
      <alignment textRotation="90"/>
    </xf>
    <xf numFmtId="0" fontId="12" fillId="0" borderId="17" xfId="0" applyFont="1" applyBorder="1" applyAlignment="1"/>
    <xf numFmtId="0" fontId="0" fillId="0" borderId="1" xfId="0" applyBorder="1" applyAlignment="1"/>
    <xf numFmtId="0" fontId="12" fillId="0" borderId="25" xfId="0" applyFont="1" applyBorder="1" applyAlignment="1"/>
    <xf numFmtId="0" fontId="12" fillId="0" borderId="26" xfId="0" applyFont="1" applyBorder="1" applyAlignment="1"/>
    <xf numFmtId="0" fontId="12" fillId="0" borderId="27" xfId="0" applyFont="1" applyBorder="1" applyAlignment="1"/>
    <xf numFmtId="0" fontId="12" fillId="0" borderId="24" xfId="0" applyFont="1" applyBorder="1" applyAlignment="1"/>
    <xf numFmtId="0" fontId="12" fillId="0" borderId="14" xfId="0" applyFont="1" applyBorder="1" applyAlignment="1"/>
    <xf numFmtId="0" fontId="12" fillId="0" borderId="28" xfId="0" applyFont="1" applyBorder="1" applyAlignment="1"/>
    <xf numFmtId="0" fontId="0" fillId="0" borderId="0" xfId="0" applyFill="1" applyBorder="1" applyAlignment="1"/>
    <xf numFmtId="0" fontId="0" fillId="0" borderId="1" xfId="0" applyFill="1" applyBorder="1" applyAlignment="1"/>
    <xf numFmtId="0" fontId="12" fillId="0" borderId="5" xfId="0" applyFont="1" applyFill="1" applyBorder="1" applyAlignment="1"/>
    <xf numFmtId="0" fontId="3" fillId="0" borderId="0" xfId="0" applyFont="1" applyBorder="1" applyAlignment="1"/>
    <xf numFmtId="0" fontId="12" fillId="0" borderId="1" xfId="0" applyFont="1" applyBorder="1" applyAlignment="1">
      <alignment horizontal="center" textRotation="90"/>
    </xf>
    <xf numFmtId="0" fontId="0" fillId="0" borderId="1" xfId="0" applyBorder="1" applyAlignment="1">
      <alignment textRotation="90"/>
    </xf>
    <xf numFmtId="0" fontId="12" fillId="0" borderId="29" xfId="0" applyFont="1" applyBorder="1" applyAlignment="1"/>
    <xf numFmtId="0" fontId="12" fillId="0" borderId="30" xfId="0" applyFont="1" applyBorder="1" applyAlignment="1"/>
    <xf numFmtId="0" fontId="12" fillId="0" borderId="31" xfId="0" applyFont="1" applyBorder="1" applyAlignment="1"/>
    <xf numFmtId="0" fontId="0" fillId="0" borderId="0" xfId="0" applyFont="1" applyAlignment="1"/>
    <xf numFmtId="0" fontId="0" fillId="0" borderId="0" xfId="0" applyFont="1" applyFill="1" applyBorder="1" applyAlignment="1"/>
    <xf numFmtId="0" fontId="12" fillId="0" borderId="19" xfId="0" applyFont="1" applyBorder="1" applyAlignment="1"/>
    <xf numFmtId="0" fontId="12" fillId="0" borderId="20" xfId="0" applyFont="1" applyBorder="1" applyAlignment="1"/>
    <xf numFmtId="0" fontId="3" fillId="0" borderId="0" xfId="0" applyFont="1" applyFill="1" applyBorder="1" applyAlignment="1"/>
    <xf numFmtId="0" fontId="0" fillId="0" borderId="21" xfId="0" applyBorder="1" applyAlignment="1">
      <alignment textRotation="90"/>
    </xf>
    <xf numFmtId="0" fontId="10" fillId="0" borderId="0" xfId="0" applyFont="1" applyFill="1" applyBorder="1" applyAlignment="1"/>
    <xf numFmtId="0" fontId="11" fillId="0" borderId="0" xfId="0" applyFont="1" applyFill="1" applyBorder="1" applyAlignment="1"/>
    <xf numFmtId="0" fontId="10" fillId="0" borderId="0" xfId="0" applyFont="1" applyFill="1" applyBorder="1" applyAlignment="1">
      <alignment horizontal="right"/>
    </xf>
    <xf numFmtId="0" fontId="10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right"/>
    </xf>
    <xf numFmtId="0" fontId="12" fillId="0" borderId="0" xfId="0" applyFont="1" applyFill="1" applyBorder="1" applyAlignment="1">
      <alignment wrapText="1"/>
    </xf>
  </cellXfs>
  <cellStyles count="1">
    <cellStyle name="Обычный" xfId="0" builtinId="0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Лист8!$A$74:$A$85</c:f>
              <c:numCache>
                <c:formatCode>General</c:formatCode>
                <c:ptCount val="12"/>
                <c:pt idx="0">
                  <c:v>0.73</c:v>
                </c:pt>
                <c:pt idx="1">
                  <c:v>0.77</c:v>
                </c:pt>
                <c:pt idx="2">
                  <c:v>0.89</c:v>
                </c:pt>
                <c:pt idx="3">
                  <c:v>0.82</c:v>
                </c:pt>
                <c:pt idx="4">
                  <c:v>0.97</c:v>
                </c:pt>
                <c:pt idx="5">
                  <c:v>0.77</c:v>
                </c:pt>
                <c:pt idx="6">
                  <c:v>0.82</c:v>
                </c:pt>
                <c:pt idx="7">
                  <c:v>0.91</c:v>
                </c:pt>
                <c:pt idx="8">
                  <c:v>0.92300000000000004</c:v>
                </c:pt>
                <c:pt idx="9">
                  <c:v>0.9</c:v>
                </c:pt>
                <c:pt idx="10">
                  <c:v>0.94</c:v>
                </c:pt>
                <c:pt idx="11">
                  <c:v>0.91</c:v>
                </c:pt>
              </c:numCache>
            </c:numRef>
          </c:val>
        </c:ser>
        <c:ser>
          <c:idx val="1"/>
          <c:order val="1"/>
          <c:tx>
            <c:v>хуй</c:v>
          </c:tx>
          <c:marker>
            <c:symbol val="none"/>
          </c:marker>
          <c:val>
            <c:numRef>
              <c:f>Лист8!$B$74:$B$85</c:f>
              <c:numCache>
                <c:formatCode>General</c:formatCode>
                <c:ptCount val="12"/>
                <c:pt idx="0">
                  <c:v>0.79700000000000004</c:v>
                </c:pt>
                <c:pt idx="1">
                  <c:v>0.83399999999999996</c:v>
                </c:pt>
                <c:pt idx="2">
                  <c:v>0.90600000000000003</c:v>
                </c:pt>
                <c:pt idx="3">
                  <c:v>0.874</c:v>
                </c:pt>
                <c:pt idx="4">
                  <c:v>0.95799999999999996</c:v>
                </c:pt>
                <c:pt idx="5">
                  <c:v>0.81899999999999995</c:v>
                </c:pt>
                <c:pt idx="6">
                  <c:v>0.85199999999999998</c:v>
                </c:pt>
                <c:pt idx="7">
                  <c:v>0.872</c:v>
                </c:pt>
                <c:pt idx="8">
                  <c:v>0.92900000000000005</c:v>
                </c:pt>
                <c:pt idx="9">
                  <c:v>0.91100000000000003</c:v>
                </c:pt>
                <c:pt idx="10">
                  <c:v>0.94499999999999995</c:v>
                </c:pt>
                <c:pt idx="11">
                  <c:v>0.86699999999999999</c:v>
                </c:pt>
              </c:numCache>
            </c:numRef>
          </c:val>
        </c:ser>
        <c:ser>
          <c:idx val="2"/>
          <c:order val="2"/>
          <c:tx>
            <c:v>залупа</c:v>
          </c:tx>
          <c:marker>
            <c:symbol val="none"/>
          </c:marker>
          <c:val>
            <c:numRef>
              <c:f>Лист8!$D$74:$D$85</c:f>
              <c:numCache>
                <c:formatCode>General</c:formatCode>
                <c:ptCount val="12"/>
                <c:pt idx="0">
                  <c:v>0.81</c:v>
                </c:pt>
                <c:pt idx="1">
                  <c:v>0.83</c:v>
                </c:pt>
                <c:pt idx="2">
                  <c:v>0.92</c:v>
                </c:pt>
                <c:pt idx="3">
                  <c:v>0.78</c:v>
                </c:pt>
                <c:pt idx="4">
                  <c:v>0.93200000000000005</c:v>
                </c:pt>
                <c:pt idx="5">
                  <c:v>0.84</c:v>
                </c:pt>
                <c:pt idx="6">
                  <c:v>0.87</c:v>
                </c:pt>
                <c:pt idx="7">
                  <c:v>0.9375</c:v>
                </c:pt>
                <c:pt idx="8">
                  <c:v>0.89</c:v>
                </c:pt>
                <c:pt idx="9">
                  <c:v>0.93330000000000002</c:v>
                </c:pt>
                <c:pt idx="10">
                  <c:v>0.92</c:v>
                </c:pt>
                <c:pt idx="11">
                  <c:v>0.92</c:v>
                </c:pt>
              </c:numCache>
            </c:numRef>
          </c:val>
        </c:ser>
        <c:marker val="1"/>
        <c:axId val="180123136"/>
        <c:axId val="180124672"/>
      </c:lineChart>
      <c:catAx>
        <c:axId val="180123136"/>
        <c:scaling>
          <c:orientation val="minMax"/>
        </c:scaling>
        <c:axPos val="b"/>
        <c:tickLblPos val="nextTo"/>
        <c:crossAx val="180124672"/>
        <c:crosses val="autoZero"/>
        <c:auto val="1"/>
        <c:lblAlgn val="ctr"/>
        <c:lblOffset val="100"/>
      </c:catAx>
      <c:valAx>
        <c:axId val="180124672"/>
        <c:scaling>
          <c:orientation val="minMax"/>
        </c:scaling>
        <c:axPos val="l"/>
        <c:majorGridlines/>
        <c:numFmt formatCode="General" sourceLinked="1"/>
        <c:tickLblPos val="nextTo"/>
        <c:crossAx val="180123136"/>
        <c:crosses val="autoZero"/>
        <c:crossBetween val="between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фермы!$B$1:$B$31</c:f>
              <c:numCache>
                <c:formatCode>General</c:formatCode>
                <c:ptCount val="31"/>
                <c:pt idx="0">
                  <c:v>0.84299999999999997</c:v>
                </c:pt>
                <c:pt idx="1">
                  <c:v>0.93300000000000005</c:v>
                </c:pt>
                <c:pt idx="2">
                  <c:v>0.92100000000000004</c:v>
                </c:pt>
                <c:pt idx="3">
                  <c:v>0.98399999999999999</c:v>
                </c:pt>
                <c:pt idx="4">
                  <c:v>0.94599999999999995</c:v>
                </c:pt>
                <c:pt idx="5">
                  <c:v>0.95899999999999996</c:v>
                </c:pt>
                <c:pt idx="6">
                  <c:v>0.94599999999999995</c:v>
                </c:pt>
                <c:pt idx="7">
                  <c:v>0.98399999999999999</c:v>
                </c:pt>
                <c:pt idx="8">
                  <c:v>0.89400000000000002</c:v>
                </c:pt>
                <c:pt idx="9">
                  <c:v>0.88100000000000001</c:v>
                </c:pt>
                <c:pt idx="10">
                  <c:v>0.82599999999999996</c:v>
                </c:pt>
                <c:pt idx="11">
                  <c:v>0.81599999999999995</c:v>
                </c:pt>
                <c:pt idx="12">
                  <c:v>0.88100000000000001</c:v>
                </c:pt>
                <c:pt idx="13">
                  <c:v>0.83099999999999996</c:v>
                </c:pt>
                <c:pt idx="14">
                  <c:v>0.82899999999999996</c:v>
                </c:pt>
                <c:pt idx="15">
                  <c:v>0.82599999999999996</c:v>
                </c:pt>
                <c:pt idx="16">
                  <c:v>0.81599999999999995</c:v>
                </c:pt>
                <c:pt idx="17">
                  <c:v>0.81599999999999995</c:v>
                </c:pt>
                <c:pt idx="18">
                  <c:v>0.4</c:v>
                </c:pt>
                <c:pt idx="19">
                  <c:v>0.46400000000000002</c:v>
                </c:pt>
                <c:pt idx="20">
                  <c:v>0.47099999999999997</c:v>
                </c:pt>
                <c:pt idx="21">
                  <c:v>0.46400000000000002</c:v>
                </c:pt>
                <c:pt idx="22">
                  <c:v>0.44</c:v>
                </c:pt>
                <c:pt idx="23">
                  <c:v>0.44</c:v>
                </c:pt>
                <c:pt idx="24">
                  <c:v>0.47099999999999997</c:v>
                </c:pt>
                <c:pt idx="25">
                  <c:v>0.47499999999999998</c:v>
                </c:pt>
                <c:pt idx="26">
                  <c:v>0.47099999999999997</c:v>
                </c:pt>
                <c:pt idx="27">
                  <c:v>0.46200000000000002</c:v>
                </c:pt>
                <c:pt idx="28">
                  <c:v>0.46200000000000002</c:v>
                </c:pt>
                <c:pt idx="29">
                  <c:v>0.47499999999999998</c:v>
                </c:pt>
                <c:pt idx="30">
                  <c:v>0.47499999999999998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фермы!$E$1:$E$31</c:f>
              <c:numCache>
                <c:formatCode>General</c:formatCode>
                <c:ptCount val="31"/>
                <c:pt idx="0">
                  <c:v>0.78800000000000003</c:v>
                </c:pt>
                <c:pt idx="1">
                  <c:v>0.93799999999999994</c:v>
                </c:pt>
                <c:pt idx="2">
                  <c:v>0.93799999999999994</c:v>
                </c:pt>
                <c:pt idx="3">
                  <c:v>0.93799999999999994</c:v>
                </c:pt>
                <c:pt idx="4">
                  <c:v>0.93799999999999994</c:v>
                </c:pt>
                <c:pt idx="5">
                  <c:v>0.95</c:v>
                </c:pt>
                <c:pt idx="6">
                  <c:v>0.93799999999999994</c:v>
                </c:pt>
                <c:pt idx="7">
                  <c:v>0.97499999999999998</c:v>
                </c:pt>
                <c:pt idx="8">
                  <c:v>0.875</c:v>
                </c:pt>
                <c:pt idx="9">
                  <c:v>0.82499999999999996</c:v>
                </c:pt>
                <c:pt idx="10">
                  <c:v>0.77500000000000002</c:v>
                </c:pt>
                <c:pt idx="11">
                  <c:v>0.73799999999999999</c:v>
                </c:pt>
                <c:pt idx="12">
                  <c:v>0.82499999999999996</c:v>
                </c:pt>
                <c:pt idx="13">
                  <c:v>0.77500000000000002</c:v>
                </c:pt>
                <c:pt idx="14">
                  <c:v>0.78800000000000003</c:v>
                </c:pt>
                <c:pt idx="15">
                  <c:v>0.77500000000000002</c:v>
                </c:pt>
                <c:pt idx="16">
                  <c:v>0.73799999999999999</c:v>
                </c:pt>
                <c:pt idx="17">
                  <c:v>0.73799999999999999</c:v>
                </c:pt>
                <c:pt idx="18">
                  <c:v>0.39800000000000002</c:v>
                </c:pt>
                <c:pt idx="19">
                  <c:v>0.44700000000000001</c:v>
                </c:pt>
                <c:pt idx="20">
                  <c:v>0.46</c:v>
                </c:pt>
                <c:pt idx="21">
                  <c:v>0.44700000000000001</c:v>
                </c:pt>
                <c:pt idx="22">
                  <c:v>0.41</c:v>
                </c:pt>
                <c:pt idx="23">
                  <c:v>0.41</c:v>
                </c:pt>
                <c:pt idx="24">
                  <c:v>0.46</c:v>
                </c:pt>
                <c:pt idx="25">
                  <c:v>0.47199999999999998</c:v>
                </c:pt>
                <c:pt idx="26">
                  <c:v>0.46</c:v>
                </c:pt>
                <c:pt idx="27">
                  <c:v>0.42299999999999999</c:v>
                </c:pt>
                <c:pt idx="28">
                  <c:v>0.42299999999999999</c:v>
                </c:pt>
                <c:pt idx="29">
                  <c:v>0.47199999999999998</c:v>
                </c:pt>
                <c:pt idx="30">
                  <c:v>0.47199999999999998</c:v>
                </c:pt>
              </c:numCache>
            </c:numRef>
          </c:val>
        </c:ser>
        <c:marker val="1"/>
        <c:axId val="108230144"/>
        <c:axId val="108232064"/>
      </c:lineChart>
      <c:catAx>
        <c:axId val="108230144"/>
        <c:scaling>
          <c:orientation val="minMax"/>
        </c:scaling>
        <c:axPos val="b"/>
        <c:tickLblPos val="nextTo"/>
        <c:crossAx val="108232064"/>
        <c:crosses val="autoZero"/>
        <c:auto val="1"/>
        <c:lblAlgn val="ctr"/>
        <c:lblOffset val="100"/>
      </c:catAx>
      <c:valAx>
        <c:axId val="108232064"/>
        <c:scaling>
          <c:orientation val="minMax"/>
        </c:scaling>
        <c:axPos val="l"/>
        <c:majorGridlines/>
        <c:numFmt formatCode="General" sourceLinked="1"/>
        <c:tickLblPos val="nextTo"/>
        <c:crossAx val="1082301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504825</xdr:colOff>
      <xdr:row>75</xdr:row>
      <xdr:rowOff>123824</xdr:rowOff>
    </xdr:from>
    <xdr:to>
      <xdr:col>23</xdr:col>
      <xdr:colOff>200025</xdr:colOff>
      <xdr:row>94</xdr:row>
      <xdr:rowOff>19049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57149</xdr:colOff>
      <xdr:row>7</xdr:row>
      <xdr:rowOff>133350</xdr:rowOff>
    </xdr:from>
    <xdr:to>
      <xdr:col>17</xdr:col>
      <xdr:colOff>396875</xdr:colOff>
      <xdr:row>23</xdr:row>
      <xdr:rowOff>87313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BJ64"/>
  <sheetViews>
    <sheetView zoomScaleNormal="100" workbookViewId="0">
      <selection activeCell="V2" sqref="V2"/>
    </sheetView>
  </sheetViews>
  <sheetFormatPr defaultRowHeight="15"/>
  <cols>
    <col min="3" max="3" width="9.5703125" customWidth="1"/>
    <col min="4" max="4" width="9.140625" customWidth="1"/>
  </cols>
  <sheetData>
    <row r="1" spans="1:62" s="3" customFormat="1" ht="22.5">
      <c r="A1" s="2"/>
      <c r="B1" s="13"/>
      <c r="C1" s="26" t="s">
        <v>7</v>
      </c>
      <c r="D1" s="26" t="s">
        <v>6</v>
      </c>
      <c r="E1" s="19" t="s">
        <v>17</v>
      </c>
      <c r="F1" s="19" t="s">
        <v>18</v>
      </c>
      <c r="G1" s="19" t="s">
        <v>19</v>
      </c>
      <c r="H1" s="19" t="s">
        <v>8</v>
      </c>
      <c r="I1" s="19" t="s">
        <v>9</v>
      </c>
      <c r="J1" s="19" t="s">
        <v>20</v>
      </c>
      <c r="L1" s="26" t="s">
        <v>7</v>
      </c>
      <c r="M1" s="26" t="s">
        <v>6</v>
      </c>
      <c r="N1" s="19" t="s">
        <v>17</v>
      </c>
      <c r="O1" s="19" t="s">
        <v>18</v>
      </c>
      <c r="P1" s="19" t="s">
        <v>19</v>
      </c>
      <c r="Q1" s="19" t="s">
        <v>8</v>
      </c>
      <c r="R1" s="19" t="s">
        <v>9</v>
      </c>
      <c r="S1" s="19" t="s">
        <v>20</v>
      </c>
      <c r="T1" s="3">
        <f>SUM(V2:V17)</f>
        <v>6.9767441860465115E-2</v>
      </c>
      <c r="Z1" s="26" t="s">
        <v>7</v>
      </c>
      <c r="AA1" s="26" t="s">
        <v>6</v>
      </c>
      <c r="AB1" s="19" t="s">
        <v>17</v>
      </c>
      <c r="AC1" s="19" t="s">
        <v>18</v>
      </c>
      <c r="AD1" s="19" t="s">
        <v>19</v>
      </c>
      <c r="AE1" s="19" t="s">
        <v>8</v>
      </c>
      <c r="AF1" s="19" t="s">
        <v>9</v>
      </c>
      <c r="AG1" s="19" t="s">
        <v>20</v>
      </c>
      <c r="AH1" s="16"/>
      <c r="AI1" s="16"/>
      <c r="AJ1" s="16"/>
      <c r="AK1" s="16"/>
      <c r="AL1" s="16"/>
      <c r="AM1" s="16"/>
      <c r="AN1" s="16"/>
      <c r="AO1" s="16"/>
      <c r="AP1" s="16"/>
      <c r="AQ1" s="15"/>
      <c r="AR1" s="15"/>
      <c r="AS1" s="15"/>
      <c r="AT1" s="17"/>
      <c r="AU1" s="15"/>
    </row>
    <row r="2" spans="1:62" ht="22.5">
      <c r="A2" s="6" t="s">
        <v>10</v>
      </c>
      <c r="B2" s="7"/>
      <c r="C2" s="25">
        <v>0</v>
      </c>
      <c r="D2" s="28">
        <v>1</v>
      </c>
      <c r="E2" s="28"/>
      <c r="F2" s="28"/>
      <c r="G2" s="28"/>
      <c r="H2" s="28"/>
      <c r="I2" s="28"/>
      <c r="J2" s="28"/>
      <c r="K2" s="29"/>
      <c r="L2" s="25">
        <v>1</v>
      </c>
      <c r="M2" s="28">
        <v>0</v>
      </c>
      <c r="N2" s="28"/>
      <c r="O2" s="28"/>
      <c r="P2" s="28"/>
      <c r="Q2" s="28"/>
      <c r="R2" s="28"/>
      <c r="S2" s="28"/>
      <c r="U2" s="9">
        <f t="shared" ref="U2:U4" si="0">IF(MATCH(1,C2:J2,0)=MATCH(1,L2:S2,0),1,0)</f>
        <v>0</v>
      </c>
      <c r="V2" s="1">
        <f>(1-W2)*Y2</f>
        <v>0</v>
      </c>
      <c r="W2" s="11">
        <f>BI2</f>
        <v>1</v>
      </c>
      <c r="X2" s="9">
        <v>2</v>
      </c>
      <c r="Y2" s="10">
        <f>X2/SUM($X$2:$X$17)</f>
        <v>4.6511627906976744E-2</v>
      </c>
      <c r="Z2" s="18">
        <v>0</v>
      </c>
      <c r="AA2" s="18">
        <v>1</v>
      </c>
      <c r="AB2" s="18"/>
      <c r="AC2" s="18"/>
      <c r="AD2" s="18"/>
      <c r="AE2" s="18"/>
      <c r="AF2" s="18"/>
      <c r="AG2" s="18"/>
      <c r="AH2" s="12"/>
      <c r="AI2" s="18">
        <f t="shared" ref="AI2:AI17" si="1">C2*Z2</f>
        <v>0</v>
      </c>
      <c r="AJ2" s="18">
        <f t="shared" ref="AJ2:AJ17" si="2">D2*AA2</f>
        <v>1</v>
      </c>
      <c r="AK2" s="18">
        <f t="shared" ref="AK2:AK17" si="3">E2*AB2</f>
        <v>0</v>
      </c>
      <c r="AL2" s="18">
        <f t="shared" ref="AL2:AL17" si="4">F2*AC2</f>
        <v>0</v>
      </c>
      <c r="AM2" s="18">
        <f t="shared" ref="AM2:AM17" si="5">G2*AD2</f>
        <v>0</v>
      </c>
      <c r="AN2" s="18">
        <f t="shared" ref="AN2:AN17" si="6">H2*AE2</f>
        <v>0</v>
      </c>
      <c r="AO2" s="18">
        <f t="shared" ref="AO2:AO17" si="7">I2*AF2</f>
        <v>0</v>
      </c>
      <c r="AP2" s="18">
        <f t="shared" ref="AP2:AP17" si="8">J2*AG2</f>
        <v>0</v>
      </c>
      <c r="AQ2" s="9"/>
      <c r="AR2" s="18">
        <f t="shared" ref="AR2:AR15" si="9">L2*Z2</f>
        <v>0</v>
      </c>
      <c r="AS2" s="18">
        <f t="shared" ref="AS2:AS15" si="10">M2*AA2</f>
        <v>0</v>
      </c>
      <c r="AT2" s="18">
        <f t="shared" ref="AT2:AT15" si="11">N2*AB2</f>
        <v>0</v>
      </c>
      <c r="AU2" s="18">
        <f t="shared" ref="AU2:AU15" si="12">O2*AC2</f>
        <v>0</v>
      </c>
      <c r="AV2" s="18">
        <f t="shared" ref="AV2:AV15" si="13">P2*AD2</f>
        <v>0</v>
      </c>
      <c r="AW2" s="18">
        <f t="shared" ref="AW2:AW15" si="14">Q2*AE2</f>
        <v>0</v>
      </c>
      <c r="AX2" s="18">
        <f t="shared" ref="AX2:AX15" si="15">R2*AF2</f>
        <v>0</v>
      </c>
      <c r="AY2" s="18">
        <f t="shared" ref="AY2:AY15" si="16">S2*AG2</f>
        <v>0</v>
      </c>
      <c r="BA2" s="27">
        <f>(AI2-AR2)</f>
        <v>0</v>
      </c>
      <c r="BB2" s="27">
        <f t="shared" ref="BB2:BH2" si="17">(AJ2-AS2)</f>
        <v>1</v>
      </c>
      <c r="BC2" s="27">
        <f t="shared" si="17"/>
        <v>0</v>
      </c>
      <c r="BD2" s="27">
        <f t="shared" si="17"/>
        <v>0</v>
      </c>
      <c r="BE2" s="27">
        <f t="shared" si="17"/>
        <v>0</v>
      </c>
      <c r="BF2" s="27">
        <f t="shared" si="17"/>
        <v>0</v>
      </c>
      <c r="BG2" s="27">
        <f t="shared" si="17"/>
        <v>0</v>
      </c>
      <c r="BH2" s="27">
        <f t="shared" si="17"/>
        <v>0</v>
      </c>
      <c r="BI2" s="27">
        <f>ABS(SUM(BA2:BH2))</f>
        <v>1</v>
      </c>
      <c r="BJ2" s="27">
        <f>BI2*Y2</f>
        <v>4.6511627906976744E-2</v>
      </c>
    </row>
    <row r="3" spans="1:62" ht="22.5">
      <c r="A3" s="6" t="s">
        <v>11</v>
      </c>
      <c r="B3" s="7"/>
      <c r="C3" s="25">
        <v>0</v>
      </c>
      <c r="D3" s="28">
        <v>1</v>
      </c>
      <c r="E3" s="28"/>
      <c r="F3" s="28"/>
      <c r="G3" s="28"/>
      <c r="H3" s="28"/>
      <c r="I3" s="28"/>
      <c r="J3" s="28"/>
      <c r="K3" s="29"/>
      <c r="L3" s="25">
        <v>1</v>
      </c>
      <c r="M3" s="28">
        <v>0</v>
      </c>
      <c r="N3" s="28"/>
      <c r="O3" s="28"/>
      <c r="P3" s="28"/>
      <c r="Q3" s="28"/>
      <c r="R3" s="28"/>
      <c r="S3" s="28"/>
      <c r="U3" s="9">
        <f t="shared" si="0"/>
        <v>0</v>
      </c>
      <c r="V3" s="1">
        <f t="shared" ref="V3:V17" si="18">(1-W3)*Y3</f>
        <v>0</v>
      </c>
      <c r="W3" s="11">
        <f t="shared" ref="W3:W17" si="19">BI3</f>
        <v>1</v>
      </c>
      <c r="X3" s="9">
        <v>2</v>
      </c>
      <c r="Y3" s="10">
        <f t="shared" ref="Y3:Y17" si="20">X3/SUM($X$2:$X$17)</f>
        <v>4.6511627906976744E-2</v>
      </c>
      <c r="Z3" s="18">
        <v>0</v>
      </c>
      <c r="AA3" s="18">
        <v>1</v>
      </c>
      <c r="AB3" s="18"/>
      <c r="AC3" s="18"/>
      <c r="AD3" s="18"/>
      <c r="AE3" s="18"/>
      <c r="AF3" s="18"/>
      <c r="AG3" s="18"/>
      <c r="AH3" s="12"/>
      <c r="AI3" s="18">
        <f t="shared" si="1"/>
        <v>0</v>
      </c>
      <c r="AJ3" s="18">
        <f t="shared" si="2"/>
        <v>1</v>
      </c>
      <c r="AK3" s="18">
        <f t="shared" si="3"/>
        <v>0</v>
      </c>
      <c r="AL3" s="18">
        <f t="shared" si="4"/>
        <v>0</v>
      </c>
      <c r="AM3" s="18">
        <f t="shared" si="5"/>
        <v>0</v>
      </c>
      <c r="AN3" s="18">
        <f t="shared" si="6"/>
        <v>0</v>
      </c>
      <c r="AO3" s="18">
        <f t="shared" si="7"/>
        <v>0</v>
      </c>
      <c r="AP3" s="18">
        <f t="shared" si="8"/>
        <v>0</v>
      </c>
      <c r="AQ3" s="9"/>
      <c r="AR3" s="18">
        <f t="shared" si="9"/>
        <v>0</v>
      </c>
      <c r="AS3" s="18">
        <f t="shared" si="10"/>
        <v>0</v>
      </c>
      <c r="AT3" s="18">
        <f t="shared" si="11"/>
        <v>0</v>
      </c>
      <c r="AU3" s="18">
        <f t="shared" si="12"/>
        <v>0</v>
      </c>
      <c r="AV3" s="18">
        <f t="shared" si="13"/>
        <v>0</v>
      </c>
      <c r="AW3" s="18">
        <f t="shared" si="14"/>
        <v>0</v>
      </c>
      <c r="AX3" s="18">
        <f t="shared" si="15"/>
        <v>0</v>
      </c>
      <c r="AY3" s="18">
        <f t="shared" si="16"/>
        <v>0</v>
      </c>
      <c r="BA3" s="27">
        <f t="shared" ref="BA3:BA16" si="21">(AI3-AR3)</f>
        <v>0</v>
      </c>
      <c r="BB3" s="27">
        <f t="shared" ref="BB3:BB17" si="22">(AJ3-AS3)</f>
        <v>1</v>
      </c>
      <c r="BC3" s="27">
        <f t="shared" ref="BC3:BC17" si="23">(AK3-AT3)</f>
        <v>0</v>
      </c>
      <c r="BD3" s="27">
        <f t="shared" ref="BD3:BD17" si="24">(AL3-AU3)</f>
        <v>0</v>
      </c>
      <c r="BE3" s="27">
        <f t="shared" ref="BE3:BE17" si="25">(AM3-AV3)</f>
        <v>0</v>
      </c>
      <c r="BF3" s="27">
        <f t="shared" ref="BF3:BF17" si="26">(AN3-AW3)</f>
        <v>0</v>
      </c>
      <c r="BG3" s="27">
        <f t="shared" ref="BG3:BG17" si="27">(AO3-AX3)</f>
        <v>0</v>
      </c>
      <c r="BH3" s="27">
        <f t="shared" ref="BH3:BH17" si="28">(AP3-AY3)</f>
        <v>0</v>
      </c>
      <c r="BI3" s="27">
        <f t="shared" ref="BI3:BI17" si="29">ABS(SUM(BA3:BH3))</f>
        <v>1</v>
      </c>
      <c r="BJ3" s="27">
        <f t="shared" ref="BJ3:BJ17" si="30">BI3*Y3</f>
        <v>4.6511627906976744E-2</v>
      </c>
    </row>
    <row r="4" spans="1:62" s="22" customFormat="1" ht="22.5">
      <c r="A4" s="8" t="s">
        <v>12</v>
      </c>
      <c r="B4" s="21"/>
      <c r="C4" s="25">
        <v>0</v>
      </c>
      <c r="D4" s="25">
        <v>0</v>
      </c>
      <c r="E4" s="25">
        <v>0</v>
      </c>
      <c r="F4" s="28">
        <v>1</v>
      </c>
      <c r="G4" s="28"/>
      <c r="H4" s="28"/>
      <c r="I4" s="28"/>
      <c r="J4" s="28"/>
      <c r="K4" s="29"/>
      <c r="L4" s="25">
        <v>1</v>
      </c>
      <c r="M4" s="25">
        <v>0</v>
      </c>
      <c r="N4" s="25">
        <v>0</v>
      </c>
      <c r="O4" s="28">
        <v>0</v>
      </c>
      <c r="P4" s="28"/>
      <c r="Q4" s="28"/>
      <c r="R4" s="28"/>
      <c r="S4" s="28"/>
      <c r="T4"/>
      <c r="U4" s="23">
        <f t="shared" si="0"/>
        <v>0</v>
      </c>
      <c r="V4" s="1">
        <f t="shared" si="18"/>
        <v>0</v>
      </c>
      <c r="W4" s="11">
        <f t="shared" si="19"/>
        <v>1</v>
      </c>
      <c r="X4" s="23">
        <v>3</v>
      </c>
      <c r="Y4" s="24">
        <f t="shared" si="20"/>
        <v>6.9767441860465115E-2</v>
      </c>
      <c r="Z4" s="18">
        <v>0</v>
      </c>
      <c r="AA4" s="18">
        <v>0.3</v>
      </c>
      <c r="AB4" s="18">
        <v>0.8</v>
      </c>
      <c r="AC4" s="18">
        <v>1</v>
      </c>
      <c r="AD4" s="18"/>
      <c r="AE4" s="18"/>
      <c r="AF4" s="18"/>
      <c r="AG4" s="18"/>
      <c r="AH4" s="12"/>
      <c r="AI4" s="18">
        <f t="shared" si="1"/>
        <v>0</v>
      </c>
      <c r="AJ4" s="18">
        <f t="shared" si="2"/>
        <v>0</v>
      </c>
      <c r="AK4" s="18">
        <f t="shared" si="3"/>
        <v>0</v>
      </c>
      <c r="AL4" s="18">
        <f t="shared" si="4"/>
        <v>1</v>
      </c>
      <c r="AM4" s="18">
        <f t="shared" si="5"/>
        <v>0</v>
      </c>
      <c r="AN4" s="18">
        <f t="shared" si="6"/>
        <v>0</v>
      </c>
      <c r="AO4" s="18">
        <f t="shared" si="7"/>
        <v>0</v>
      </c>
      <c r="AP4" s="18">
        <f t="shared" si="8"/>
        <v>0</v>
      </c>
      <c r="AQ4" s="23"/>
      <c r="AR4" s="18">
        <f t="shared" si="9"/>
        <v>0</v>
      </c>
      <c r="AS4" s="18">
        <f t="shared" si="10"/>
        <v>0</v>
      </c>
      <c r="AT4" s="18">
        <f t="shared" si="11"/>
        <v>0</v>
      </c>
      <c r="AU4" s="18">
        <f t="shared" si="12"/>
        <v>0</v>
      </c>
      <c r="AV4" s="18">
        <f t="shared" si="13"/>
        <v>0</v>
      </c>
      <c r="AW4" s="18">
        <f t="shared" si="14"/>
        <v>0</v>
      </c>
      <c r="AX4" s="18">
        <f t="shared" si="15"/>
        <v>0</v>
      </c>
      <c r="AY4" s="18">
        <f t="shared" si="16"/>
        <v>0</v>
      </c>
      <c r="BA4" s="27">
        <f t="shared" si="21"/>
        <v>0</v>
      </c>
      <c r="BB4" s="27">
        <f t="shared" si="22"/>
        <v>0</v>
      </c>
      <c r="BC4" s="27">
        <f t="shared" si="23"/>
        <v>0</v>
      </c>
      <c r="BD4" s="27">
        <f t="shared" si="24"/>
        <v>1</v>
      </c>
      <c r="BE4" s="27">
        <f t="shared" si="25"/>
        <v>0</v>
      </c>
      <c r="BF4" s="27">
        <f t="shared" si="26"/>
        <v>0</v>
      </c>
      <c r="BG4" s="27">
        <f t="shared" si="27"/>
        <v>0</v>
      </c>
      <c r="BH4" s="27">
        <f t="shared" si="28"/>
        <v>0</v>
      </c>
      <c r="BI4" s="27">
        <f t="shared" si="29"/>
        <v>1</v>
      </c>
      <c r="BJ4" s="27">
        <f t="shared" si="30"/>
        <v>6.9767441860465115E-2</v>
      </c>
    </row>
    <row r="5" spans="1:62" s="22" customFormat="1" ht="22.5">
      <c r="A5" s="8" t="s">
        <v>13</v>
      </c>
      <c r="B5" s="21"/>
      <c r="C5" s="25">
        <v>0</v>
      </c>
      <c r="D5" s="25">
        <v>0</v>
      </c>
      <c r="E5" s="25">
        <v>0</v>
      </c>
      <c r="F5" s="28">
        <v>1</v>
      </c>
      <c r="G5" s="28"/>
      <c r="H5" s="28"/>
      <c r="I5" s="28"/>
      <c r="J5" s="28"/>
      <c r="K5" s="29"/>
      <c r="L5" s="25">
        <v>1</v>
      </c>
      <c r="M5" s="25">
        <v>0</v>
      </c>
      <c r="N5" s="25">
        <v>0</v>
      </c>
      <c r="O5" s="28">
        <v>0</v>
      </c>
      <c r="P5" s="28"/>
      <c r="Q5" s="28"/>
      <c r="R5" s="28"/>
      <c r="S5" s="28"/>
      <c r="T5"/>
      <c r="U5" s="23">
        <f t="shared" ref="U5:U17" si="31">IF(MATCH(1,C5:J5,0)=MATCH(1,L5:S5,0),1,0)</f>
        <v>0</v>
      </c>
      <c r="V5" s="1">
        <f t="shared" si="18"/>
        <v>0</v>
      </c>
      <c r="W5" s="11">
        <f t="shared" si="19"/>
        <v>1</v>
      </c>
      <c r="X5" s="23">
        <v>5</v>
      </c>
      <c r="Y5" s="24">
        <f t="shared" si="20"/>
        <v>0.11627906976744186</v>
      </c>
      <c r="Z5" s="18">
        <v>0</v>
      </c>
      <c r="AA5" s="18">
        <v>0.3</v>
      </c>
      <c r="AB5" s="18">
        <v>0.8</v>
      </c>
      <c r="AC5" s="18">
        <v>1</v>
      </c>
      <c r="AD5" s="18"/>
      <c r="AE5" s="18"/>
      <c r="AF5" s="18"/>
      <c r="AG5" s="18"/>
      <c r="AH5" s="12"/>
      <c r="AI5" s="18">
        <f t="shared" si="1"/>
        <v>0</v>
      </c>
      <c r="AJ5" s="18">
        <f t="shared" si="2"/>
        <v>0</v>
      </c>
      <c r="AK5" s="18">
        <f t="shared" si="3"/>
        <v>0</v>
      </c>
      <c r="AL5" s="18">
        <f t="shared" si="4"/>
        <v>1</v>
      </c>
      <c r="AM5" s="18">
        <f t="shared" si="5"/>
        <v>0</v>
      </c>
      <c r="AN5" s="18">
        <f t="shared" si="6"/>
        <v>0</v>
      </c>
      <c r="AO5" s="18">
        <f t="shared" si="7"/>
        <v>0</v>
      </c>
      <c r="AP5" s="18">
        <f t="shared" si="8"/>
        <v>0</v>
      </c>
      <c r="AQ5" s="23"/>
      <c r="AR5" s="18">
        <f t="shared" si="9"/>
        <v>0</v>
      </c>
      <c r="AS5" s="18">
        <f t="shared" si="10"/>
        <v>0</v>
      </c>
      <c r="AT5" s="18">
        <f t="shared" si="11"/>
        <v>0</v>
      </c>
      <c r="AU5" s="18">
        <f t="shared" si="12"/>
        <v>0</v>
      </c>
      <c r="AV5" s="18">
        <f t="shared" si="13"/>
        <v>0</v>
      </c>
      <c r="AW5" s="18">
        <f t="shared" si="14"/>
        <v>0</v>
      </c>
      <c r="AX5" s="18">
        <f t="shared" si="15"/>
        <v>0</v>
      </c>
      <c r="AY5" s="18">
        <f t="shared" si="16"/>
        <v>0</v>
      </c>
      <c r="BA5" s="27">
        <f t="shared" si="21"/>
        <v>0</v>
      </c>
      <c r="BB5" s="27">
        <f t="shared" si="22"/>
        <v>0</v>
      </c>
      <c r="BC5" s="27">
        <f t="shared" si="23"/>
        <v>0</v>
      </c>
      <c r="BD5" s="27">
        <f t="shared" si="24"/>
        <v>1</v>
      </c>
      <c r="BE5" s="27">
        <f t="shared" si="25"/>
        <v>0</v>
      </c>
      <c r="BF5" s="27">
        <f t="shared" si="26"/>
        <v>0</v>
      </c>
      <c r="BG5" s="27">
        <f t="shared" si="27"/>
        <v>0</v>
      </c>
      <c r="BH5" s="27">
        <f t="shared" si="28"/>
        <v>0</v>
      </c>
      <c r="BI5" s="27">
        <f t="shared" si="29"/>
        <v>1</v>
      </c>
      <c r="BJ5" s="27">
        <f t="shared" si="30"/>
        <v>0.11627906976744186</v>
      </c>
    </row>
    <row r="6" spans="1:62" s="22" customFormat="1" ht="22.5">
      <c r="A6" s="8" t="s">
        <v>14</v>
      </c>
      <c r="B6" s="21"/>
      <c r="C6" s="25">
        <v>0</v>
      </c>
      <c r="D6" s="25">
        <v>0</v>
      </c>
      <c r="E6" s="25">
        <v>0</v>
      </c>
      <c r="F6" s="28">
        <v>1</v>
      </c>
      <c r="G6" s="28"/>
      <c r="H6" s="28"/>
      <c r="I6" s="28"/>
      <c r="J6" s="28"/>
      <c r="K6" s="29"/>
      <c r="L6" s="25">
        <v>1</v>
      </c>
      <c r="M6" s="25">
        <v>0</v>
      </c>
      <c r="N6" s="25">
        <v>0</v>
      </c>
      <c r="O6" s="28">
        <v>0</v>
      </c>
      <c r="P6" s="28"/>
      <c r="Q6" s="28"/>
      <c r="R6" s="28"/>
      <c r="S6" s="28"/>
      <c r="T6"/>
      <c r="U6" s="23">
        <f t="shared" si="31"/>
        <v>0</v>
      </c>
      <c r="V6" s="1">
        <f t="shared" si="18"/>
        <v>0</v>
      </c>
      <c r="W6" s="11">
        <f t="shared" si="19"/>
        <v>1</v>
      </c>
      <c r="X6" s="23">
        <v>2</v>
      </c>
      <c r="Y6" s="24">
        <f t="shared" si="20"/>
        <v>4.6511627906976744E-2</v>
      </c>
      <c r="Z6" s="18">
        <v>0</v>
      </c>
      <c r="AA6" s="18">
        <v>0.3</v>
      </c>
      <c r="AB6" s="18">
        <v>0.8</v>
      </c>
      <c r="AC6" s="18">
        <v>1</v>
      </c>
      <c r="AD6" s="18"/>
      <c r="AE6" s="18"/>
      <c r="AF6" s="18"/>
      <c r="AG6" s="18"/>
      <c r="AH6" s="12"/>
      <c r="AI6" s="18">
        <f t="shared" si="1"/>
        <v>0</v>
      </c>
      <c r="AJ6" s="18">
        <f t="shared" si="2"/>
        <v>0</v>
      </c>
      <c r="AK6" s="18">
        <f t="shared" si="3"/>
        <v>0</v>
      </c>
      <c r="AL6" s="18">
        <f t="shared" si="4"/>
        <v>1</v>
      </c>
      <c r="AM6" s="18">
        <f t="shared" si="5"/>
        <v>0</v>
      </c>
      <c r="AN6" s="18">
        <f t="shared" si="6"/>
        <v>0</v>
      </c>
      <c r="AO6" s="18">
        <f t="shared" si="7"/>
        <v>0</v>
      </c>
      <c r="AP6" s="18">
        <f t="shared" si="8"/>
        <v>0</v>
      </c>
      <c r="AQ6" s="23"/>
      <c r="AR6" s="18">
        <f t="shared" si="9"/>
        <v>0</v>
      </c>
      <c r="AS6" s="18">
        <f t="shared" si="10"/>
        <v>0</v>
      </c>
      <c r="AT6" s="18">
        <f t="shared" si="11"/>
        <v>0</v>
      </c>
      <c r="AU6" s="18">
        <f t="shared" si="12"/>
        <v>0</v>
      </c>
      <c r="AV6" s="18">
        <f t="shared" si="13"/>
        <v>0</v>
      </c>
      <c r="AW6" s="18">
        <f t="shared" si="14"/>
        <v>0</v>
      </c>
      <c r="AX6" s="18">
        <f t="shared" si="15"/>
        <v>0</v>
      </c>
      <c r="AY6" s="18">
        <f t="shared" si="16"/>
        <v>0</v>
      </c>
      <c r="BA6" s="27">
        <f t="shared" si="21"/>
        <v>0</v>
      </c>
      <c r="BB6" s="27">
        <f t="shared" si="22"/>
        <v>0</v>
      </c>
      <c r="BC6" s="27">
        <f t="shared" si="23"/>
        <v>0</v>
      </c>
      <c r="BD6" s="27">
        <f t="shared" si="24"/>
        <v>1</v>
      </c>
      <c r="BE6" s="27">
        <f t="shared" si="25"/>
        <v>0</v>
      </c>
      <c r="BF6" s="27">
        <f t="shared" si="26"/>
        <v>0</v>
      </c>
      <c r="BG6" s="27">
        <f t="shared" si="27"/>
        <v>0</v>
      </c>
      <c r="BH6" s="27">
        <f t="shared" si="28"/>
        <v>0</v>
      </c>
      <c r="BI6" s="27">
        <f t="shared" si="29"/>
        <v>1</v>
      </c>
      <c r="BJ6" s="27">
        <f t="shared" si="30"/>
        <v>4.6511627906976744E-2</v>
      </c>
    </row>
    <row r="7" spans="1:62" s="22" customFormat="1" ht="22.5">
      <c r="A7" s="8" t="s">
        <v>15</v>
      </c>
      <c r="B7" s="21"/>
      <c r="C7" s="25">
        <v>0</v>
      </c>
      <c r="D7" s="25">
        <v>0</v>
      </c>
      <c r="E7" s="25">
        <v>0</v>
      </c>
      <c r="F7" s="28">
        <v>1</v>
      </c>
      <c r="G7" s="28"/>
      <c r="H7" s="28"/>
      <c r="I7" s="28"/>
      <c r="J7" s="28"/>
      <c r="K7" s="29"/>
      <c r="L7" s="25">
        <v>1</v>
      </c>
      <c r="M7" s="25">
        <v>0</v>
      </c>
      <c r="N7" s="25">
        <v>0</v>
      </c>
      <c r="O7" s="28">
        <v>0</v>
      </c>
      <c r="P7" s="28"/>
      <c r="Q7" s="28"/>
      <c r="R7" s="28"/>
      <c r="S7" s="28"/>
      <c r="T7"/>
      <c r="U7" s="23">
        <f t="shared" si="31"/>
        <v>0</v>
      </c>
      <c r="V7" s="1">
        <f t="shared" si="18"/>
        <v>0</v>
      </c>
      <c r="W7" s="11">
        <f t="shared" si="19"/>
        <v>1</v>
      </c>
      <c r="X7" s="23">
        <v>3</v>
      </c>
      <c r="Y7" s="24">
        <f t="shared" si="20"/>
        <v>6.9767441860465115E-2</v>
      </c>
      <c r="Z7" s="18">
        <v>0</v>
      </c>
      <c r="AA7" s="18">
        <v>0.3</v>
      </c>
      <c r="AB7" s="18">
        <v>0.8</v>
      </c>
      <c r="AC7" s="18">
        <v>1</v>
      </c>
      <c r="AD7" s="18"/>
      <c r="AE7" s="18"/>
      <c r="AF7" s="18"/>
      <c r="AG7" s="18"/>
      <c r="AH7" s="12"/>
      <c r="AI7" s="18">
        <f t="shared" si="1"/>
        <v>0</v>
      </c>
      <c r="AJ7" s="18">
        <f t="shared" si="2"/>
        <v>0</v>
      </c>
      <c r="AK7" s="18">
        <f t="shared" si="3"/>
        <v>0</v>
      </c>
      <c r="AL7" s="18">
        <f t="shared" si="4"/>
        <v>1</v>
      </c>
      <c r="AM7" s="18">
        <f t="shared" si="5"/>
        <v>0</v>
      </c>
      <c r="AN7" s="18">
        <f t="shared" si="6"/>
        <v>0</v>
      </c>
      <c r="AO7" s="18">
        <f t="shared" si="7"/>
        <v>0</v>
      </c>
      <c r="AP7" s="18">
        <f t="shared" si="8"/>
        <v>0</v>
      </c>
      <c r="AQ7" s="23"/>
      <c r="AR7" s="18">
        <f t="shared" si="9"/>
        <v>0</v>
      </c>
      <c r="AS7" s="18">
        <f t="shared" si="10"/>
        <v>0</v>
      </c>
      <c r="AT7" s="18">
        <f t="shared" si="11"/>
        <v>0</v>
      </c>
      <c r="AU7" s="18">
        <f t="shared" si="12"/>
        <v>0</v>
      </c>
      <c r="AV7" s="18">
        <f t="shared" si="13"/>
        <v>0</v>
      </c>
      <c r="AW7" s="18">
        <f t="shared" si="14"/>
        <v>0</v>
      </c>
      <c r="AX7" s="18">
        <f t="shared" si="15"/>
        <v>0</v>
      </c>
      <c r="AY7" s="18">
        <f t="shared" si="16"/>
        <v>0</v>
      </c>
      <c r="BA7" s="27">
        <f t="shared" si="21"/>
        <v>0</v>
      </c>
      <c r="BB7" s="27">
        <f t="shared" si="22"/>
        <v>0</v>
      </c>
      <c r="BC7" s="27">
        <f t="shared" si="23"/>
        <v>0</v>
      </c>
      <c r="BD7" s="27">
        <f t="shared" si="24"/>
        <v>1</v>
      </c>
      <c r="BE7" s="27">
        <f t="shared" si="25"/>
        <v>0</v>
      </c>
      <c r="BF7" s="27">
        <f t="shared" si="26"/>
        <v>0</v>
      </c>
      <c r="BG7" s="27">
        <f t="shared" si="27"/>
        <v>0</v>
      </c>
      <c r="BH7" s="27">
        <f t="shared" si="28"/>
        <v>0</v>
      </c>
      <c r="BI7" s="27">
        <f t="shared" si="29"/>
        <v>1</v>
      </c>
      <c r="BJ7" s="27">
        <f t="shared" si="30"/>
        <v>6.9767441860465115E-2</v>
      </c>
    </row>
    <row r="8" spans="1:62" s="22" customFormat="1" ht="22.5">
      <c r="A8" s="8" t="s">
        <v>16</v>
      </c>
      <c r="B8" s="21"/>
      <c r="C8" s="25">
        <v>1</v>
      </c>
      <c r="D8" s="25">
        <v>0</v>
      </c>
      <c r="E8" s="25">
        <v>0</v>
      </c>
      <c r="F8" s="28">
        <v>0</v>
      </c>
      <c r="G8" s="28"/>
      <c r="H8" s="28"/>
      <c r="I8" s="28"/>
      <c r="J8" s="28"/>
      <c r="K8" s="29"/>
      <c r="L8" s="25">
        <v>0</v>
      </c>
      <c r="M8" s="25">
        <v>0</v>
      </c>
      <c r="N8" s="25">
        <v>0</v>
      </c>
      <c r="O8" s="28">
        <v>1</v>
      </c>
      <c r="P8" s="28"/>
      <c r="Q8" s="28"/>
      <c r="R8" s="28"/>
      <c r="S8" s="28"/>
      <c r="T8"/>
      <c r="U8" s="23">
        <f t="shared" si="31"/>
        <v>0</v>
      </c>
      <c r="V8" s="1">
        <f t="shared" si="18"/>
        <v>0</v>
      </c>
      <c r="W8" s="11">
        <f t="shared" si="19"/>
        <v>1</v>
      </c>
      <c r="X8" s="23">
        <v>5</v>
      </c>
      <c r="Y8" s="24">
        <f t="shared" si="20"/>
        <v>0.11627906976744186</v>
      </c>
      <c r="Z8" s="18">
        <v>0</v>
      </c>
      <c r="AA8" s="18">
        <v>0.3</v>
      </c>
      <c r="AB8" s="18">
        <v>0.8</v>
      </c>
      <c r="AC8" s="18">
        <v>1</v>
      </c>
      <c r="AD8" s="18"/>
      <c r="AE8" s="18"/>
      <c r="AF8" s="18"/>
      <c r="AG8" s="18"/>
      <c r="AH8" s="12"/>
      <c r="AI8" s="18">
        <f t="shared" si="1"/>
        <v>0</v>
      </c>
      <c r="AJ8" s="18">
        <f t="shared" si="2"/>
        <v>0</v>
      </c>
      <c r="AK8" s="18">
        <f t="shared" si="3"/>
        <v>0</v>
      </c>
      <c r="AL8" s="18">
        <f t="shared" si="4"/>
        <v>0</v>
      </c>
      <c r="AM8" s="18">
        <f t="shared" si="5"/>
        <v>0</v>
      </c>
      <c r="AN8" s="18">
        <f t="shared" si="6"/>
        <v>0</v>
      </c>
      <c r="AO8" s="18">
        <f t="shared" si="7"/>
        <v>0</v>
      </c>
      <c r="AP8" s="18">
        <f t="shared" si="8"/>
        <v>0</v>
      </c>
      <c r="AQ8" s="23"/>
      <c r="AR8" s="18">
        <f t="shared" si="9"/>
        <v>0</v>
      </c>
      <c r="AS8" s="18">
        <f t="shared" si="10"/>
        <v>0</v>
      </c>
      <c r="AT8" s="18">
        <f t="shared" si="11"/>
        <v>0</v>
      </c>
      <c r="AU8" s="18">
        <f t="shared" si="12"/>
        <v>1</v>
      </c>
      <c r="AV8" s="18">
        <f t="shared" si="13"/>
        <v>0</v>
      </c>
      <c r="AW8" s="18">
        <f t="shared" si="14"/>
        <v>0</v>
      </c>
      <c r="AX8" s="18">
        <f t="shared" si="15"/>
        <v>0</v>
      </c>
      <c r="AY8" s="18">
        <f t="shared" si="16"/>
        <v>0</v>
      </c>
      <c r="BA8" s="27">
        <f t="shared" si="21"/>
        <v>0</v>
      </c>
      <c r="BB8" s="27">
        <f t="shared" si="22"/>
        <v>0</v>
      </c>
      <c r="BC8" s="27">
        <f t="shared" si="23"/>
        <v>0</v>
      </c>
      <c r="BD8" s="27">
        <f t="shared" si="24"/>
        <v>-1</v>
      </c>
      <c r="BE8" s="27">
        <f t="shared" si="25"/>
        <v>0</v>
      </c>
      <c r="BF8" s="27">
        <f t="shared" si="26"/>
        <v>0</v>
      </c>
      <c r="BG8" s="27">
        <f t="shared" si="27"/>
        <v>0</v>
      </c>
      <c r="BH8" s="27">
        <f t="shared" si="28"/>
        <v>0</v>
      </c>
      <c r="BI8" s="27">
        <f t="shared" si="29"/>
        <v>1</v>
      </c>
      <c r="BJ8" s="27">
        <f t="shared" si="30"/>
        <v>0.11627906976744186</v>
      </c>
    </row>
    <row r="9" spans="1:62" ht="22.5">
      <c r="A9" s="4" t="s">
        <v>0</v>
      </c>
      <c r="B9" s="7"/>
      <c r="C9" s="25">
        <v>0</v>
      </c>
      <c r="D9" s="25">
        <v>1</v>
      </c>
      <c r="E9" s="25"/>
      <c r="F9" s="28"/>
      <c r="G9" s="28"/>
      <c r="H9" s="28"/>
      <c r="I9" s="28"/>
      <c r="J9" s="28"/>
      <c r="K9" s="29"/>
      <c r="L9" s="25">
        <v>1</v>
      </c>
      <c r="M9" s="25">
        <v>0</v>
      </c>
      <c r="N9" s="25"/>
      <c r="O9" s="28"/>
      <c r="P9" s="28"/>
      <c r="Q9" s="28"/>
      <c r="R9" s="28"/>
      <c r="S9" s="28"/>
      <c r="U9" s="9">
        <f t="shared" si="31"/>
        <v>0</v>
      </c>
      <c r="V9" s="1">
        <f t="shared" si="18"/>
        <v>6.9767441860465115E-2</v>
      </c>
      <c r="W9" s="11">
        <f t="shared" si="19"/>
        <v>0</v>
      </c>
      <c r="X9" s="12">
        <v>3</v>
      </c>
      <c r="Y9" s="10">
        <f t="shared" si="20"/>
        <v>6.9767441860465115E-2</v>
      </c>
      <c r="Z9" s="18">
        <v>0</v>
      </c>
      <c r="AA9" s="18">
        <f>IF(M9=1,1,0)</f>
        <v>0</v>
      </c>
      <c r="AB9" s="18">
        <v>0</v>
      </c>
      <c r="AC9" s="18">
        <v>0</v>
      </c>
      <c r="AD9" s="18"/>
      <c r="AE9" s="18"/>
      <c r="AF9" s="18"/>
      <c r="AG9" s="18"/>
      <c r="AH9" s="12"/>
      <c r="AI9" s="18">
        <f t="shared" si="1"/>
        <v>0</v>
      </c>
      <c r="AJ9" s="18">
        <f t="shared" si="2"/>
        <v>0</v>
      </c>
      <c r="AK9" s="18">
        <f t="shared" si="3"/>
        <v>0</v>
      </c>
      <c r="AL9" s="18">
        <f t="shared" si="4"/>
        <v>0</v>
      </c>
      <c r="AM9" s="18">
        <f t="shared" si="5"/>
        <v>0</v>
      </c>
      <c r="AN9" s="18">
        <f t="shared" si="6"/>
        <v>0</v>
      </c>
      <c r="AO9" s="18">
        <f t="shared" si="7"/>
        <v>0</v>
      </c>
      <c r="AP9" s="18">
        <f t="shared" si="8"/>
        <v>0</v>
      </c>
      <c r="AQ9" s="9"/>
      <c r="AR9" s="18">
        <f t="shared" si="9"/>
        <v>0</v>
      </c>
      <c r="AS9" s="18">
        <f t="shared" si="10"/>
        <v>0</v>
      </c>
      <c r="AT9" s="18">
        <f t="shared" si="11"/>
        <v>0</v>
      </c>
      <c r="AU9" s="18">
        <f t="shared" si="12"/>
        <v>0</v>
      </c>
      <c r="AV9" s="18">
        <f t="shared" si="13"/>
        <v>0</v>
      </c>
      <c r="AW9" s="18">
        <f t="shared" si="14"/>
        <v>0</v>
      </c>
      <c r="AX9" s="18">
        <f t="shared" si="15"/>
        <v>0</v>
      </c>
      <c r="AY9" s="18">
        <f t="shared" si="16"/>
        <v>0</v>
      </c>
      <c r="BA9" s="27">
        <f t="shared" si="21"/>
        <v>0</v>
      </c>
      <c r="BB9" s="27">
        <f t="shared" si="22"/>
        <v>0</v>
      </c>
      <c r="BC9" s="27">
        <f t="shared" si="23"/>
        <v>0</v>
      </c>
      <c r="BD9" s="27">
        <f t="shared" si="24"/>
        <v>0</v>
      </c>
      <c r="BE9" s="27">
        <f t="shared" si="25"/>
        <v>0</v>
      </c>
      <c r="BF9" s="27">
        <f t="shared" si="26"/>
        <v>0</v>
      </c>
      <c r="BG9" s="27">
        <f t="shared" si="27"/>
        <v>0</v>
      </c>
      <c r="BH9" s="27">
        <f t="shared" si="28"/>
        <v>0</v>
      </c>
      <c r="BI9" s="27">
        <f t="shared" si="29"/>
        <v>0</v>
      </c>
      <c r="BJ9" s="27">
        <f t="shared" si="30"/>
        <v>0</v>
      </c>
    </row>
    <row r="10" spans="1:62" ht="22.5">
      <c r="A10" s="5" t="s">
        <v>1</v>
      </c>
      <c r="B10" s="7"/>
      <c r="C10" s="25"/>
      <c r="D10" s="25"/>
      <c r="E10" s="25"/>
      <c r="F10" s="25"/>
      <c r="G10" s="25">
        <v>0</v>
      </c>
      <c r="H10" s="25">
        <v>1</v>
      </c>
      <c r="I10" s="28"/>
      <c r="J10" s="28"/>
      <c r="K10" s="29"/>
      <c r="L10" s="25"/>
      <c r="M10" s="25"/>
      <c r="N10" s="25"/>
      <c r="O10" s="25"/>
      <c r="P10" s="25">
        <v>1</v>
      </c>
      <c r="Q10" s="25">
        <v>0</v>
      </c>
      <c r="R10" s="28"/>
      <c r="S10" s="28"/>
      <c r="U10" s="9">
        <f t="shared" si="31"/>
        <v>0</v>
      </c>
      <c r="V10" s="1">
        <f t="shared" si="18"/>
        <v>0</v>
      </c>
      <c r="W10" s="11">
        <f t="shared" si="19"/>
        <v>1</v>
      </c>
      <c r="X10" s="12">
        <v>2</v>
      </c>
      <c r="Y10" s="10">
        <f t="shared" si="20"/>
        <v>4.6511627906976744E-2</v>
      </c>
      <c r="Z10" s="18"/>
      <c r="AA10" s="18"/>
      <c r="AB10" s="18"/>
      <c r="AC10" s="18"/>
      <c r="AD10" s="18">
        <v>0</v>
      </c>
      <c r="AE10" s="18">
        <v>1</v>
      </c>
      <c r="AF10" s="18"/>
      <c r="AG10" s="18"/>
      <c r="AH10" s="12"/>
      <c r="AI10" s="18">
        <f t="shared" si="1"/>
        <v>0</v>
      </c>
      <c r="AJ10" s="18">
        <f t="shared" si="2"/>
        <v>0</v>
      </c>
      <c r="AK10" s="18">
        <f t="shared" si="3"/>
        <v>0</v>
      </c>
      <c r="AL10" s="18">
        <f t="shared" si="4"/>
        <v>0</v>
      </c>
      <c r="AM10" s="18">
        <f t="shared" si="5"/>
        <v>0</v>
      </c>
      <c r="AN10" s="18">
        <f t="shared" si="6"/>
        <v>1</v>
      </c>
      <c r="AO10" s="18">
        <f t="shared" si="7"/>
        <v>0</v>
      </c>
      <c r="AP10" s="18">
        <f t="shared" si="8"/>
        <v>0</v>
      </c>
      <c r="AQ10" s="9"/>
      <c r="AR10" s="18">
        <f t="shared" si="9"/>
        <v>0</v>
      </c>
      <c r="AS10" s="18">
        <f t="shared" si="10"/>
        <v>0</v>
      </c>
      <c r="AT10" s="18">
        <f t="shared" si="11"/>
        <v>0</v>
      </c>
      <c r="AU10" s="18">
        <f t="shared" si="12"/>
        <v>0</v>
      </c>
      <c r="AV10" s="18">
        <f t="shared" si="13"/>
        <v>0</v>
      </c>
      <c r="AW10" s="18">
        <f t="shared" si="14"/>
        <v>0</v>
      </c>
      <c r="AX10" s="18">
        <f t="shared" si="15"/>
        <v>0</v>
      </c>
      <c r="AY10" s="18">
        <f t="shared" si="16"/>
        <v>0</v>
      </c>
      <c r="BA10" s="27">
        <f t="shared" si="21"/>
        <v>0</v>
      </c>
      <c r="BB10" s="27">
        <f t="shared" si="22"/>
        <v>0</v>
      </c>
      <c r="BC10" s="27">
        <f t="shared" si="23"/>
        <v>0</v>
      </c>
      <c r="BD10" s="27">
        <f t="shared" si="24"/>
        <v>0</v>
      </c>
      <c r="BE10" s="27">
        <f t="shared" si="25"/>
        <v>0</v>
      </c>
      <c r="BF10" s="27">
        <f t="shared" si="26"/>
        <v>1</v>
      </c>
      <c r="BG10" s="27">
        <f t="shared" si="27"/>
        <v>0</v>
      </c>
      <c r="BH10" s="27">
        <f t="shared" si="28"/>
        <v>0</v>
      </c>
      <c r="BI10" s="27">
        <f t="shared" si="29"/>
        <v>1</v>
      </c>
      <c r="BJ10" s="27">
        <f t="shared" si="30"/>
        <v>4.6511627906976744E-2</v>
      </c>
    </row>
    <row r="11" spans="1:62" ht="22.5">
      <c r="A11" s="5" t="s">
        <v>21</v>
      </c>
      <c r="B11" s="7"/>
      <c r="C11" s="25"/>
      <c r="D11" s="25"/>
      <c r="E11" s="25"/>
      <c r="F11" s="25"/>
      <c r="G11" s="25">
        <v>0</v>
      </c>
      <c r="H11" s="25">
        <v>1</v>
      </c>
      <c r="I11" s="28"/>
      <c r="J11" s="28"/>
      <c r="K11" s="29"/>
      <c r="L11" s="25"/>
      <c r="M11" s="25"/>
      <c r="N11" s="25"/>
      <c r="O11" s="25"/>
      <c r="P11" s="25">
        <v>1</v>
      </c>
      <c r="Q11" s="25">
        <v>0</v>
      </c>
      <c r="R11" s="28"/>
      <c r="S11" s="28"/>
      <c r="U11" s="9">
        <f t="shared" si="31"/>
        <v>0</v>
      </c>
      <c r="V11" s="1">
        <f t="shared" si="18"/>
        <v>0</v>
      </c>
      <c r="W11" s="11">
        <f t="shared" si="19"/>
        <v>1</v>
      </c>
      <c r="X11" s="12">
        <v>2</v>
      </c>
      <c r="Y11" s="10">
        <f t="shared" si="20"/>
        <v>4.6511627906976744E-2</v>
      </c>
      <c r="Z11" s="18"/>
      <c r="AA11" s="18"/>
      <c r="AB11" s="18"/>
      <c r="AC11" s="18"/>
      <c r="AD11" s="18">
        <v>0</v>
      </c>
      <c r="AE11" s="18">
        <v>1</v>
      </c>
      <c r="AF11" s="18"/>
      <c r="AG11" s="18"/>
      <c r="AH11" s="12"/>
      <c r="AI11" s="18">
        <f t="shared" si="1"/>
        <v>0</v>
      </c>
      <c r="AJ11" s="18">
        <f t="shared" si="2"/>
        <v>0</v>
      </c>
      <c r="AK11" s="18">
        <f t="shared" si="3"/>
        <v>0</v>
      </c>
      <c r="AL11" s="18">
        <f t="shared" si="4"/>
        <v>0</v>
      </c>
      <c r="AM11" s="18">
        <f t="shared" si="5"/>
        <v>0</v>
      </c>
      <c r="AN11" s="18">
        <f t="shared" si="6"/>
        <v>1</v>
      </c>
      <c r="AO11" s="18">
        <f t="shared" si="7"/>
        <v>0</v>
      </c>
      <c r="AP11" s="18">
        <f t="shared" si="8"/>
        <v>0</v>
      </c>
      <c r="AQ11" s="9"/>
      <c r="AR11" s="18">
        <f t="shared" si="9"/>
        <v>0</v>
      </c>
      <c r="AS11" s="18">
        <f t="shared" si="10"/>
        <v>0</v>
      </c>
      <c r="AT11" s="18">
        <f t="shared" si="11"/>
        <v>0</v>
      </c>
      <c r="AU11" s="18">
        <f t="shared" si="12"/>
        <v>0</v>
      </c>
      <c r="AV11" s="18">
        <f t="shared" si="13"/>
        <v>0</v>
      </c>
      <c r="AW11" s="18">
        <f t="shared" si="14"/>
        <v>0</v>
      </c>
      <c r="AX11" s="18">
        <f t="shared" si="15"/>
        <v>0</v>
      </c>
      <c r="AY11" s="18">
        <f t="shared" si="16"/>
        <v>0</v>
      </c>
      <c r="BA11" s="27">
        <f t="shared" si="21"/>
        <v>0</v>
      </c>
      <c r="BB11" s="27">
        <f t="shared" si="22"/>
        <v>0</v>
      </c>
      <c r="BC11" s="27">
        <f t="shared" si="23"/>
        <v>0</v>
      </c>
      <c r="BD11" s="27">
        <f t="shared" si="24"/>
        <v>0</v>
      </c>
      <c r="BE11" s="27">
        <f t="shared" si="25"/>
        <v>0</v>
      </c>
      <c r="BF11" s="27">
        <f t="shared" si="26"/>
        <v>1</v>
      </c>
      <c r="BG11" s="27">
        <f t="shared" si="27"/>
        <v>0</v>
      </c>
      <c r="BH11" s="27">
        <f t="shared" si="28"/>
        <v>0</v>
      </c>
      <c r="BI11" s="27">
        <f t="shared" si="29"/>
        <v>1</v>
      </c>
      <c r="BJ11" s="27">
        <f t="shared" si="30"/>
        <v>4.6511627906976744E-2</v>
      </c>
    </row>
    <row r="12" spans="1:62" ht="22.5">
      <c r="A12" s="5" t="s">
        <v>2</v>
      </c>
      <c r="B12" s="7"/>
      <c r="C12" s="25"/>
      <c r="D12" s="25"/>
      <c r="E12" s="25"/>
      <c r="F12" s="25"/>
      <c r="G12" s="25">
        <v>0</v>
      </c>
      <c r="H12" s="25">
        <v>1</v>
      </c>
      <c r="I12" s="28"/>
      <c r="J12" s="28"/>
      <c r="K12" s="29"/>
      <c r="L12" s="25"/>
      <c r="M12" s="25"/>
      <c r="N12" s="25"/>
      <c r="O12" s="25"/>
      <c r="P12" s="25">
        <v>1</v>
      </c>
      <c r="Q12" s="25">
        <v>0</v>
      </c>
      <c r="R12" s="28"/>
      <c r="S12" s="28"/>
      <c r="U12" s="9">
        <f t="shared" si="31"/>
        <v>0</v>
      </c>
      <c r="V12" s="1">
        <f t="shared" si="18"/>
        <v>0</v>
      </c>
      <c r="W12" s="11">
        <f t="shared" si="19"/>
        <v>1</v>
      </c>
      <c r="X12" s="12">
        <v>2</v>
      </c>
      <c r="Y12" s="10">
        <f t="shared" si="20"/>
        <v>4.6511627906976744E-2</v>
      </c>
      <c r="Z12" s="18"/>
      <c r="AA12" s="18"/>
      <c r="AB12" s="18"/>
      <c r="AC12" s="18"/>
      <c r="AD12" s="18">
        <v>0</v>
      </c>
      <c r="AE12" s="18">
        <v>1</v>
      </c>
      <c r="AF12" s="18"/>
      <c r="AG12" s="18"/>
      <c r="AH12" s="12"/>
      <c r="AI12" s="18">
        <f t="shared" si="1"/>
        <v>0</v>
      </c>
      <c r="AJ12" s="18">
        <f t="shared" si="2"/>
        <v>0</v>
      </c>
      <c r="AK12" s="18">
        <f t="shared" si="3"/>
        <v>0</v>
      </c>
      <c r="AL12" s="18">
        <f t="shared" si="4"/>
        <v>0</v>
      </c>
      <c r="AM12" s="18">
        <f t="shared" si="5"/>
        <v>0</v>
      </c>
      <c r="AN12" s="18">
        <f t="shared" si="6"/>
        <v>1</v>
      </c>
      <c r="AO12" s="18">
        <f t="shared" si="7"/>
        <v>0</v>
      </c>
      <c r="AP12" s="18">
        <f t="shared" si="8"/>
        <v>0</v>
      </c>
      <c r="AQ12" s="9"/>
      <c r="AR12" s="18">
        <f t="shared" si="9"/>
        <v>0</v>
      </c>
      <c r="AS12" s="18">
        <f t="shared" si="10"/>
        <v>0</v>
      </c>
      <c r="AT12" s="18">
        <f t="shared" si="11"/>
        <v>0</v>
      </c>
      <c r="AU12" s="18">
        <f t="shared" si="12"/>
        <v>0</v>
      </c>
      <c r="AV12" s="18">
        <f t="shared" si="13"/>
        <v>0</v>
      </c>
      <c r="AW12" s="18">
        <f t="shared" si="14"/>
        <v>0</v>
      </c>
      <c r="AX12" s="18">
        <f t="shared" si="15"/>
        <v>0</v>
      </c>
      <c r="AY12" s="18">
        <f t="shared" si="16"/>
        <v>0</v>
      </c>
      <c r="BA12" s="27">
        <f t="shared" si="21"/>
        <v>0</v>
      </c>
      <c r="BB12" s="27">
        <f t="shared" si="22"/>
        <v>0</v>
      </c>
      <c r="BC12" s="27">
        <f t="shared" si="23"/>
        <v>0</v>
      </c>
      <c r="BD12" s="27">
        <f t="shared" si="24"/>
        <v>0</v>
      </c>
      <c r="BE12" s="27">
        <f t="shared" si="25"/>
        <v>0</v>
      </c>
      <c r="BF12" s="27">
        <f t="shared" si="26"/>
        <v>1</v>
      </c>
      <c r="BG12" s="27">
        <f t="shared" si="27"/>
        <v>0</v>
      </c>
      <c r="BH12" s="27">
        <f t="shared" si="28"/>
        <v>0</v>
      </c>
      <c r="BI12" s="27">
        <f t="shared" si="29"/>
        <v>1</v>
      </c>
      <c r="BJ12" s="27">
        <f t="shared" si="30"/>
        <v>4.6511627906976744E-2</v>
      </c>
    </row>
    <row r="13" spans="1:62" ht="22.5">
      <c r="A13" s="5" t="s">
        <v>3</v>
      </c>
      <c r="B13" s="7"/>
      <c r="C13" s="25"/>
      <c r="D13" s="25"/>
      <c r="E13" s="25"/>
      <c r="F13" s="25"/>
      <c r="G13" s="25">
        <v>1</v>
      </c>
      <c r="H13" s="25">
        <v>0</v>
      </c>
      <c r="I13" s="28"/>
      <c r="J13" s="28"/>
      <c r="K13" s="29"/>
      <c r="L13" s="25"/>
      <c r="M13" s="25"/>
      <c r="N13" s="25"/>
      <c r="O13" s="25"/>
      <c r="P13" s="25">
        <v>0</v>
      </c>
      <c r="Q13" s="25">
        <v>1</v>
      </c>
      <c r="R13" s="28"/>
      <c r="S13" s="28"/>
      <c r="U13" s="9">
        <f t="shared" si="31"/>
        <v>0</v>
      </c>
      <c r="V13" s="1">
        <f>(1-W13)*Y13</f>
        <v>0</v>
      </c>
      <c r="W13" s="11">
        <f t="shared" si="19"/>
        <v>1</v>
      </c>
      <c r="X13" s="12">
        <v>4</v>
      </c>
      <c r="Y13" s="10">
        <f t="shared" si="20"/>
        <v>9.3023255813953487E-2</v>
      </c>
      <c r="Z13" s="18"/>
      <c r="AA13" s="18"/>
      <c r="AB13" s="18"/>
      <c r="AC13" s="18"/>
      <c r="AD13" s="18">
        <v>0</v>
      </c>
      <c r="AE13" s="18">
        <v>1</v>
      </c>
      <c r="AF13" s="18"/>
      <c r="AG13" s="18"/>
      <c r="AH13" s="12"/>
      <c r="AI13" s="18">
        <f t="shared" si="1"/>
        <v>0</v>
      </c>
      <c r="AJ13" s="18">
        <f t="shared" si="2"/>
        <v>0</v>
      </c>
      <c r="AK13" s="18">
        <f t="shared" si="3"/>
        <v>0</v>
      </c>
      <c r="AL13" s="18">
        <f t="shared" si="4"/>
        <v>0</v>
      </c>
      <c r="AM13" s="18">
        <f t="shared" si="5"/>
        <v>0</v>
      </c>
      <c r="AN13" s="18">
        <f t="shared" si="6"/>
        <v>0</v>
      </c>
      <c r="AO13" s="18">
        <f t="shared" si="7"/>
        <v>0</v>
      </c>
      <c r="AP13" s="18">
        <f t="shared" si="8"/>
        <v>0</v>
      </c>
      <c r="AQ13" s="9"/>
      <c r="AR13" s="18">
        <f t="shared" si="9"/>
        <v>0</v>
      </c>
      <c r="AS13" s="18">
        <f t="shared" si="10"/>
        <v>0</v>
      </c>
      <c r="AT13" s="18">
        <f t="shared" si="11"/>
        <v>0</v>
      </c>
      <c r="AU13" s="18">
        <f t="shared" si="12"/>
        <v>0</v>
      </c>
      <c r="AV13" s="18">
        <f t="shared" si="13"/>
        <v>0</v>
      </c>
      <c r="AW13" s="18">
        <f t="shared" si="14"/>
        <v>1</v>
      </c>
      <c r="AX13" s="18">
        <f t="shared" si="15"/>
        <v>0</v>
      </c>
      <c r="AY13" s="18">
        <f t="shared" si="16"/>
        <v>0</v>
      </c>
      <c r="BA13" s="27">
        <f t="shared" si="21"/>
        <v>0</v>
      </c>
      <c r="BB13" s="27">
        <f t="shared" si="22"/>
        <v>0</v>
      </c>
      <c r="BC13" s="27">
        <f t="shared" si="23"/>
        <v>0</v>
      </c>
      <c r="BD13" s="27">
        <f t="shared" si="24"/>
        <v>0</v>
      </c>
      <c r="BE13" s="27">
        <f t="shared" si="25"/>
        <v>0</v>
      </c>
      <c r="BF13" s="27">
        <f t="shared" si="26"/>
        <v>-1</v>
      </c>
      <c r="BG13" s="27">
        <f t="shared" si="27"/>
        <v>0</v>
      </c>
      <c r="BH13" s="27">
        <f t="shared" si="28"/>
        <v>0</v>
      </c>
      <c r="BI13" s="27">
        <f t="shared" si="29"/>
        <v>1</v>
      </c>
      <c r="BJ13" s="27">
        <f t="shared" si="30"/>
        <v>9.3023255813953487E-2</v>
      </c>
    </row>
    <row r="14" spans="1:62" ht="22.5">
      <c r="A14" s="8" t="s">
        <v>4</v>
      </c>
      <c r="B14" s="7"/>
      <c r="C14" s="25"/>
      <c r="D14" s="25"/>
      <c r="E14" s="25"/>
      <c r="F14" s="25"/>
      <c r="G14" s="25"/>
      <c r="H14" s="25"/>
      <c r="I14" s="25">
        <v>0</v>
      </c>
      <c r="J14" s="25">
        <v>1</v>
      </c>
      <c r="K14" s="29"/>
      <c r="L14" s="25"/>
      <c r="M14" s="25"/>
      <c r="N14" s="25"/>
      <c r="O14" s="25"/>
      <c r="P14" s="25"/>
      <c r="Q14" s="25"/>
      <c r="R14" s="25">
        <v>1</v>
      </c>
      <c r="S14" s="25">
        <v>0</v>
      </c>
      <c r="U14" s="9">
        <f t="shared" si="31"/>
        <v>0</v>
      </c>
      <c r="V14" s="1">
        <f t="shared" si="18"/>
        <v>0</v>
      </c>
      <c r="W14" s="11">
        <f t="shared" si="19"/>
        <v>1</v>
      </c>
      <c r="X14" s="12">
        <v>1</v>
      </c>
      <c r="Y14" s="10">
        <f t="shared" si="20"/>
        <v>2.3255813953488372E-2</v>
      </c>
      <c r="Z14" s="18"/>
      <c r="AA14" s="18"/>
      <c r="AB14" s="18"/>
      <c r="AC14" s="18"/>
      <c r="AD14" s="18"/>
      <c r="AE14" s="18"/>
      <c r="AF14" s="18">
        <v>0</v>
      </c>
      <c r="AG14" s="18">
        <v>1</v>
      </c>
      <c r="AH14" s="12"/>
      <c r="AI14" s="18">
        <f t="shared" si="1"/>
        <v>0</v>
      </c>
      <c r="AJ14" s="18">
        <f t="shared" si="2"/>
        <v>0</v>
      </c>
      <c r="AK14" s="18">
        <f t="shared" si="3"/>
        <v>0</v>
      </c>
      <c r="AL14" s="18">
        <f t="shared" si="4"/>
        <v>0</v>
      </c>
      <c r="AM14" s="18">
        <f t="shared" si="5"/>
        <v>0</v>
      </c>
      <c r="AN14" s="18">
        <f t="shared" si="6"/>
        <v>0</v>
      </c>
      <c r="AO14" s="18">
        <f t="shared" si="7"/>
        <v>0</v>
      </c>
      <c r="AP14" s="18">
        <f t="shared" si="8"/>
        <v>1</v>
      </c>
      <c r="AQ14" s="9"/>
      <c r="AR14" s="18">
        <f t="shared" si="9"/>
        <v>0</v>
      </c>
      <c r="AS14" s="18">
        <f t="shared" si="10"/>
        <v>0</v>
      </c>
      <c r="AT14" s="18">
        <f t="shared" si="11"/>
        <v>0</v>
      </c>
      <c r="AU14" s="18">
        <f t="shared" si="12"/>
        <v>0</v>
      </c>
      <c r="AV14" s="18">
        <f t="shared" si="13"/>
        <v>0</v>
      </c>
      <c r="AW14" s="18">
        <f t="shared" si="14"/>
        <v>0</v>
      </c>
      <c r="AX14" s="18">
        <f t="shared" si="15"/>
        <v>0</v>
      </c>
      <c r="AY14" s="18">
        <f t="shared" si="16"/>
        <v>0</v>
      </c>
      <c r="BA14" s="27">
        <f t="shared" si="21"/>
        <v>0</v>
      </c>
      <c r="BB14" s="27">
        <f t="shared" si="22"/>
        <v>0</v>
      </c>
      <c r="BC14" s="27">
        <f t="shared" si="23"/>
        <v>0</v>
      </c>
      <c r="BD14" s="27">
        <f t="shared" si="24"/>
        <v>0</v>
      </c>
      <c r="BE14" s="27">
        <f t="shared" si="25"/>
        <v>0</v>
      </c>
      <c r="BF14" s="27">
        <f t="shared" si="26"/>
        <v>0</v>
      </c>
      <c r="BG14" s="27">
        <f t="shared" si="27"/>
        <v>0</v>
      </c>
      <c r="BH14" s="27">
        <f t="shared" si="28"/>
        <v>1</v>
      </c>
      <c r="BI14" s="27">
        <f t="shared" si="29"/>
        <v>1</v>
      </c>
      <c r="BJ14" s="27">
        <f t="shared" si="30"/>
        <v>2.3255813953488372E-2</v>
      </c>
    </row>
    <row r="15" spans="1:62" ht="22.5">
      <c r="A15" s="8" t="s">
        <v>22</v>
      </c>
      <c r="B15" s="7"/>
      <c r="C15" s="25"/>
      <c r="D15" s="25"/>
      <c r="E15" s="25"/>
      <c r="F15" s="25"/>
      <c r="G15" s="25"/>
      <c r="H15" s="25"/>
      <c r="I15" s="25">
        <v>0</v>
      </c>
      <c r="J15" s="25">
        <v>1</v>
      </c>
      <c r="K15" s="29"/>
      <c r="L15" s="25"/>
      <c r="M15" s="25"/>
      <c r="N15" s="25"/>
      <c r="O15" s="25"/>
      <c r="P15" s="25"/>
      <c r="Q15" s="25"/>
      <c r="R15" s="25">
        <v>1</v>
      </c>
      <c r="S15" s="25">
        <v>0</v>
      </c>
      <c r="U15" s="9">
        <f t="shared" si="31"/>
        <v>0</v>
      </c>
      <c r="V15" s="1">
        <f t="shared" si="18"/>
        <v>0</v>
      </c>
      <c r="W15" s="11">
        <f t="shared" si="19"/>
        <v>1</v>
      </c>
      <c r="X15" s="12">
        <v>1</v>
      </c>
      <c r="Y15" s="10">
        <f t="shared" si="20"/>
        <v>2.3255813953488372E-2</v>
      </c>
      <c r="Z15" s="18"/>
      <c r="AA15" s="18"/>
      <c r="AB15" s="18"/>
      <c r="AC15" s="18"/>
      <c r="AD15" s="18"/>
      <c r="AE15" s="18"/>
      <c r="AF15" s="18">
        <v>0</v>
      </c>
      <c r="AG15" s="18">
        <v>1</v>
      </c>
      <c r="AH15" s="12"/>
      <c r="AI15" s="18">
        <f t="shared" si="1"/>
        <v>0</v>
      </c>
      <c r="AJ15" s="18">
        <f t="shared" si="2"/>
        <v>0</v>
      </c>
      <c r="AK15" s="18">
        <f t="shared" si="3"/>
        <v>0</v>
      </c>
      <c r="AL15" s="18">
        <f t="shared" si="4"/>
        <v>0</v>
      </c>
      <c r="AM15" s="18">
        <f t="shared" si="5"/>
        <v>0</v>
      </c>
      <c r="AN15" s="18">
        <f t="shared" si="6"/>
        <v>0</v>
      </c>
      <c r="AO15" s="18">
        <f t="shared" si="7"/>
        <v>0</v>
      </c>
      <c r="AP15" s="18">
        <f t="shared" si="8"/>
        <v>1</v>
      </c>
      <c r="AQ15" s="9"/>
      <c r="AR15" s="18">
        <f t="shared" si="9"/>
        <v>0</v>
      </c>
      <c r="AS15" s="18">
        <f t="shared" si="10"/>
        <v>0</v>
      </c>
      <c r="AT15" s="18">
        <f t="shared" si="11"/>
        <v>0</v>
      </c>
      <c r="AU15" s="18">
        <f t="shared" si="12"/>
        <v>0</v>
      </c>
      <c r="AV15" s="18">
        <f t="shared" si="13"/>
        <v>0</v>
      </c>
      <c r="AW15" s="18">
        <f t="shared" si="14"/>
        <v>0</v>
      </c>
      <c r="AX15" s="18">
        <f t="shared" si="15"/>
        <v>0</v>
      </c>
      <c r="AY15" s="18">
        <f t="shared" si="16"/>
        <v>0</v>
      </c>
      <c r="BA15" s="27">
        <f t="shared" si="21"/>
        <v>0</v>
      </c>
      <c r="BB15" s="27">
        <f t="shared" si="22"/>
        <v>0</v>
      </c>
      <c r="BC15" s="27">
        <f t="shared" si="23"/>
        <v>0</v>
      </c>
      <c r="BD15" s="27">
        <f t="shared" si="24"/>
        <v>0</v>
      </c>
      <c r="BE15" s="27">
        <f t="shared" si="25"/>
        <v>0</v>
      </c>
      <c r="BF15" s="27">
        <f t="shared" si="26"/>
        <v>0</v>
      </c>
      <c r="BG15" s="27">
        <f t="shared" si="27"/>
        <v>0</v>
      </c>
      <c r="BH15" s="27">
        <f t="shared" si="28"/>
        <v>1</v>
      </c>
      <c r="BI15" s="27">
        <f t="shared" si="29"/>
        <v>1</v>
      </c>
      <c r="BJ15" s="27">
        <f t="shared" si="30"/>
        <v>2.3255813953488372E-2</v>
      </c>
    </row>
    <row r="16" spans="1:62" ht="22.5">
      <c r="A16" s="8" t="s">
        <v>23</v>
      </c>
      <c r="B16" s="7"/>
      <c r="C16" s="25"/>
      <c r="D16" s="25"/>
      <c r="E16" s="25"/>
      <c r="F16" s="25"/>
      <c r="G16" s="25"/>
      <c r="H16" s="25"/>
      <c r="I16" s="25">
        <v>0</v>
      </c>
      <c r="J16" s="25">
        <v>1</v>
      </c>
      <c r="K16" s="29"/>
      <c r="L16" s="25"/>
      <c r="M16" s="25"/>
      <c r="N16" s="25"/>
      <c r="O16" s="25"/>
      <c r="P16" s="25"/>
      <c r="Q16" s="25"/>
      <c r="R16" s="25">
        <v>1</v>
      </c>
      <c r="S16" s="25">
        <v>0</v>
      </c>
      <c r="U16" s="9">
        <f>IF(MATCH(1,C16:J16,0)=MATCH(1,L16:S16,0),1,0)</f>
        <v>0</v>
      </c>
      <c r="V16" s="1">
        <f t="shared" si="18"/>
        <v>0</v>
      </c>
      <c r="W16" s="11">
        <f>BI16</f>
        <v>1</v>
      </c>
      <c r="X16" s="12">
        <v>1</v>
      </c>
      <c r="Y16" s="10">
        <f t="shared" si="20"/>
        <v>2.3255813953488372E-2</v>
      </c>
      <c r="Z16" s="18"/>
      <c r="AA16" s="18"/>
      <c r="AB16" s="18"/>
      <c r="AC16" s="18"/>
      <c r="AD16" s="18"/>
      <c r="AE16" s="18"/>
      <c r="AF16" s="18">
        <v>0</v>
      </c>
      <c r="AG16" s="18">
        <v>1</v>
      </c>
      <c r="AI16" s="18">
        <f t="shared" si="1"/>
        <v>0</v>
      </c>
      <c r="AJ16" s="18">
        <f t="shared" si="2"/>
        <v>0</v>
      </c>
      <c r="AK16" s="18">
        <f t="shared" si="3"/>
        <v>0</v>
      </c>
      <c r="AL16" s="18">
        <f t="shared" si="4"/>
        <v>0</v>
      </c>
      <c r="AM16" s="18">
        <f t="shared" si="5"/>
        <v>0</v>
      </c>
      <c r="AN16" s="18">
        <f t="shared" si="6"/>
        <v>0</v>
      </c>
      <c r="AO16" s="18">
        <f t="shared" si="7"/>
        <v>0</v>
      </c>
      <c r="AP16" s="18">
        <f t="shared" si="8"/>
        <v>1</v>
      </c>
      <c r="AQ16" s="9" t="s">
        <v>24</v>
      </c>
      <c r="AR16" s="18">
        <f t="shared" ref="AR16:AU17" si="32">L16*Z16</f>
        <v>0</v>
      </c>
      <c r="AS16" s="18">
        <f t="shared" si="32"/>
        <v>0</v>
      </c>
      <c r="AT16" s="18">
        <f t="shared" si="32"/>
        <v>0</v>
      </c>
      <c r="AU16" s="18">
        <f t="shared" si="32"/>
        <v>0</v>
      </c>
      <c r="AV16" s="18"/>
      <c r="AW16" s="18">
        <f t="shared" ref="AW16:AY17" si="33">Q16*AE16</f>
        <v>0</v>
      </c>
      <c r="AX16" s="18">
        <f t="shared" si="33"/>
        <v>0</v>
      </c>
      <c r="AY16" s="18">
        <f t="shared" si="33"/>
        <v>0</v>
      </c>
      <c r="BA16" s="27">
        <f t="shared" si="21"/>
        <v>0</v>
      </c>
      <c r="BB16" s="27">
        <f t="shared" si="22"/>
        <v>0</v>
      </c>
      <c r="BC16" s="27">
        <f t="shared" si="23"/>
        <v>0</v>
      </c>
      <c r="BD16" s="27">
        <f t="shared" si="24"/>
        <v>0</v>
      </c>
      <c r="BE16" s="27">
        <f t="shared" si="25"/>
        <v>0</v>
      </c>
      <c r="BF16" s="27">
        <f t="shared" si="26"/>
        <v>0</v>
      </c>
      <c r="BG16" s="27">
        <f t="shared" si="27"/>
        <v>0</v>
      </c>
      <c r="BH16" s="27">
        <f t="shared" si="28"/>
        <v>1</v>
      </c>
      <c r="BI16" s="27">
        <f t="shared" si="29"/>
        <v>1</v>
      </c>
      <c r="BJ16" s="27">
        <f t="shared" si="30"/>
        <v>2.3255813953488372E-2</v>
      </c>
    </row>
    <row r="17" spans="1:62" ht="22.5">
      <c r="A17" s="14" t="s">
        <v>5</v>
      </c>
      <c r="B17" s="7"/>
      <c r="C17" s="25"/>
      <c r="D17" s="25"/>
      <c r="E17" s="25"/>
      <c r="F17" s="25"/>
      <c r="G17" s="25"/>
      <c r="H17" s="25"/>
      <c r="I17" s="25">
        <v>1</v>
      </c>
      <c r="J17" s="25">
        <v>0</v>
      </c>
      <c r="K17" s="29"/>
      <c r="L17" s="25"/>
      <c r="M17" s="25"/>
      <c r="N17" s="25"/>
      <c r="O17" s="25"/>
      <c r="P17" s="25"/>
      <c r="Q17" s="25"/>
      <c r="R17" s="25">
        <v>0</v>
      </c>
      <c r="S17" s="25">
        <v>1</v>
      </c>
      <c r="U17" s="9">
        <f t="shared" si="31"/>
        <v>0</v>
      </c>
      <c r="V17" s="1">
        <f t="shared" si="18"/>
        <v>0</v>
      </c>
      <c r="W17" s="11">
        <f t="shared" si="19"/>
        <v>1</v>
      </c>
      <c r="X17" s="12">
        <v>5</v>
      </c>
      <c r="Y17" s="10">
        <f t="shared" si="20"/>
        <v>0.11627906976744186</v>
      </c>
      <c r="Z17" s="18"/>
      <c r="AA17" s="18"/>
      <c r="AB17" s="18"/>
      <c r="AC17" s="18"/>
      <c r="AD17" s="18"/>
      <c r="AE17" s="18"/>
      <c r="AF17" s="18">
        <v>0</v>
      </c>
      <c r="AG17" s="18">
        <v>1</v>
      </c>
      <c r="AH17" s="20"/>
      <c r="AI17" s="18">
        <f t="shared" si="1"/>
        <v>0</v>
      </c>
      <c r="AJ17" s="18">
        <f t="shared" si="2"/>
        <v>0</v>
      </c>
      <c r="AK17" s="18">
        <f t="shared" si="3"/>
        <v>0</v>
      </c>
      <c r="AL17" s="18">
        <f t="shared" si="4"/>
        <v>0</v>
      </c>
      <c r="AM17" s="18">
        <f t="shared" si="5"/>
        <v>0</v>
      </c>
      <c r="AN17" s="18">
        <f t="shared" si="6"/>
        <v>0</v>
      </c>
      <c r="AO17" s="18">
        <f t="shared" si="7"/>
        <v>0</v>
      </c>
      <c r="AP17" s="18">
        <f t="shared" si="8"/>
        <v>0</v>
      </c>
      <c r="AQ17" s="9"/>
      <c r="AR17" s="18">
        <f t="shared" si="32"/>
        <v>0</v>
      </c>
      <c r="AS17" s="18">
        <f t="shared" si="32"/>
        <v>0</v>
      </c>
      <c r="AT17" s="18">
        <f t="shared" si="32"/>
        <v>0</v>
      </c>
      <c r="AU17" s="18">
        <f t="shared" si="32"/>
        <v>0</v>
      </c>
      <c r="AV17" s="18">
        <f>P17*AD17</f>
        <v>0</v>
      </c>
      <c r="AW17" s="18">
        <f t="shared" si="33"/>
        <v>0</v>
      </c>
      <c r="AX17" s="18">
        <f t="shared" si="33"/>
        <v>0</v>
      </c>
      <c r="AY17" s="18">
        <f t="shared" si="33"/>
        <v>1</v>
      </c>
      <c r="BA17" s="27">
        <f>(AI17-AR17)</f>
        <v>0</v>
      </c>
      <c r="BB17" s="27">
        <f t="shared" si="22"/>
        <v>0</v>
      </c>
      <c r="BC17" s="27">
        <f t="shared" si="23"/>
        <v>0</v>
      </c>
      <c r="BD17" s="27">
        <f t="shared" si="24"/>
        <v>0</v>
      </c>
      <c r="BE17" s="27">
        <f t="shared" si="25"/>
        <v>0</v>
      </c>
      <c r="BF17" s="27">
        <f t="shared" si="26"/>
        <v>0</v>
      </c>
      <c r="BG17" s="27">
        <f t="shared" si="27"/>
        <v>0</v>
      </c>
      <c r="BH17" s="27">
        <f t="shared" si="28"/>
        <v>-1</v>
      </c>
      <c r="BI17" s="27">
        <f t="shared" si="29"/>
        <v>1</v>
      </c>
      <c r="BJ17" s="27">
        <f t="shared" si="30"/>
        <v>0.11627906976744186</v>
      </c>
    </row>
    <row r="18" spans="1:62">
      <c r="W18">
        <v>2</v>
      </c>
      <c r="Z18" s="20"/>
      <c r="AA18" s="20"/>
      <c r="AB18" s="20"/>
      <c r="AC18" s="20"/>
      <c r="AD18" s="20"/>
      <c r="AE18" s="20"/>
      <c r="AF18" s="20"/>
      <c r="AG18" s="20"/>
      <c r="AH18" s="20"/>
    </row>
    <row r="22" spans="1:62">
      <c r="C22" s="10" t="s">
        <v>26</v>
      </c>
      <c r="S22">
        <v>0.95</v>
      </c>
      <c r="Y22" s="10"/>
    </row>
    <row r="23" spans="1:62">
      <c r="C23" s="12"/>
    </row>
    <row r="25" spans="1:62">
      <c r="C25" s="10" t="s">
        <v>27</v>
      </c>
      <c r="S25">
        <v>0.81</v>
      </c>
    </row>
    <row r="28" spans="1:62">
      <c r="C28" s="10" t="s">
        <v>28</v>
      </c>
      <c r="S28">
        <v>0.77</v>
      </c>
    </row>
    <row r="31" spans="1:62">
      <c r="C31" s="10" t="s">
        <v>29</v>
      </c>
      <c r="S31">
        <v>0.9</v>
      </c>
    </row>
    <row r="64" spans="43:43">
      <c r="AQ64" t="s">
        <v>25</v>
      </c>
    </row>
  </sheetData>
  <conditionalFormatting sqref="C23 AH5:AH15 Z2:AH4 AI2:AP17 Z5:AG17 AR2:AY17 BA2:BJ17">
    <cfRule type="cellIs" dxfId="33" priority="9" operator="greater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BJ188"/>
  <sheetViews>
    <sheetView zoomScaleNormal="100" workbookViewId="0">
      <pane ySplit="1" topLeftCell="A47" activePane="bottomLeft" state="frozen"/>
      <selection pane="bottomLeft" activeCell="C53" sqref="C53:J68"/>
    </sheetView>
  </sheetViews>
  <sheetFormatPr defaultRowHeight="15"/>
  <cols>
    <col min="3" max="3" width="9.5703125" customWidth="1"/>
    <col min="4" max="4" width="9.140625" customWidth="1"/>
    <col min="12" max="19" width="9.140625" hidden="1" customWidth="1"/>
    <col min="21" max="22" width="0" hidden="1" customWidth="1"/>
  </cols>
  <sheetData>
    <row r="1" spans="1:62" s="3" customFormat="1" ht="22.5">
      <c r="A1" s="2"/>
      <c r="B1" s="13"/>
      <c r="C1" s="26" t="s">
        <v>7</v>
      </c>
      <c r="D1" s="26" t="s">
        <v>6</v>
      </c>
      <c r="E1" s="19" t="s">
        <v>17</v>
      </c>
      <c r="F1" s="19" t="s">
        <v>18</v>
      </c>
      <c r="G1" s="19" t="s">
        <v>19</v>
      </c>
      <c r="H1" s="19" t="s">
        <v>8</v>
      </c>
      <c r="I1" s="19" t="s">
        <v>9</v>
      </c>
      <c r="J1" s="19" t="s">
        <v>20</v>
      </c>
      <c r="L1" s="26" t="s">
        <v>7</v>
      </c>
      <c r="M1" s="26" t="s">
        <v>6</v>
      </c>
      <c r="N1" s="19" t="s">
        <v>17</v>
      </c>
      <c r="O1" s="19" t="s">
        <v>18</v>
      </c>
      <c r="P1" s="19" t="s">
        <v>19</v>
      </c>
      <c r="Q1" s="19" t="s">
        <v>8</v>
      </c>
      <c r="R1" s="19" t="s">
        <v>9</v>
      </c>
      <c r="S1" s="19" t="s">
        <v>20</v>
      </c>
      <c r="T1" s="3">
        <f>SUM(V2:V17)</f>
        <v>0.51025641025641033</v>
      </c>
      <c r="Z1" s="26" t="s">
        <v>7</v>
      </c>
      <c r="AA1" s="26" t="s">
        <v>6</v>
      </c>
      <c r="AB1" s="19" t="s">
        <v>17</v>
      </c>
      <c r="AC1" s="19" t="s">
        <v>18</v>
      </c>
      <c r="AD1" s="19" t="s">
        <v>19</v>
      </c>
      <c r="AE1" s="19" t="s">
        <v>8</v>
      </c>
      <c r="AF1" s="19" t="s">
        <v>9</v>
      </c>
      <c r="AG1" s="19" t="s">
        <v>20</v>
      </c>
      <c r="AH1" s="16"/>
      <c r="AI1" s="16"/>
      <c r="AJ1" s="16"/>
      <c r="AK1" s="16"/>
      <c r="AL1" s="16"/>
      <c r="AM1" s="16"/>
      <c r="AN1" s="16"/>
      <c r="AO1" s="16"/>
      <c r="AP1" s="16"/>
      <c r="AQ1" s="15"/>
      <c r="AR1" s="15"/>
      <c r="AS1" s="15"/>
      <c r="AT1" s="17"/>
      <c r="AU1" s="15"/>
    </row>
    <row r="2" spans="1:62" ht="22.5">
      <c r="A2" s="6" t="s">
        <v>10</v>
      </c>
      <c r="B2" s="7"/>
      <c r="C2" s="25">
        <v>1</v>
      </c>
      <c r="D2" s="28">
        <v>0</v>
      </c>
      <c r="E2" s="28">
        <v>9</v>
      </c>
      <c r="F2" s="28">
        <v>9</v>
      </c>
      <c r="G2" s="28">
        <v>9</v>
      </c>
      <c r="H2" s="28">
        <v>9</v>
      </c>
      <c r="I2" s="28">
        <v>9</v>
      </c>
      <c r="J2" s="28">
        <v>9</v>
      </c>
      <c r="K2" s="29"/>
      <c r="L2" s="25">
        <v>0</v>
      </c>
      <c r="M2" s="28">
        <v>1</v>
      </c>
      <c r="N2" s="28"/>
      <c r="O2" s="28"/>
      <c r="P2" s="28"/>
      <c r="Q2" s="28"/>
      <c r="R2" s="28"/>
      <c r="S2" s="28"/>
      <c r="U2" s="9">
        <f t="shared" ref="U2:U17" si="0">IF(MATCH(1,C2:J2,0)=MATCH(1,L2:S2,0),1,0)</f>
        <v>0</v>
      </c>
      <c r="V2" s="1">
        <f>(1-W2)*Y2</f>
        <v>0</v>
      </c>
      <c r="W2" s="11">
        <f>BI2</f>
        <v>1</v>
      </c>
      <c r="X2" s="9">
        <v>5</v>
      </c>
      <c r="Y2" s="10">
        <f>X2/SUM($X$2:$X$17)</f>
        <v>0.12820512820512819</v>
      </c>
      <c r="Z2" s="18">
        <v>0</v>
      </c>
      <c r="AA2" s="18">
        <v>1</v>
      </c>
      <c r="AB2" s="18"/>
      <c r="AC2" s="18"/>
      <c r="AD2" s="18"/>
      <c r="AE2" s="18"/>
      <c r="AF2" s="18"/>
      <c r="AG2" s="18"/>
      <c r="AH2" s="12"/>
      <c r="AI2" s="18">
        <f t="shared" ref="AI2:AP18" si="1">C2*Z2</f>
        <v>0</v>
      </c>
      <c r="AJ2" s="18">
        <f t="shared" si="1"/>
        <v>0</v>
      </c>
      <c r="AK2" s="18">
        <f t="shared" si="1"/>
        <v>0</v>
      </c>
      <c r="AL2" s="18">
        <f t="shared" si="1"/>
        <v>0</v>
      </c>
      <c r="AM2" s="18">
        <f t="shared" si="1"/>
        <v>0</v>
      </c>
      <c r="AN2" s="18">
        <f t="shared" si="1"/>
        <v>0</v>
      </c>
      <c r="AO2" s="18">
        <f t="shared" si="1"/>
        <v>0</v>
      </c>
      <c r="AP2" s="18">
        <f t="shared" si="1"/>
        <v>0</v>
      </c>
      <c r="AQ2" s="9"/>
      <c r="AR2" s="18">
        <f t="shared" ref="AR2:AY17" si="2">L2*Z2</f>
        <v>0</v>
      </c>
      <c r="AS2" s="18">
        <f t="shared" si="2"/>
        <v>1</v>
      </c>
      <c r="AT2" s="18">
        <f t="shared" si="2"/>
        <v>0</v>
      </c>
      <c r="AU2" s="18">
        <f t="shared" si="2"/>
        <v>0</v>
      </c>
      <c r="AV2" s="18">
        <f t="shared" si="2"/>
        <v>0</v>
      </c>
      <c r="AW2" s="18">
        <f t="shared" si="2"/>
        <v>0</v>
      </c>
      <c r="AX2" s="18">
        <f t="shared" si="2"/>
        <v>0</v>
      </c>
      <c r="AY2" s="18">
        <f t="shared" si="2"/>
        <v>0</v>
      </c>
      <c r="BA2" s="27">
        <f>(AI2-AR2)</f>
        <v>0</v>
      </c>
      <c r="BB2" s="27">
        <f t="shared" ref="BB2:BH17" si="3">(AJ2-AS2)</f>
        <v>-1</v>
      </c>
      <c r="BC2" s="27">
        <f t="shared" si="3"/>
        <v>0</v>
      </c>
      <c r="BD2" s="27">
        <f t="shared" si="3"/>
        <v>0</v>
      </c>
      <c r="BE2" s="27">
        <f t="shared" si="3"/>
        <v>0</v>
      </c>
      <c r="BF2" s="27">
        <f t="shared" si="3"/>
        <v>0</v>
      </c>
      <c r="BG2" s="27">
        <f t="shared" si="3"/>
        <v>0</v>
      </c>
      <c r="BH2" s="27">
        <f t="shared" si="3"/>
        <v>0</v>
      </c>
      <c r="BI2" s="27">
        <f>ABS(SUM(BA2:BH2))</f>
        <v>1</v>
      </c>
      <c r="BJ2" s="27">
        <f>BI2*Y2</f>
        <v>0.12820512820512819</v>
      </c>
    </row>
    <row r="3" spans="1:62" ht="22.5">
      <c r="A3" s="6" t="s">
        <v>11</v>
      </c>
      <c r="B3" s="7"/>
      <c r="C3" s="25">
        <v>0</v>
      </c>
      <c r="D3" s="28">
        <v>1</v>
      </c>
      <c r="E3" s="28">
        <v>9</v>
      </c>
      <c r="F3" s="28">
        <v>9</v>
      </c>
      <c r="G3" s="28">
        <v>9</v>
      </c>
      <c r="H3" s="28">
        <v>9</v>
      </c>
      <c r="I3" s="28">
        <v>9</v>
      </c>
      <c r="J3" s="28">
        <v>9</v>
      </c>
      <c r="K3" s="29"/>
      <c r="L3" s="25">
        <v>0</v>
      </c>
      <c r="M3" s="28">
        <v>1</v>
      </c>
      <c r="N3" s="28"/>
      <c r="O3" s="28"/>
      <c r="P3" s="28"/>
      <c r="Q3" s="28"/>
      <c r="R3" s="28"/>
      <c r="S3" s="28"/>
      <c r="U3" s="9">
        <f t="shared" si="0"/>
        <v>1</v>
      </c>
      <c r="V3" s="1">
        <f t="shared" ref="V3:V17" si="4">(1-W3)*Y3</f>
        <v>5.128205128205128E-2</v>
      </c>
      <c r="W3" s="11">
        <f t="shared" ref="W3:W17" si="5">BI3</f>
        <v>0</v>
      </c>
      <c r="X3" s="9">
        <v>2</v>
      </c>
      <c r="Y3" s="10">
        <f t="shared" ref="Y3:Y17" si="6">X3/SUM($X$2:$X$17)</f>
        <v>5.128205128205128E-2</v>
      </c>
      <c r="Z3" s="18">
        <v>0</v>
      </c>
      <c r="AA3" s="18">
        <v>1</v>
      </c>
      <c r="AB3" s="18"/>
      <c r="AC3" s="18"/>
      <c r="AD3" s="18"/>
      <c r="AE3" s="18"/>
      <c r="AF3" s="18"/>
      <c r="AG3" s="18"/>
      <c r="AH3" s="12"/>
      <c r="AI3" s="18">
        <f t="shared" si="1"/>
        <v>0</v>
      </c>
      <c r="AJ3" s="18">
        <f t="shared" si="1"/>
        <v>1</v>
      </c>
      <c r="AK3" s="18">
        <f t="shared" si="1"/>
        <v>0</v>
      </c>
      <c r="AL3" s="18">
        <f t="shared" si="1"/>
        <v>0</v>
      </c>
      <c r="AM3" s="18">
        <f t="shared" si="1"/>
        <v>0</v>
      </c>
      <c r="AN3" s="18">
        <f t="shared" si="1"/>
        <v>0</v>
      </c>
      <c r="AO3" s="18">
        <f t="shared" si="1"/>
        <v>0</v>
      </c>
      <c r="AP3" s="18">
        <f t="shared" si="1"/>
        <v>0</v>
      </c>
      <c r="AQ3" s="9"/>
      <c r="AR3" s="18">
        <f t="shared" si="2"/>
        <v>0</v>
      </c>
      <c r="AS3" s="18">
        <f t="shared" si="2"/>
        <v>1</v>
      </c>
      <c r="AT3" s="18">
        <f t="shared" si="2"/>
        <v>0</v>
      </c>
      <c r="AU3" s="18">
        <f t="shared" si="2"/>
        <v>0</v>
      </c>
      <c r="AV3" s="18">
        <f t="shared" si="2"/>
        <v>0</v>
      </c>
      <c r="AW3" s="18">
        <f t="shared" si="2"/>
        <v>0</v>
      </c>
      <c r="AX3" s="18">
        <f t="shared" si="2"/>
        <v>0</v>
      </c>
      <c r="AY3" s="18">
        <f t="shared" si="2"/>
        <v>0</v>
      </c>
      <c r="BA3" s="27">
        <f t="shared" ref="BA3:BA16" si="7">(AI3-AR3)</f>
        <v>0</v>
      </c>
      <c r="BB3" s="27">
        <f t="shared" si="3"/>
        <v>0</v>
      </c>
      <c r="BC3" s="27">
        <f t="shared" si="3"/>
        <v>0</v>
      </c>
      <c r="BD3" s="27">
        <f t="shared" si="3"/>
        <v>0</v>
      </c>
      <c r="BE3" s="27">
        <f t="shared" si="3"/>
        <v>0</v>
      </c>
      <c r="BF3" s="27">
        <f t="shared" si="3"/>
        <v>0</v>
      </c>
      <c r="BG3" s="27">
        <f t="shared" si="3"/>
        <v>0</v>
      </c>
      <c r="BH3" s="27">
        <f t="shared" si="3"/>
        <v>0</v>
      </c>
      <c r="BI3" s="27">
        <f t="shared" ref="BI3:BI17" si="8">ABS(SUM(BA3:BH3))</f>
        <v>0</v>
      </c>
      <c r="BJ3" s="27">
        <f t="shared" ref="BJ3:BJ17" si="9">BI3*Y3</f>
        <v>0</v>
      </c>
    </row>
    <row r="4" spans="1:62" s="22" customFormat="1" ht="22.5">
      <c r="A4" s="8" t="s">
        <v>12</v>
      </c>
      <c r="B4" s="21"/>
      <c r="C4" s="25">
        <v>0</v>
      </c>
      <c r="D4" s="25">
        <v>1</v>
      </c>
      <c r="E4" s="25">
        <v>0</v>
      </c>
      <c r="F4" s="28">
        <v>0</v>
      </c>
      <c r="G4" s="28">
        <v>9</v>
      </c>
      <c r="H4" s="28">
        <v>9</v>
      </c>
      <c r="I4" s="28">
        <v>9</v>
      </c>
      <c r="J4" s="28">
        <v>9</v>
      </c>
      <c r="K4" s="29"/>
      <c r="L4" s="25">
        <v>0</v>
      </c>
      <c r="M4" s="25">
        <v>1</v>
      </c>
      <c r="N4" s="25">
        <v>0</v>
      </c>
      <c r="O4" s="28">
        <v>0</v>
      </c>
      <c r="P4" s="28"/>
      <c r="Q4" s="28"/>
      <c r="R4" s="28"/>
      <c r="S4" s="28"/>
      <c r="T4"/>
      <c r="U4" s="23">
        <f t="shared" si="0"/>
        <v>1</v>
      </c>
      <c r="V4" s="1">
        <f t="shared" si="4"/>
        <v>5.128205128205128E-2</v>
      </c>
      <c r="W4" s="11">
        <f t="shared" si="5"/>
        <v>0</v>
      </c>
      <c r="X4" s="23">
        <v>2</v>
      </c>
      <c r="Y4" s="24">
        <f t="shared" si="6"/>
        <v>5.128205128205128E-2</v>
      </c>
      <c r="Z4" s="18">
        <v>0</v>
      </c>
      <c r="AA4" s="18">
        <v>0.3</v>
      </c>
      <c r="AB4" s="18">
        <v>0.8</v>
      </c>
      <c r="AC4" s="18">
        <v>1</v>
      </c>
      <c r="AD4" s="18"/>
      <c r="AE4" s="18"/>
      <c r="AF4" s="18"/>
      <c r="AG4" s="18"/>
      <c r="AH4" s="12"/>
      <c r="AI4" s="18">
        <f t="shared" si="1"/>
        <v>0</v>
      </c>
      <c r="AJ4" s="18">
        <f t="shared" si="1"/>
        <v>0.3</v>
      </c>
      <c r="AK4" s="18">
        <f t="shared" si="1"/>
        <v>0</v>
      </c>
      <c r="AL4" s="18">
        <f t="shared" si="1"/>
        <v>0</v>
      </c>
      <c r="AM4" s="18">
        <f t="shared" si="1"/>
        <v>0</v>
      </c>
      <c r="AN4" s="18">
        <f t="shared" si="1"/>
        <v>0</v>
      </c>
      <c r="AO4" s="18">
        <f t="shared" si="1"/>
        <v>0</v>
      </c>
      <c r="AP4" s="18">
        <f t="shared" si="1"/>
        <v>0</v>
      </c>
      <c r="AQ4" s="23"/>
      <c r="AR4" s="18">
        <f t="shared" si="2"/>
        <v>0</v>
      </c>
      <c r="AS4" s="18">
        <f t="shared" si="2"/>
        <v>0.3</v>
      </c>
      <c r="AT4" s="18">
        <f t="shared" si="2"/>
        <v>0</v>
      </c>
      <c r="AU4" s="18">
        <f t="shared" si="2"/>
        <v>0</v>
      </c>
      <c r="AV4" s="18">
        <f t="shared" si="2"/>
        <v>0</v>
      </c>
      <c r="AW4" s="18">
        <f t="shared" si="2"/>
        <v>0</v>
      </c>
      <c r="AX4" s="18">
        <f t="shared" si="2"/>
        <v>0</v>
      </c>
      <c r="AY4" s="18">
        <f t="shared" si="2"/>
        <v>0</v>
      </c>
      <c r="BA4" s="27">
        <f t="shared" si="7"/>
        <v>0</v>
      </c>
      <c r="BB4" s="27">
        <f t="shared" si="3"/>
        <v>0</v>
      </c>
      <c r="BC4" s="27">
        <f t="shared" si="3"/>
        <v>0</v>
      </c>
      <c r="BD4" s="27">
        <f t="shared" si="3"/>
        <v>0</v>
      </c>
      <c r="BE4" s="27">
        <f t="shared" si="3"/>
        <v>0</v>
      </c>
      <c r="BF4" s="27">
        <f t="shared" si="3"/>
        <v>0</v>
      </c>
      <c r="BG4" s="27">
        <f t="shared" si="3"/>
        <v>0</v>
      </c>
      <c r="BH4" s="27">
        <f t="shared" si="3"/>
        <v>0</v>
      </c>
      <c r="BI4" s="27">
        <f t="shared" si="8"/>
        <v>0</v>
      </c>
      <c r="BJ4" s="27">
        <f t="shared" si="9"/>
        <v>0</v>
      </c>
    </row>
    <row r="5" spans="1:62" s="22" customFormat="1" ht="22.5">
      <c r="A5" s="8" t="s">
        <v>13</v>
      </c>
      <c r="B5" s="21"/>
      <c r="C5" s="25">
        <v>0</v>
      </c>
      <c r="D5" s="25">
        <v>1</v>
      </c>
      <c r="E5" s="25">
        <v>0</v>
      </c>
      <c r="F5" s="28">
        <v>0</v>
      </c>
      <c r="G5" s="28">
        <v>9</v>
      </c>
      <c r="H5" s="28">
        <v>9</v>
      </c>
      <c r="I5" s="28">
        <v>9</v>
      </c>
      <c r="J5" s="28">
        <v>9</v>
      </c>
      <c r="K5" s="29"/>
      <c r="L5" s="25">
        <v>0</v>
      </c>
      <c r="M5" s="25">
        <v>0</v>
      </c>
      <c r="N5" s="25">
        <v>0</v>
      </c>
      <c r="O5" s="28">
        <v>1</v>
      </c>
      <c r="P5" s="28"/>
      <c r="Q5" s="28"/>
      <c r="R5" s="28"/>
      <c r="S5" s="28"/>
      <c r="T5"/>
      <c r="U5" s="23">
        <f t="shared" si="0"/>
        <v>0</v>
      </c>
      <c r="V5" s="1">
        <f t="shared" si="4"/>
        <v>2.3076923076923082E-2</v>
      </c>
      <c r="W5" s="11">
        <f t="shared" si="5"/>
        <v>0.7</v>
      </c>
      <c r="X5" s="23">
        <v>3</v>
      </c>
      <c r="Y5" s="24">
        <f t="shared" si="6"/>
        <v>7.6923076923076927E-2</v>
      </c>
      <c r="Z5" s="18">
        <v>0</v>
      </c>
      <c r="AA5" s="18">
        <v>0.3</v>
      </c>
      <c r="AB5" s="18">
        <v>0.8</v>
      </c>
      <c r="AC5" s="18">
        <v>1</v>
      </c>
      <c r="AD5" s="18"/>
      <c r="AE5" s="18"/>
      <c r="AF5" s="18"/>
      <c r="AG5" s="18"/>
      <c r="AH5" s="12"/>
      <c r="AI5" s="18">
        <f t="shared" si="1"/>
        <v>0</v>
      </c>
      <c r="AJ5" s="18">
        <f t="shared" si="1"/>
        <v>0.3</v>
      </c>
      <c r="AK5" s="18">
        <f t="shared" si="1"/>
        <v>0</v>
      </c>
      <c r="AL5" s="18">
        <f t="shared" si="1"/>
        <v>0</v>
      </c>
      <c r="AM5" s="18">
        <f t="shared" si="1"/>
        <v>0</v>
      </c>
      <c r="AN5" s="18">
        <f t="shared" si="1"/>
        <v>0</v>
      </c>
      <c r="AO5" s="18">
        <f t="shared" si="1"/>
        <v>0</v>
      </c>
      <c r="AP5" s="18">
        <f t="shared" si="1"/>
        <v>0</v>
      </c>
      <c r="AQ5" s="23"/>
      <c r="AR5" s="18">
        <f t="shared" si="2"/>
        <v>0</v>
      </c>
      <c r="AS5" s="18">
        <f t="shared" si="2"/>
        <v>0</v>
      </c>
      <c r="AT5" s="18">
        <f t="shared" si="2"/>
        <v>0</v>
      </c>
      <c r="AU5" s="18">
        <f t="shared" si="2"/>
        <v>1</v>
      </c>
      <c r="AV5" s="18">
        <f t="shared" si="2"/>
        <v>0</v>
      </c>
      <c r="AW5" s="18">
        <f t="shared" si="2"/>
        <v>0</v>
      </c>
      <c r="AX5" s="18">
        <f t="shared" si="2"/>
        <v>0</v>
      </c>
      <c r="AY5" s="18">
        <f t="shared" si="2"/>
        <v>0</v>
      </c>
      <c r="BA5" s="27">
        <f t="shared" si="7"/>
        <v>0</v>
      </c>
      <c r="BB5" s="27">
        <f t="shared" si="3"/>
        <v>0.3</v>
      </c>
      <c r="BC5" s="27">
        <f t="shared" si="3"/>
        <v>0</v>
      </c>
      <c r="BD5" s="27">
        <f t="shared" si="3"/>
        <v>-1</v>
      </c>
      <c r="BE5" s="27">
        <f t="shared" si="3"/>
        <v>0</v>
      </c>
      <c r="BF5" s="27">
        <f t="shared" si="3"/>
        <v>0</v>
      </c>
      <c r="BG5" s="27">
        <f t="shared" si="3"/>
        <v>0</v>
      </c>
      <c r="BH5" s="27">
        <f t="shared" si="3"/>
        <v>0</v>
      </c>
      <c r="BI5" s="27">
        <f t="shared" si="8"/>
        <v>0.7</v>
      </c>
      <c r="BJ5" s="27">
        <f t="shared" si="9"/>
        <v>5.3846153846153849E-2</v>
      </c>
    </row>
    <row r="6" spans="1:62" s="22" customFormat="1" ht="22.5">
      <c r="A6" s="8" t="s">
        <v>14</v>
      </c>
      <c r="B6" s="21"/>
      <c r="C6" s="25">
        <v>0</v>
      </c>
      <c r="D6" s="25">
        <v>1</v>
      </c>
      <c r="E6" s="25">
        <v>0</v>
      </c>
      <c r="F6" s="28">
        <v>0</v>
      </c>
      <c r="G6" s="28">
        <v>9</v>
      </c>
      <c r="H6" s="28">
        <v>9</v>
      </c>
      <c r="I6" s="28">
        <v>9</v>
      </c>
      <c r="J6" s="28">
        <v>9</v>
      </c>
      <c r="K6" s="29"/>
      <c r="L6" s="25">
        <v>0</v>
      </c>
      <c r="M6" s="25">
        <v>0</v>
      </c>
      <c r="N6" s="25">
        <v>1</v>
      </c>
      <c r="O6" s="28">
        <v>0</v>
      </c>
      <c r="P6" s="28"/>
      <c r="Q6" s="28"/>
      <c r="R6" s="28"/>
      <c r="S6" s="28"/>
      <c r="T6"/>
      <c r="U6" s="23">
        <f t="shared" si="0"/>
        <v>0</v>
      </c>
      <c r="V6" s="1">
        <f t="shared" si="4"/>
        <v>2.564102564102564E-2</v>
      </c>
      <c r="W6" s="11">
        <f t="shared" si="5"/>
        <v>0.5</v>
      </c>
      <c r="X6" s="23">
        <v>2</v>
      </c>
      <c r="Y6" s="24">
        <f t="shared" si="6"/>
        <v>5.128205128205128E-2</v>
      </c>
      <c r="Z6" s="18">
        <v>0</v>
      </c>
      <c r="AA6" s="18">
        <v>0.3</v>
      </c>
      <c r="AB6" s="18">
        <v>0.8</v>
      </c>
      <c r="AC6" s="18">
        <v>1</v>
      </c>
      <c r="AD6" s="18"/>
      <c r="AE6" s="18"/>
      <c r="AF6" s="18"/>
      <c r="AG6" s="18"/>
      <c r="AH6" s="12"/>
      <c r="AI6" s="18">
        <f t="shared" si="1"/>
        <v>0</v>
      </c>
      <c r="AJ6" s="18">
        <f t="shared" si="1"/>
        <v>0.3</v>
      </c>
      <c r="AK6" s="18">
        <f t="shared" si="1"/>
        <v>0</v>
      </c>
      <c r="AL6" s="18">
        <f t="shared" si="1"/>
        <v>0</v>
      </c>
      <c r="AM6" s="18">
        <f t="shared" si="1"/>
        <v>0</v>
      </c>
      <c r="AN6" s="18">
        <f t="shared" si="1"/>
        <v>0</v>
      </c>
      <c r="AO6" s="18">
        <f t="shared" si="1"/>
        <v>0</v>
      </c>
      <c r="AP6" s="18">
        <f t="shared" si="1"/>
        <v>0</v>
      </c>
      <c r="AQ6" s="23"/>
      <c r="AR6" s="18">
        <f t="shared" si="2"/>
        <v>0</v>
      </c>
      <c r="AS6" s="18">
        <f t="shared" si="2"/>
        <v>0</v>
      </c>
      <c r="AT6" s="18">
        <f t="shared" si="2"/>
        <v>0.8</v>
      </c>
      <c r="AU6" s="18">
        <f t="shared" si="2"/>
        <v>0</v>
      </c>
      <c r="AV6" s="18">
        <f t="shared" si="2"/>
        <v>0</v>
      </c>
      <c r="AW6" s="18">
        <f t="shared" si="2"/>
        <v>0</v>
      </c>
      <c r="AX6" s="18">
        <f t="shared" si="2"/>
        <v>0</v>
      </c>
      <c r="AY6" s="18">
        <f t="shared" si="2"/>
        <v>0</v>
      </c>
      <c r="BA6" s="27">
        <f t="shared" si="7"/>
        <v>0</v>
      </c>
      <c r="BB6" s="27">
        <f t="shared" si="3"/>
        <v>0.3</v>
      </c>
      <c r="BC6" s="27">
        <f t="shared" si="3"/>
        <v>-0.8</v>
      </c>
      <c r="BD6" s="27">
        <f t="shared" si="3"/>
        <v>0</v>
      </c>
      <c r="BE6" s="27">
        <f t="shared" si="3"/>
        <v>0</v>
      </c>
      <c r="BF6" s="27">
        <f t="shared" si="3"/>
        <v>0</v>
      </c>
      <c r="BG6" s="27">
        <f t="shared" si="3"/>
        <v>0</v>
      </c>
      <c r="BH6" s="27">
        <f t="shared" si="3"/>
        <v>0</v>
      </c>
      <c r="BI6" s="27">
        <f t="shared" si="8"/>
        <v>0.5</v>
      </c>
      <c r="BJ6" s="27">
        <f t="shared" si="9"/>
        <v>2.564102564102564E-2</v>
      </c>
    </row>
    <row r="7" spans="1:62" s="22" customFormat="1" ht="22.5">
      <c r="A7" s="8" t="s">
        <v>15</v>
      </c>
      <c r="B7" s="21"/>
      <c r="C7" s="25">
        <v>0</v>
      </c>
      <c r="D7" s="25">
        <v>1</v>
      </c>
      <c r="E7" s="25">
        <v>0</v>
      </c>
      <c r="F7" s="28">
        <v>0</v>
      </c>
      <c r="G7" s="28">
        <v>9</v>
      </c>
      <c r="H7" s="28">
        <v>9</v>
      </c>
      <c r="I7" s="28">
        <v>9</v>
      </c>
      <c r="J7" s="28">
        <v>9</v>
      </c>
      <c r="K7" s="29"/>
      <c r="L7" s="25">
        <v>0</v>
      </c>
      <c r="M7" s="25">
        <v>1</v>
      </c>
      <c r="N7" s="25">
        <v>0</v>
      </c>
      <c r="O7" s="28">
        <v>0</v>
      </c>
      <c r="P7" s="28"/>
      <c r="Q7" s="28"/>
      <c r="R7" s="28"/>
      <c r="S7" s="28"/>
      <c r="T7"/>
      <c r="U7" s="23">
        <f t="shared" si="0"/>
        <v>1</v>
      </c>
      <c r="V7" s="1">
        <f t="shared" si="4"/>
        <v>5.128205128205128E-2</v>
      </c>
      <c r="W7" s="11">
        <f t="shared" si="5"/>
        <v>0</v>
      </c>
      <c r="X7" s="23">
        <v>2</v>
      </c>
      <c r="Y7" s="24">
        <f t="shared" si="6"/>
        <v>5.128205128205128E-2</v>
      </c>
      <c r="Z7" s="18">
        <v>0</v>
      </c>
      <c r="AA7" s="18">
        <v>0.3</v>
      </c>
      <c r="AB7" s="18">
        <v>0.8</v>
      </c>
      <c r="AC7" s="18">
        <v>1</v>
      </c>
      <c r="AD7" s="18"/>
      <c r="AE7" s="18"/>
      <c r="AF7" s="18"/>
      <c r="AG7" s="18"/>
      <c r="AH7" s="12"/>
      <c r="AI7" s="18">
        <f t="shared" si="1"/>
        <v>0</v>
      </c>
      <c r="AJ7" s="18">
        <f t="shared" si="1"/>
        <v>0.3</v>
      </c>
      <c r="AK7" s="18">
        <f t="shared" si="1"/>
        <v>0</v>
      </c>
      <c r="AL7" s="18">
        <f t="shared" si="1"/>
        <v>0</v>
      </c>
      <c r="AM7" s="18">
        <f t="shared" si="1"/>
        <v>0</v>
      </c>
      <c r="AN7" s="18">
        <f t="shared" si="1"/>
        <v>0</v>
      </c>
      <c r="AO7" s="18">
        <f t="shared" si="1"/>
        <v>0</v>
      </c>
      <c r="AP7" s="18">
        <f t="shared" si="1"/>
        <v>0</v>
      </c>
      <c r="AQ7" s="23"/>
      <c r="AR7" s="18">
        <f t="shared" si="2"/>
        <v>0</v>
      </c>
      <c r="AS7" s="18">
        <f t="shared" si="2"/>
        <v>0.3</v>
      </c>
      <c r="AT7" s="18">
        <f t="shared" si="2"/>
        <v>0</v>
      </c>
      <c r="AU7" s="18">
        <f t="shared" si="2"/>
        <v>0</v>
      </c>
      <c r="AV7" s="18">
        <f t="shared" si="2"/>
        <v>0</v>
      </c>
      <c r="AW7" s="18">
        <f t="shared" si="2"/>
        <v>0</v>
      </c>
      <c r="AX7" s="18">
        <f t="shared" si="2"/>
        <v>0</v>
      </c>
      <c r="AY7" s="18">
        <f t="shared" si="2"/>
        <v>0</v>
      </c>
      <c r="BA7" s="27">
        <f t="shared" si="7"/>
        <v>0</v>
      </c>
      <c r="BB7" s="27">
        <f t="shared" si="3"/>
        <v>0</v>
      </c>
      <c r="BC7" s="27">
        <f t="shared" si="3"/>
        <v>0</v>
      </c>
      <c r="BD7" s="27">
        <f t="shared" si="3"/>
        <v>0</v>
      </c>
      <c r="BE7" s="27">
        <f t="shared" si="3"/>
        <v>0</v>
      </c>
      <c r="BF7" s="27">
        <f t="shared" si="3"/>
        <v>0</v>
      </c>
      <c r="BG7" s="27">
        <f t="shared" si="3"/>
        <v>0</v>
      </c>
      <c r="BH7" s="27">
        <f t="shared" si="3"/>
        <v>0</v>
      </c>
      <c r="BI7" s="27">
        <f t="shared" si="8"/>
        <v>0</v>
      </c>
      <c r="BJ7" s="27">
        <f t="shared" si="9"/>
        <v>0</v>
      </c>
    </row>
    <row r="8" spans="1:62" s="22" customFormat="1" ht="22.5">
      <c r="A8" s="8" t="s">
        <v>16</v>
      </c>
      <c r="B8" s="21"/>
      <c r="C8" s="25">
        <v>0</v>
      </c>
      <c r="D8" s="25">
        <v>0</v>
      </c>
      <c r="E8" s="25">
        <v>0</v>
      </c>
      <c r="F8" s="28">
        <v>1</v>
      </c>
      <c r="G8" s="28">
        <v>9</v>
      </c>
      <c r="H8" s="28">
        <v>9</v>
      </c>
      <c r="I8" s="28">
        <v>9</v>
      </c>
      <c r="J8" s="28">
        <v>9</v>
      </c>
      <c r="K8" s="29"/>
      <c r="L8" s="25">
        <v>1</v>
      </c>
      <c r="M8" s="25">
        <v>0</v>
      </c>
      <c r="N8" s="25">
        <v>0</v>
      </c>
      <c r="O8" s="28">
        <v>0</v>
      </c>
      <c r="P8" s="28"/>
      <c r="Q8" s="28"/>
      <c r="R8" s="28"/>
      <c r="S8" s="28"/>
      <c r="T8"/>
      <c r="U8" s="23">
        <f t="shared" si="0"/>
        <v>0</v>
      </c>
      <c r="V8" s="1">
        <f t="shared" si="4"/>
        <v>0</v>
      </c>
      <c r="W8" s="11">
        <f t="shared" si="5"/>
        <v>1</v>
      </c>
      <c r="X8" s="23">
        <v>2</v>
      </c>
      <c r="Y8" s="24">
        <f t="shared" si="6"/>
        <v>5.128205128205128E-2</v>
      </c>
      <c r="Z8" s="18">
        <v>0</v>
      </c>
      <c r="AA8" s="18">
        <v>0.3</v>
      </c>
      <c r="AB8" s="18">
        <v>0.8</v>
      </c>
      <c r="AC8" s="18">
        <v>1</v>
      </c>
      <c r="AD8" s="18"/>
      <c r="AE8" s="18"/>
      <c r="AF8" s="18"/>
      <c r="AG8" s="18"/>
      <c r="AH8" s="12"/>
      <c r="AI8" s="18">
        <f t="shared" si="1"/>
        <v>0</v>
      </c>
      <c r="AJ8" s="18">
        <f t="shared" si="1"/>
        <v>0</v>
      </c>
      <c r="AK8" s="18">
        <f t="shared" si="1"/>
        <v>0</v>
      </c>
      <c r="AL8" s="18">
        <f t="shared" si="1"/>
        <v>1</v>
      </c>
      <c r="AM8" s="18">
        <f t="shared" si="1"/>
        <v>0</v>
      </c>
      <c r="AN8" s="18">
        <f t="shared" si="1"/>
        <v>0</v>
      </c>
      <c r="AO8" s="18">
        <f t="shared" si="1"/>
        <v>0</v>
      </c>
      <c r="AP8" s="18">
        <f t="shared" si="1"/>
        <v>0</v>
      </c>
      <c r="AQ8" s="23"/>
      <c r="AR8" s="18">
        <f t="shared" si="2"/>
        <v>0</v>
      </c>
      <c r="AS8" s="18">
        <f t="shared" si="2"/>
        <v>0</v>
      </c>
      <c r="AT8" s="18">
        <f t="shared" si="2"/>
        <v>0</v>
      </c>
      <c r="AU8" s="18">
        <f t="shared" si="2"/>
        <v>0</v>
      </c>
      <c r="AV8" s="18">
        <f t="shared" si="2"/>
        <v>0</v>
      </c>
      <c r="AW8" s="18">
        <f t="shared" si="2"/>
        <v>0</v>
      </c>
      <c r="AX8" s="18">
        <f t="shared" si="2"/>
        <v>0</v>
      </c>
      <c r="AY8" s="18">
        <f t="shared" si="2"/>
        <v>0</v>
      </c>
      <c r="BA8" s="27">
        <f t="shared" si="7"/>
        <v>0</v>
      </c>
      <c r="BB8" s="27">
        <f t="shared" si="3"/>
        <v>0</v>
      </c>
      <c r="BC8" s="27">
        <f t="shared" si="3"/>
        <v>0</v>
      </c>
      <c r="BD8" s="27">
        <f t="shared" si="3"/>
        <v>1</v>
      </c>
      <c r="BE8" s="27">
        <f t="shared" si="3"/>
        <v>0</v>
      </c>
      <c r="BF8" s="27">
        <f t="shared" si="3"/>
        <v>0</v>
      </c>
      <c r="BG8" s="27">
        <f t="shared" si="3"/>
        <v>0</v>
      </c>
      <c r="BH8" s="27">
        <f t="shared" si="3"/>
        <v>0</v>
      </c>
      <c r="BI8" s="27">
        <f t="shared" si="8"/>
        <v>1</v>
      </c>
      <c r="BJ8" s="27">
        <f t="shared" si="9"/>
        <v>5.128205128205128E-2</v>
      </c>
    </row>
    <row r="9" spans="1:62" ht="22.5">
      <c r="A9" s="4" t="s">
        <v>0</v>
      </c>
      <c r="B9" s="7"/>
      <c r="C9" s="25">
        <v>0</v>
      </c>
      <c r="D9" s="25">
        <v>1</v>
      </c>
      <c r="E9" s="25">
        <v>9</v>
      </c>
      <c r="F9" s="28">
        <v>9</v>
      </c>
      <c r="G9" s="28">
        <v>9</v>
      </c>
      <c r="H9" s="28">
        <v>9</v>
      </c>
      <c r="I9" s="28">
        <v>9</v>
      </c>
      <c r="J9" s="28">
        <v>9</v>
      </c>
      <c r="K9" s="29"/>
      <c r="L9" s="25">
        <v>0</v>
      </c>
      <c r="M9" s="25">
        <v>1</v>
      </c>
      <c r="N9" s="25"/>
      <c r="O9" s="28"/>
      <c r="P9" s="28"/>
      <c r="Q9" s="28"/>
      <c r="R9" s="28"/>
      <c r="S9" s="28"/>
      <c r="U9" s="9">
        <f t="shared" si="0"/>
        <v>1</v>
      </c>
      <c r="V9" s="1">
        <f t="shared" si="4"/>
        <v>5.128205128205128E-2</v>
      </c>
      <c r="W9" s="11">
        <f t="shared" si="5"/>
        <v>0</v>
      </c>
      <c r="X9" s="12">
        <v>2</v>
      </c>
      <c r="Y9" s="10">
        <f t="shared" si="6"/>
        <v>5.128205128205128E-2</v>
      </c>
      <c r="Z9" s="18">
        <v>0</v>
      </c>
      <c r="AA9" s="18">
        <f>IF(M9=1,1,0)</f>
        <v>1</v>
      </c>
      <c r="AB9" s="18">
        <v>0</v>
      </c>
      <c r="AC9" s="18">
        <v>0</v>
      </c>
      <c r="AD9" s="18"/>
      <c r="AE9" s="18"/>
      <c r="AF9" s="18"/>
      <c r="AG9" s="18"/>
      <c r="AH9" s="12"/>
      <c r="AI9" s="18">
        <f t="shared" si="1"/>
        <v>0</v>
      </c>
      <c r="AJ9" s="18">
        <f t="shared" si="1"/>
        <v>1</v>
      </c>
      <c r="AK9" s="18">
        <f t="shared" si="1"/>
        <v>0</v>
      </c>
      <c r="AL9" s="18">
        <f t="shared" si="1"/>
        <v>0</v>
      </c>
      <c r="AM9" s="18">
        <f t="shared" si="1"/>
        <v>0</v>
      </c>
      <c r="AN9" s="18">
        <f t="shared" si="1"/>
        <v>0</v>
      </c>
      <c r="AO9" s="18">
        <f t="shared" si="1"/>
        <v>0</v>
      </c>
      <c r="AP9" s="18">
        <f t="shared" si="1"/>
        <v>0</v>
      </c>
      <c r="AQ9" s="9"/>
      <c r="AR9" s="18">
        <f t="shared" si="2"/>
        <v>0</v>
      </c>
      <c r="AS9" s="18">
        <f t="shared" si="2"/>
        <v>1</v>
      </c>
      <c r="AT9" s="18">
        <f t="shared" si="2"/>
        <v>0</v>
      </c>
      <c r="AU9" s="18">
        <f t="shared" si="2"/>
        <v>0</v>
      </c>
      <c r="AV9" s="18">
        <f t="shared" si="2"/>
        <v>0</v>
      </c>
      <c r="AW9" s="18">
        <f t="shared" si="2"/>
        <v>0</v>
      </c>
      <c r="AX9" s="18">
        <f t="shared" si="2"/>
        <v>0</v>
      </c>
      <c r="AY9" s="18">
        <f t="shared" si="2"/>
        <v>0</v>
      </c>
      <c r="BA9" s="27">
        <f t="shared" si="7"/>
        <v>0</v>
      </c>
      <c r="BB9" s="27">
        <f t="shared" si="3"/>
        <v>0</v>
      </c>
      <c r="BC9" s="27">
        <f t="shared" si="3"/>
        <v>0</v>
      </c>
      <c r="BD9" s="27">
        <f t="shared" si="3"/>
        <v>0</v>
      </c>
      <c r="BE9" s="27">
        <f t="shared" si="3"/>
        <v>0</v>
      </c>
      <c r="BF9" s="27">
        <f t="shared" si="3"/>
        <v>0</v>
      </c>
      <c r="BG9" s="27">
        <f t="shared" si="3"/>
        <v>0</v>
      </c>
      <c r="BH9" s="27">
        <f t="shared" si="3"/>
        <v>0</v>
      </c>
      <c r="BI9" s="27">
        <f t="shared" si="8"/>
        <v>0</v>
      </c>
      <c r="BJ9" s="27">
        <f t="shared" si="9"/>
        <v>0</v>
      </c>
    </row>
    <row r="10" spans="1:62" ht="22.5">
      <c r="A10" s="5" t="s">
        <v>1</v>
      </c>
      <c r="B10" s="7"/>
      <c r="C10" s="25">
        <v>9</v>
      </c>
      <c r="D10" s="25">
        <v>9</v>
      </c>
      <c r="E10" s="25">
        <v>9</v>
      </c>
      <c r="F10" s="25">
        <v>9</v>
      </c>
      <c r="G10" s="25">
        <v>0</v>
      </c>
      <c r="H10" s="25">
        <v>1</v>
      </c>
      <c r="I10" s="28">
        <v>9</v>
      </c>
      <c r="J10" s="28">
        <v>9</v>
      </c>
      <c r="K10" s="29"/>
      <c r="L10" s="25"/>
      <c r="M10" s="25"/>
      <c r="N10" s="25"/>
      <c r="O10" s="25"/>
      <c r="P10" s="25">
        <v>0</v>
      </c>
      <c r="Q10" s="25">
        <v>1</v>
      </c>
      <c r="R10" s="28"/>
      <c r="S10" s="28"/>
      <c r="U10" s="9">
        <f t="shared" si="0"/>
        <v>1</v>
      </c>
      <c r="V10" s="1">
        <f t="shared" si="4"/>
        <v>2.564102564102564E-2</v>
      </c>
      <c r="W10" s="11">
        <f t="shared" si="5"/>
        <v>0</v>
      </c>
      <c r="X10" s="12">
        <v>1</v>
      </c>
      <c r="Y10" s="10">
        <f t="shared" si="6"/>
        <v>2.564102564102564E-2</v>
      </c>
      <c r="Z10" s="18"/>
      <c r="AA10" s="18"/>
      <c r="AB10" s="18"/>
      <c r="AC10" s="18"/>
      <c r="AD10" s="18">
        <v>0</v>
      </c>
      <c r="AE10" s="18">
        <v>1</v>
      </c>
      <c r="AF10" s="18"/>
      <c r="AG10" s="18"/>
      <c r="AH10" s="12"/>
      <c r="AI10" s="18">
        <f t="shared" si="1"/>
        <v>0</v>
      </c>
      <c r="AJ10" s="18">
        <f t="shared" si="1"/>
        <v>0</v>
      </c>
      <c r="AK10" s="18">
        <f t="shared" si="1"/>
        <v>0</v>
      </c>
      <c r="AL10" s="18">
        <f t="shared" si="1"/>
        <v>0</v>
      </c>
      <c r="AM10" s="18">
        <f t="shared" si="1"/>
        <v>0</v>
      </c>
      <c r="AN10" s="18">
        <f t="shared" si="1"/>
        <v>1</v>
      </c>
      <c r="AO10" s="18">
        <f t="shared" si="1"/>
        <v>0</v>
      </c>
      <c r="AP10" s="18">
        <f t="shared" si="1"/>
        <v>0</v>
      </c>
      <c r="AQ10" s="9"/>
      <c r="AR10" s="18">
        <f t="shared" si="2"/>
        <v>0</v>
      </c>
      <c r="AS10" s="18">
        <f t="shared" si="2"/>
        <v>0</v>
      </c>
      <c r="AT10" s="18">
        <f t="shared" si="2"/>
        <v>0</v>
      </c>
      <c r="AU10" s="18">
        <f t="shared" si="2"/>
        <v>0</v>
      </c>
      <c r="AV10" s="18">
        <f t="shared" si="2"/>
        <v>0</v>
      </c>
      <c r="AW10" s="18">
        <f t="shared" si="2"/>
        <v>1</v>
      </c>
      <c r="AX10" s="18">
        <f t="shared" si="2"/>
        <v>0</v>
      </c>
      <c r="AY10" s="18">
        <f t="shared" si="2"/>
        <v>0</v>
      </c>
      <c r="BA10" s="27">
        <f t="shared" si="7"/>
        <v>0</v>
      </c>
      <c r="BB10" s="27">
        <f t="shared" si="3"/>
        <v>0</v>
      </c>
      <c r="BC10" s="27">
        <f t="shared" si="3"/>
        <v>0</v>
      </c>
      <c r="BD10" s="27">
        <f t="shared" si="3"/>
        <v>0</v>
      </c>
      <c r="BE10" s="27">
        <f t="shared" si="3"/>
        <v>0</v>
      </c>
      <c r="BF10" s="27">
        <f t="shared" si="3"/>
        <v>0</v>
      </c>
      <c r="BG10" s="27">
        <f t="shared" si="3"/>
        <v>0</v>
      </c>
      <c r="BH10" s="27">
        <f t="shared" si="3"/>
        <v>0</v>
      </c>
      <c r="BI10" s="27">
        <f t="shared" si="8"/>
        <v>0</v>
      </c>
      <c r="BJ10" s="27">
        <f t="shared" si="9"/>
        <v>0</v>
      </c>
    </row>
    <row r="11" spans="1:62" ht="22.5">
      <c r="A11" s="5" t="s">
        <v>21</v>
      </c>
      <c r="B11" s="7"/>
      <c r="C11" s="25">
        <v>9</v>
      </c>
      <c r="D11" s="25">
        <v>9</v>
      </c>
      <c r="E11" s="25">
        <v>9</v>
      </c>
      <c r="F11" s="25">
        <v>9</v>
      </c>
      <c r="G11" s="25">
        <v>1</v>
      </c>
      <c r="H11" s="25">
        <v>0</v>
      </c>
      <c r="I11" s="28">
        <v>9</v>
      </c>
      <c r="J11" s="28">
        <v>9</v>
      </c>
      <c r="K11" s="29"/>
      <c r="L11" s="25"/>
      <c r="M11" s="25"/>
      <c r="N11" s="25"/>
      <c r="O11" s="25"/>
      <c r="P11" s="25">
        <v>0</v>
      </c>
      <c r="Q11" s="25">
        <v>1</v>
      </c>
      <c r="R11" s="28"/>
      <c r="S11" s="28"/>
      <c r="U11" s="9">
        <f t="shared" si="0"/>
        <v>0</v>
      </c>
      <c r="V11" s="1">
        <f t="shared" si="4"/>
        <v>0</v>
      </c>
      <c r="W11" s="11">
        <f t="shared" si="5"/>
        <v>1</v>
      </c>
      <c r="X11" s="12">
        <v>3</v>
      </c>
      <c r="Y11" s="10">
        <f t="shared" si="6"/>
        <v>7.6923076923076927E-2</v>
      </c>
      <c r="Z11" s="18"/>
      <c r="AA11" s="18"/>
      <c r="AB11" s="18"/>
      <c r="AC11" s="18"/>
      <c r="AD11" s="18">
        <v>0</v>
      </c>
      <c r="AE11" s="18">
        <v>1</v>
      </c>
      <c r="AF11" s="18"/>
      <c r="AG11" s="18"/>
      <c r="AH11" s="12"/>
      <c r="AI11" s="18">
        <f t="shared" si="1"/>
        <v>0</v>
      </c>
      <c r="AJ11" s="18">
        <f t="shared" si="1"/>
        <v>0</v>
      </c>
      <c r="AK11" s="18">
        <f t="shared" si="1"/>
        <v>0</v>
      </c>
      <c r="AL11" s="18">
        <f t="shared" si="1"/>
        <v>0</v>
      </c>
      <c r="AM11" s="18">
        <f t="shared" si="1"/>
        <v>0</v>
      </c>
      <c r="AN11" s="18">
        <f t="shared" si="1"/>
        <v>0</v>
      </c>
      <c r="AO11" s="18">
        <f t="shared" si="1"/>
        <v>0</v>
      </c>
      <c r="AP11" s="18">
        <f t="shared" si="1"/>
        <v>0</v>
      </c>
      <c r="AQ11" s="9"/>
      <c r="AR11" s="18">
        <f t="shared" si="2"/>
        <v>0</v>
      </c>
      <c r="AS11" s="18">
        <f t="shared" si="2"/>
        <v>0</v>
      </c>
      <c r="AT11" s="18">
        <f t="shared" si="2"/>
        <v>0</v>
      </c>
      <c r="AU11" s="18">
        <f t="shared" si="2"/>
        <v>0</v>
      </c>
      <c r="AV11" s="18">
        <f t="shared" si="2"/>
        <v>0</v>
      </c>
      <c r="AW11" s="18">
        <f t="shared" si="2"/>
        <v>1</v>
      </c>
      <c r="AX11" s="18">
        <f t="shared" si="2"/>
        <v>0</v>
      </c>
      <c r="AY11" s="18">
        <f t="shared" si="2"/>
        <v>0</v>
      </c>
      <c r="BA11" s="27">
        <f t="shared" si="7"/>
        <v>0</v>
      </c>
      <c r="BB11" s="27">
        <f t="shared" si="3"/>
        <v>0</v>
      </c>
      <c r="BC11" s="27">
        <f t="shared" si="3"/>
        <v>0</v>
      </c>
      <c r="BD11" s="27">
        <f t="shared" si="3"/>
        <v>0</v>
      </c>
      <c r="BE11" s="27">
        <f t="shared" si="3"/>
        <v>0</v>
      </c>
      <c r="BF11" s="27">
        <f t="shared" si="3"/>
        <v>-1</v>
      </c>
      <c r="BG11" s="27">
        <f t="shared" si="3"/>
        <v>0</v>
      </c>
      <c r="BH11" s="27">
        <f t="shared" si="3"/>
        <v>0</v>
      </c>
      <c r="BI11" s="27">
        <f t="shared" si="8"/>
        <v>1</v>
      </c>
      <c r="BJ11" s="27">
        <f t="shared" si="9"/>
        <v>7.6923076923076927E-2</v>
      </c>
    </row>
    <row r="12" spans="1:62" ht="22.5">
      <c r="A12" s="5" t="s">
        <v>2</v>
      </c>
      <c r="B12" s="7"/>
      <c r="C12" s="25">
        <v>9</v>
      </c>
      <c r="D12" s="25">
        <v>9</v>
      </c>
      <c r="E12" s="25">
        <v>9</v>
      </c>
      <c r="F12" s="25">
        <v>9</v>
      </c>
      <c r="G12" s="25">
        <v>0</v>
      </c>
      <c r="H12" s="25">
        <v>1</v>
      </c>
      <c r="I12" s="28">
        <v>9</v>
      </c>
      <c r="J12" s="28">
        <v>9</v>
      </c>
      <c r="K12" s="29"/>
      <c r="L12" s="25"/>
      <c r="M12" s="25"/>
      <c r="N12" s="25"/>
      <c r="O12" s="25"/>
      <c r="P12" s="25">
        <v>0</v>
      </c>
      <c r="Q12" s="25">
        <v>1</v>
      </c>
      <c r="R12" s="28"/>
      <c r="S12" s="28"/>
      <c r="U12" s="9">
        <f t="shared" si="0"/>
        <v>1</v>
      </c>
      <c r="V12" s="1">
        <f t="shared" si="4"/>
        <v>7.6923076923076927E-2</v>
      </c>
      <c r="W12" s="11">
        <f t="shared" si="5"/>
        <v>0</v>
      </c>
      <c r="X12" s="12">
        <v>3</v>
      </c>
      <c r="Y12" s="10">
        <f t="shared" si="6"/>
        <v>7.6923076923076927E-2</v>
      </c>
      <c r="Z12" s="18"/>
      <c r="AA12" s="18"/>
      <c r="AB12" s="18"/>
      <c r="AC12" s="18"/>
      <c r="AD12" s="18">
        <v>0</v>
      </c>
      <c r="AE12" s="18">
        <v>1</v>
      </c>
      <c r="AF12" s="18"/>
      <c r="AG12" s="18"/>
      <c r="AH12" s="12"/>
      <c r="AI12" s="18">
        <f t="shared" si="1"/>
        <v>0</v>
      </c>
      <c r="AJ12" s="18">
        <f t="shared" si="1"/>
        <v>0</v>
      </c>
      <c r="AK12" s="18">
        <f t="shared" si="1"/>
        <v>0</v>
      </c>
      <c r="AL12" s="18">
        <f t="shared" si="1"/>
        <v>0</v>
      </c>
      <c r="AM12" s="18">
        <f t="shared" si="1"/>
        <v>0</v>
      </c>
      <c r="AN12" s="18">
        <f t="shared" si="1"/>
        <v>1</v>
      </c>
      <c r="AO12" s="18">
        <f t="shared" si="1"/>
        <v>0</v>
      </c>
      <c r="AP12" s="18">
        <f t="shared" si="1"/>
        <v>0</v>
      </c>
      <c r="AQ12" s="9"/>
      <c r="AR12" s="18">
        <f t="shared" si="2"/>
        <v>0</v>
      </c>
      <c r="AS12" s="18">
        <f t="shared" si="2"/>
        <v>0</v>
      </c>
      <c r="AT12" s="18">
        <f t="shared" si="2"/>
        <v>0</v>
      </c>
      <c r="AU12" s="18">
        <f t="shared" si="2"/>
        <v>0</v>
      </c>
      <c r="AV12" s="18">
        <f t="shared" si="2"/>
        <v>0</v>
      </c>
      <c r="AW12" s="18">
        <f t="shared" si="2"/>
        <v>1</v>
      </c>
      <c r="AX12" s="18">
        <f t="shared" si="2"/>
        <v>0</v>
      </c>
      <c r="AY12" s="18">
        <f t="shared" si="2"/>
        <v>0</v>
      </c>
      <c r="BA12" s="27">
        <f t="shared" si="7"/>
        <v>0</v>
      </c>
      <c r="BB12" s="27">
        <f t="shared" si="3"/>
        <v>0</v>
      </c>
      <c r="BC12" s="27">
        <f t="shared" si="3"/>
        <v>0</v>
      </c>
      <c r="BD12" s="27">
        <f t="shared" si="3"/>
        <v>0</v>
      </c>
      <c r="BE12" s="27">
        <f t="shared" si="3"/>
        <v>0</v>
      </c>
      <c r="BF12" s="27">
        <f t="shared" si="3"/>
        <v>0</v>
      </c>
      <c r="BG12" s="27">
        <f t="shared" si="3"/>
        <v>0</v>
      </c>
      <c r="BH12" s="27">
        <f t="shared" si="3"/>
        <v>0</v>
      </c>
      <c r="BI12" s="27">
        <f t="shared" si="8"/>
        <v>0</v>
      </c>
      <c r="BJ12" s="27">
        <f t="shared" si="9"/>
        <v>0</v>
      </c>
    </row>
    <row r="13" spans="1:62" ht="22.5">
      <c r="A13" s="5" t="s">
        <v>3</v>
      </c>
      <c r="B13" s="7"/>
      <c r="C13" s="25">
        <v>9</v>
      </c>
      <c r="D13" s="25">
        <v>9</v>
      </c>
      <c r="E13" s="25">
        <v>9</v>
      </c>
      <c r="F13" s="25">
        <v>9</v>
      </c>
      <c r="G13" s="25">
        <v>1</v>
      </c>
      <c r="H13" s="25">
        <v>0</v>
      </c>
      <c r="I13" s="28">
        <v>9</v>
      </c>
      <c r="J13" s="28">
        <v>9</v>
      </c>
      <c r="K13" s="29"/>
      <c r="L13" s="25"/>
      <c r="M13" s="25"/>
      <c r="N13" s="25"/>
      <c r="O13" s="25"/>
      <c r="P13" s="25">
        <v>0</v>
      </c>
      <c r="Q13" s="25">
        <v>1</v>
      </c>
      <c r="R13" s="28"/>
      <c r="S13" s="28"/>
      <c r="U13" s="9">
        <f t="shared" si="0"/>
        <v>0</v>
      </c>
      <c r="V13" s="1">
        <f>(1-W13)*Y13</f>
        <v>0</v>
      </c>
      <c r="W13" s="11">
        <f t="shared" si="5"/>
        <v>1</v>
      </c>
      <c r="X13" s="12">
        <v>2</v>
      </c>
      <c r="Y13" s="10">
        <f t="shared" si="6"/>
        <v>5.128205128205128E-2</v>
      </c>
      <c r="Z13" s="18"/>
      <c r="AA13" s="18"/>
      <c r="AB13" s="18"/>
      <c r="AC13" s="18"/>
      <c r="AD13" s="18">
        <v>0</v>
      </c>
      <c r="AE13" s="18">
        <v>1</v>
      </c>
      <c r="AF13" s="18"/>
      <c r="AG13" s="18"/>
      <c r="AH13" s="12"/>
      <c r="AI13" s="18">
        <f t="shared" si="1"/>
        <v>0</v>
      </c>
      <c r="AJ13" s="18">
        <f t="shared" si="1"/>
        <v>0</v>
      </c>
      <c r="AK13" s="18">
        <f t="shared" si="1"/>
        <v>0</v>
      </c>
      <c r="AL13" s="18">
        <f t="shared" si="1"/>
        <v>0</v>
      </c>
      <c r="AM13" s="18">
        <f t="shared" si="1"/>
        <v>0</v>
      </c>
      <c r="AN13" s="18">
        <f t="shared" si="1"/>
        <v>0</v>
      </c>
      <c r="AO13" s="18">
        <f t="shared" si="1"/>
        <v>0</v>
      </c>
      <c r="AP13" s="18">
        <f t="shared" si="1"/>
        <v>0</v>
      </c>
      <c r="AQ13" s="9"/>
      <c r="AR13" s="18">
        <f t="shared" si="2"/>
        <v>0</v>
      </c>
      <c r="AS13" s="18">
        <f t="shared" si="2"/>
        <v>0</v>
      </c>
      <c r="AT13" s="18">
        <f t="shared" si="2"/>
        <v>0</v>
      </c>
      <c r="AU13" s="18">
        <f t="shared" si="2"/>
        <v>0</v>
      </c>
      <c r="AV13" s="18">
        <f t="shared" si="2"/>
        <v>0</v>
      </c>
      <c r="AW13" s="18">
        <f t="shared" si="2"/>
        <v>1</v>
      </c>
      <c r="AX13" s="18">
        <f t="shared" si="2"/>
        <v>0</v>
      </c>
      <c r="AY13" s="18">
        <f t="shared" si="2"/>
        <v>0</v>
      </c>
      <c r="BA13" s="27">
        <f t="shared" si="7"/>
        <v>0</v>
      </c>
      <c r="BB13" s="27">
        <f t="shared" si="3"/>
        <v>0</v>
      </c>
      <c r="BC13" s="27">
        <f t="shared" si="3"/>
        <v>0</v>
      </c>
      <c r="BD13" s="27">
        <f t="shared" si="3"/>
        <v>0</v>
      </c>
      <c r="BE13" s="27">
        <f t="shared" si="3"/>
        <v>0</v>
      </c>
      <c r="BF13" s="27">
        <f t="shared" si="3"/>
        <v>-1</v>
      </c>
      <c r="BG13" s="27">
        <f t="shared" si="3"/>
        <v>0</v>
      </c>
      <c r="BH13" s="27">
        <f t="shared" si="3"/>
        <v>0</v>
      </c>
      <c r="BI13" s="27">
        <f t="shared" si="8"/>
        <v>1</v>
      </c>
      <c r="BJ13" s="27">
        <f t="shared" si="9"/>
        <v>5.128205128205128E-2</v>
      </c>
    </row>
    <row r="14" spans="1:62" ht="22.5">
      <c r="A14" s="8" t="s">
        <v>4</v>
      </c>
      <c r="B14" s="7"/>
      <c r="C14" s="25">
        <v>9</v>
      </c>
      <c r="D14" s="25">
        <v>9</v>
      </c>
      <c r="E14" s="25">
        <v>9</v>
      </c>
      <c r="F14" s="25">
        <v>9</v>
      </c>
      <c r="G14" s="25">
        <v>9</v>
      </c>
      <c r="H14" s="25">
        <v>9</v>
      </c>
      <c r="I14" s="25">
        <v>1</v>
      </c>
      <c r="J14" s="25">
        <v>0</v>
      </c>
      <c r="K14" s="29"/>
      <c r="L14" s="25"/>
      <c r="M14" s="25"/>
      <c r="N14" s="25"/>
      <c r="O14" s="25"/>
      <c r="P14" s="25"/>
      <c r="Q14" s="25"/>
      <c r="R14" s="25">
        <v>0</v>
      </c>
      <c r="S14" s="25">
        <v>1</v>
      </c>
      <c r="U14" s="9">
        <f t="shared" si="0"/>
        <v>0</v>
      </c>
      <c r="V14" s="1">
        <f t="shared" si="4"/>
        <v>0</v>
      </c>
      <c r="W14" s="11">
        <f t="shared" si="5"/>
        <v>1</v>
      </c>
      <c r="X14" s="12">
        <v>4</v>
      </c>
      <c r="Y14" s="10">
        <f t="shared" si="6"/>
        <v>0.10256410256410256</v>
      </c>
      <c r="Z14" s="18"/>
      <c r="AA14" s="18"/>
      <c r="AB14" s="18"/>
      <c r="AC14" s="18"/>
      <c r="AD14" s="18"/>
      <c r="AE14" s="18"/>
      <c r="AF14" s="18">
        <v>0</v>
      </c>
      <c r="AG14" s="18">
        <v>1</v>
      </c>
      <c r="AH14" s="12"/>
      <c r="AI14" s="18">
        <f t="shared" si="1"/>
        <v>0</v>
      </c>
      <c r="AJ14" s="18">
        <f t="shared" si="1"/>
        <v>0</v>
      </c>
      <c r="AK14" s="18">
        <f t="shared" si="1"/>
        <v>0</v>
      </c>
      <c r="AL14" s="18">
        <f t="shared" si="1"/>
        <v>0</v>
      </c>
      <c r="AM14" s="18">
        <f t="shared" si="1"/>
        <v>0</v>
      </c>
      <c r="AN14" s="18">
        <f t="shared" si="1"/>
        <v>0</v>
      </c>
      <c r="AO14" s="18">
        <f t="shared" si="1"/>
        <v>0</v>
      </c>
      <c r="AP14" s="18">
        <f t="shared" si="1"/>
        <v>0</v>
      </c>
      <c r="AQ14" s="9"/>
      <c r="AR14" s="18">
        <f t="shared" si="2"/>
        <v>0</v>
      </c>
      <c r="AS14" s="18">
        <f t="shared" si="2"/>
        <v>0</v>
      </c>
      <c r="AT14" s="18">
        <f t="shared" si="2"/>
        <v>0</v>
      </c>
      <c r="AU14" s="18">
        <f t="shared" si="2"/>
        <v>0</v>
      </c>
      <c r="AV14" s="18">
        <f t="shared" si="2"/>
        <v>0</v>
      </c>
      <c r="AW14" s="18">
        <f t="shared" si="2"/>
        <v>0</v>
      </c>
      <c r="AX14" s="18">
        <f t="shared" si="2"/>
        <v>0</v>
      </c>
      <c r="AY14" s="18">
        <f t="shared" si="2"/>
        <v>1</v>
      </c>
      <c r="BA14" s="27">
        <f t="shared" si="7"/>
        <v>0</v>
      </c>
      <c r="BB14" s="27">
        <f t="shared" si="3"/>
        <v>0</v>
      </c>
      <c r="BC14" s="27">
        <f t="shared" si="3"/>
        <v>0</v>
      </c>
      <c r="BD14" s="27">
        <f t="shared" si="3"/>
        <v>0</v>
      </c>
      <c r="BE14" s="27">
        <f t="shared" si="3"/>
        <v>0</v>
      </c>
      <c r="BF14" s="27">
        <f t="shared" si="3"/>
        <v>0</v>
      </c>
      <c r="BG14" s="27">
        <f t="shared" si="3"/>
        <v>0</v>
      </c>
      <c r="BH14" s="27">
        <f t="shared" si="3"/>
        <v>-1</v>
      </c>
      <c r="BI14" s="27">
        <f t="shared" si="8"/>
        <v>1</v>
      </c>
      <c r="BJ14" s="27">
        <f t="shared" si="9"/>
        <v>0.10256410256410256</v>
      </c>
    </row>
    <row r="15" spans="1:62" ht="22.5">
      <c r="A15" s="8" t="s">
        <v>22</v>
      </c>
      <c r="B15" s="7"/>
      <c r="C15" s="25">
        <v>9</v>
      </c>
      <c r="D15" s="25">
        <v>9</v>
      </c>
      <c r="E15" s="25">
        <v>9</v>
      </c>
      <c r="F15" s="25">
        <v>9</v>
      </c>
      <c r="G15" s="25">
        <v>9</v>
      </c>
      <c r="H15" s="25">
        <v>9</v>
      </c>
      <c r="I15" s="25">
        <v>0</v>
      </c>
      <c r="J15" s="25">
        <v>1</v>
      </c>
      <c r="K15" s="29"/>
      <c r="L15" s="25"/>
      <c r="M15" s="25"/>
      <c r="N15" s="25"/>
      <c r="O15" s="25"/>
      <c r="P15" s="25"/>
      <c r="Q15" s="25"/>
      <c r="R15" s="25">
        <v>0</v>
      </c>
      <c r="S15" s="25">
        <v>1</v>
      </c>
      <c r="U15" s="9">
        <f t="shared" si="0"/>
        <v>1</v>
      </c>
      <c r="V15" s="1">
        <f t="shared" si="4"/>
        <v>2.564102564102564E-2</v>
      </c>
      <c r="W15" s="11">
        <f t="shared" si="5"/>
        <v>0</v>
      </c>
      <c r="X15" s="12">
        <v>1</v>
      </c>
      <c r="Y15" s="10">
        <f t="shared" si="6"/>
        <v>2.564102564102564E-2</v>
      </c>
      <c r="Z15" s="18"/>
      <c r="AA15" s="18"/>
      <c r="AB15" s="18"/>
      <c r="AC15" s="18"/>
      <c r="AD15" s="18"/>
      <c r="AE15" s="18"/>
      <c r="AF15" s="18">
        <v>0</v>
      </c>
      <c r="AG15" s="18">
        <v>1</v>
      </c>
      <c r="AH15" s="12"/>
      <c r="AI15" s="18">
        <f t="shared" si="1"/>
        <v>0</v>
      </c>
      <c r="AJ15" s="18">
        <f t="shared" si="1"/>
        <v>0</v>
      </c>
      <c r="AK15" s="18">
        <f t="shared" si="1"/>
        <v>0</v>
      </c>
      <c r="AL15" s="18">
        <f t="shared" si="1"/>
        <v>0</v>
      </c>
      <c r="AM15" s="18">
        <f t="shared" si="1"/>
        <v>0</v>
      </c>
      <c r="AN15" s="18">
        <f t="shared" si="1"/>
        <v>0</v>
      </c>
      <c r="AO15" s="18">
        <f t="shared" si="1"/>
        <v>0</v>
      </c>
      <c r="AP15" s="18">
        <f t="shared" si="1"/>
        <v>1</v>
      </c>
      <c r="AQ15" s="9"/>
      <c r="AR15" s="18">
        <f t="shared" si="2"/>
        <v>0</v>
      </c>
      <c r="AS15" s="18">
        <f t="shared" si="2"/>
        <v>0</v>
      </c>
      <c r="AT15" s="18">
        <f t="shared" si="2"/>
        <v>0</v>
      </c>
      <c r="AU15" s="18">
        <f t="shared" si="2"/>
        <v>0</v>
      </c>
      <c r="AV15" s="18">
        <f t="shared" si="2"/>
        <v>0</v>
      </c>
      <c r="AW15" s="18">
        <f t="shared" si="2"/>
        <v>0</v>
      </c>
      <c r="AX15" s="18">
        <f t="shared" si="2"/>
        <v>0</v>
      </c>
      <c r="AY15" s="18">
        <f t="shared" si="2"/>
        <v>1</v>
      </c>
      <c r="BA15" s="27">
        <f t="shared" si="7"/>
        <v>0</v>
      </c>
      <c r="BB15" s="27">
        <f t="shared" si="3"/>
        <v>0</v>
      </c>
      <c r="BC15" s="27">
        <f t="shared" si="3"/>
        <v>0</v>
      </c>
      <c r="BD15" s="27">
        <f t="shared" si="3"/>
        <v>0</v>
      </c>
      <c r="BE15" s="27">
        <f t="shared" si="3"/>
        <v>0</v>
      </c>
      <c r="BF15" s="27">
        <f t="shared" si="3"/>
        <v>0</v>
      </c>
      <c r="BG15" s="27">
        <f t="shared" si="3"/>
        <v>0</v>
      </c>
      <c r="BH15" s="27">
        <f t="shared" si="3"/>
        <v>0</v>
      </c>
      <c r="BI15" s="27">
        <f t="shared" si="8"/>
        <v>0</v>
      </c>
      <c r="BJ15" s="27">
        <f t="shared" si="9"/>
        <v>0</v>
      </c>
    </row>
    <row r="16" spans="1:62" ht="22.5">
      <c r="A16" s="8" t="s">
        <v>23</v>
      </c>
      <c r="B16" s="7"/>
      <c r="C16" s="25">
        <v>9</v>
      </c>
      <c r="D16" s="25">
        <v>9</v>
      </c>
      <c r="E16" s="25">
        <v>9</v>
      </c>
      <c r="F16" s="25">
        <v>9</v>
      </c>
      <c r="G16" s="25">
        <v>9</v>
      </c>
      <c r="H16" s="25">
        <v>9</v>
      </c>
      <c r="I16" s="25">
        <v>0</v>
      </c>
      <c r="J16" s="25">
        <v>1</v>
      </c>
      <c r="K16" s="29"/>
      <c r="L16" s="25"/>
      <c r="M16" s="25"/>
      <c r="N16" s="25"/>
      <c r="O16" s="25"/>
      <c r="P16" s="25"/>
      <c r="Q16" s="25"/>
      <c r="R16" s="25">
        <v>0</v>
      </c>
      <c r="S16" s="25">
        <v>1</v>
      </c>
      <c r="U16" s="9">
        <f>IF(MATCH(1,C16:J16,0)=MATCH(1,L16:S16,0),1,0)</f>
        <v>1</v>
      </c>
      <c r="V16" s="1">
        <f t="shared" si="4"/>
        <v>2.564102564102564E-2</v>
      </c>
      <c r="W16" s="11">
        <f>BI16</f>
        <v>0</v>
      </c>
      <c r="X16" s="12">
        <v>1</v>
      </c>
      <c r="Y16" s="10">
        <f t="shared" si="6"/>
        <v>2.564102564102564E-2</v>
      </c>
      <c r="Z16" s="18"/>
      <c r="AA16" s="18"/>
      <c r="AB16" s="18"/>
      <c r="AC16" s="18"/>
      <c r="AD16" s="18"/>
      <c r="AE16" s="18"/>
      <c r="AF16" s="18">
        <v>0</v>
      </c>
      <c r="AG16" s="18">
        <v>1</v>
      </c>
      <c r="AI16" s="18">
        <f t="shared" si="1"/>
        <v>0</v>
      </c>
      <c r="AJ16" s="18">
        <f t="shared" si="1"/>
        <v>0</v>
      </c>
      <c r="AK16" s="18">
        <f t="shared" si="1"/>
        <v>0</v>
      </c>
      <c r="AL16" s="18">
        <f t="shared" si="1"/>
        <v>0</v>
      </c>
      <c r="AM16" s="18">
        <f t="shared" si="1"/>
        <v>0</v>
      </c>
      <c r="AN16" s="18">
        <f t="shared" si="1"/>
        <v>0</v>
      </c>
      <c r="AO16" s="18">
        <f t="shared" si="1"/>
        <v>0</v>
      </c>
      <c r="AP16" s="18">
        <f t="shared" si="1"/>
        <v>1</v>
      </c>
      <c r="AQ16" s="9" t="s">
        <v>24</v>
      </c>
      <c r="AR16" s="18">
        <f t="shared" si="2"/>
        <v>0</v>
      </c>
      <c r="AS16" s="18">
        <f t="shared" si="2"/>
        <v>0</v>
      </c>
      <c r="AT16" s="18">
        <f t="shared" si="2"/>
        <v>0</v>
      </c>
      <c r="AU16" s="18">
        <f t="shared" si="2"/>
        <v>0</v>
      </c>
      <c r="AV16" s="18"/>
      <c r="AW16" s="18">
        <f t="shared" si="2"/>
        <v>0</v>
      </c>
      <c r="AX16" s="18">
        <f t="shared" si="2"/>
        <v>0</v>
      </c>
      <c r="AY16" s="18">
        <f t="shared" si="2"/>
        <v>1</v>
      </c>
      <c r="BA16" s="27">
        <f t="shared" si="7"/>
        <v>0</v>
      </c>
      <c r="BB16" s="27">
        <f t="shared" si="3"/>
        <v>0</v>
      </c>
      <c r="BC16" s="27">
        <f t="shared" si="3"/>
        <v>0</v>
      </c>
      <c r="BD16" s="27">
        <f t="shared" si="3"/>
        <v>0</v>
      </c>
      <c r="BE16" s="27">
        <f t="shared" si="3"/>
        <v>0</v>
      </c>
      <c r="BF16" s="27">
        <f t="shared" si="3"/>
        <v>0</v>
      </c>
      <c r="BG16" s="27">
        <f t="shared" si="3"/>
        <v>0</v>
      </c>
      <c r="BH16" s="27">
        <f t="shared" si="3"/>
        <v>0</v>
      </c>
      <c r="BI16" s="27">
        <f t="shared" si="8"/>
        <v>0</v>
      </c>
      <c r="BJ16" s="27">
        <f t="shared" si="9"/>
        <v>0</v>
      </c>
    </row>
    <row r="17" spans="1:62" ht="22.5">
      <c r="A17" s="14" t="s">
        <v>5</v>
      </c>
      <c r="B17" s="7"/>
      <c r="C17" s="25">
        <v>9</v>
      </c>
      <c r="D17" s="25">
        <v>9</v>
      </c>
      <c r="E17" s="25">
        <v>9</v>
      </c>
      <c r="F17" s="25">
        <v>9</v>
      </c>
      <c r="G17" s="25">
        <v>9</v>
      </c>
      <c r="H17" s="25">
        <v>9</v>
      </c>
      <c r="I17" s="25">
        <v>1</v>
      </c>
      <c r="J17" s="25">
        <v>0</v>
      </c>
      <c r="K17" s="29"/>
      <c r="L17" s="25"/>
      <c r="M17" s="25"/>
      <c r="N17" s="25"/>
      <c r="O17" s="25"/>
      <c r="P17" s="25"/>
      <c r="Q17" s="25"/>
      <c r="R17" s="25">
        <v>1</v>
      </c>
      <c r="S17" s="25">
        <v>0</v>
      </c>
      <c r="U17" s="9">
        <f t="shared" si="0"/>
        <v>1</v>
      </c>
      <c r="V17" s="1">
        <f t="shared" si="4"/>
        <v>0.10256410256410256</v>
      </c>
      <c r="W17" s="11">
        <f t="shared" si="5"/>
        <v>0</v>
      </c>
      <c r="X17" s="12">
        <v>4</v>
      </c>
      <c r="Y17" s="10">
        <f t="shared" si="6"/>
        <v>0.10256410256410256</v>
      </c>
      <c r="Z17" s="18"/>
      <c r="AA17" s="18"/>
      <c r="AB17" s="18"/>
      <c r="AC17" s="18"/>
      <c r="AD17" s="18"/>
      <c r="AE17" s="18"/>
      <c r="AF17" s="18">
        <v>0</v>
      </c>
      <c r="AG17" s="18">
        <v>1</v>
      </c>
      <c r="AH17" s="20"/>
      <c r="AI17" s="18">
        <f t="shared" si="1"/>
        <v>0</v>
      </c>
      <c r="AJ17" s="18">
        <f t="shared" si="1"/>
        <v>0</v>
      </c>
      <c r="AK17" s="18">
        <f t="shared" si="1"/>
        <v>0</v>
      </c>
      <c r="AL17" s="18">
        <f t="shared" si="1"/>
        <v>0</v>
      </c>
      <c r="AM17" s="18">
        <f t="shared" si="1"/>
        <v>0</v>
      </c>
      <c r="AN17" s="18">
        <f t="shared" si="1"/>
        <v>0</v>
      </c>
      <c r="AO17" s="18">
        <f t="shared" si="1"/>
        <v>0</v>
      </c>
      <c r="AP17" s="18">
        <f t="shared" si="1"/>
        <v>0</v>
      </c>
      <c r="AQ17" s="9"/>
      <c r="AR17" s="18">
        <f t="shared" si="2"/>
        <v>0</v>
      </c>
      <c r="AS17" s="18">
        <f t="shared" si="2"/>
        <v>0</v>
      </c>
      <c r="AT17" s="18">
        <f t="shared" si="2"/>
        <v>0</v>
      </c>
      <c r="AU17" s="18">
        <f t="shared" si="2"/>
        <v>0</v>
      </c>
      <c r="AV17" s="18">
        <f>P17*AD17</f>
        <v>0</v>
      </c>
      <c r="AW17" s="18">
        <f t="shared" si="2"/>
        <v>0</v>
      </c>
      <c r="AX17" s="18">
        <f t="shared" si="2"/>
        <v>0</v>
      </c>
      <c r="AY17" s="18">
        <f t="shared" si="2"/>
        <v>0</v>
      </c>
      <c r="BA17" s="27">
        <f>(AI17-AR17)</f>
        <v>0</v>
      </c>
      <c r="BB17" s="27">
        <f t="shared" si="3"/>
        <v>0</v>
      </c>
      <c r="BC17" s="27">
        <f t="shared" si="3"/>
        <v>0</v>
      </c>
      <c r="BD17" s="27">
        <f t="shared" si="3"/>
        <v>0</v>
      </c>
      <c r="BE17" s="27">
        <f t="shared" si="3"/>
        <v>0</v>
      </c>
      <c r="BF17" s="27">
        <f t="shared" si="3"/>
        <v>0</v>
      </c>
      <c r="BG17" s="27">
        <f t="shared" si="3"/>
        <v>0</v>
      </c>
      <c r="BH17" s="27">
        <f t="shared" si="3"/>
        <v>0</v>
      </c>
      <c r="BI17" s="27">
        <f t="shared" si="8"/>
        <v>0</v>
      </c>
      <c r="BJ17" s="27">
        <f t="shared" si="9"/>
        <v>0</v>
      </c>
    </row>
    <row r="18" spans="1:62">
      <c r="B18" t="s">
        <v>57</v>
      </c>
      <c r="C18" s="30"/>
      <c r="D18" s="30"/>
      <c r="E18" s="30"/>
      <c r="F18" s="30"/>
      <c r="G18" s="30"/>
      <c r="H18" s="30"/>
      <c r="I18" s="30"/>
      <c r="J18" s="30"/>
      <c r="K18" t="s">
        <v>44</v>
      </c>
      <c r="T18" s="3"/>
      <c r="W18" t="s">
        <v>59</v>
      </c>
      <c r="Z18" s="20"/>
      <c r="AA18" s="20"/>
      <c r="AB18" s="20"/>
      <c r="AC18" s="20"/>
      <c r="AD18" s="20"/>
      <c r="AE18" s="20"/>
      <c r="AF18" s="20"/>
      <c r="AG18" s="20"/>
      <c r="AH18" s="20"/>
      <c r="AI18" s="11">
        <f t="shared" si="1"/>
        <v>0</v>
      </c>
      <c r="AJ18" s="11">
        <f t="shared" si="1"/>
        <v>0</v>
      </c>
      <c r="AK18" s="11">
        <f t="shared" si="1"/>
        <v>0</v>
      </c>
      <c r="AL18" s="11">
        <f t="shared" si="1"/>
        <v>0</v>
      </c>
      <c r="AM18" s="11">
        <f t="shared" si="1"/>
        <v>0</v>
      </c>
      <c r="AN18" s="11">
        <f t="shared" si="1"/>
        <v>0</v>
      </c>
    </row>
    <row r="19" spans="1:62" ht="22.5">
      <c r="A19" s="6" t="s">
        <v>10</v>
      </c>
      <c r="B19" s="7"/>
      <c r="C19" s="25">
        <v>0</v>
      </c>
      <c r="D19" s="28">
        <v>1</v>
      </c>
      <c r="E19" s="28">
        <v>9</v>
      </c>
      <c r="F19" s="28">
        <v>9</v>
      </c>
      <c r="G19" s="28">
        <v>9</v>
      </c>
      <c r="H19" s="28">
        <v>9</v>
      </c>
      <c r="I19" s="28">
        <v>9</v>
      </c>
      <c r="J19" s="28">
        <v>9</v>
      </c>
      <c r="K19" s="29"/>
      <c r="L19" s="25">
        <v>0</v>
      </c>
      <c r="M19" s="28">
        <v>1</v>
      </c>
      <c r="N19" s="28"/>
      <c r="O19" s="28"/>
      <c r="P19" s="28"/>
      <c r="Q19" s="28"/>
      <c r="R19" s="28"/>
      <c r="S19" s="28"/>
      <c r="U19" s="9">
        <f t="shared" ref="U19:U32" si="10">IF(MATCH(1,C19:J19,0)=MATCH(1,L19:S19,0),1,0)</f>
        <v>1</v>
      </c>
      <c r="V19" s="1">
        <f>(1-W19)*Y19</f>
        <v>5.128205128205128E-2</v>
      </c>
      <c r="W19" s="11">
        <f>BI19</f>
        <v>0</v>
      </c>
      <c r="X19" s="9">
        <v>2</v>
      </c>
      <c r="Y19" s="10">
        <f>X19/SUM($X$2:$X$17)</f>
        <v>5.128205128205128E-2</v>
      </c>
      <c r="Z19" s="18">
        <v>0</v>
      </c>
      <c r="AA19" s="18">
        <v>1</v>
      </c>
      <c r="AB19" s="18"/>
      <c r="AC19" s="18"/>
      <c r="AD19" s="18"/>
      <c r="AE19" s="18"/>
      <c r="AF19" s="18"/>
      <c r="AG19" s="18"/>
      <c r="AH19" s="12"/>
      <c r="AI19" s="18">
        <f t="shared" ref="AI19:AI35" si="11">C19*Z19</f>
        <v>0</v>
      </c>
      <c r="AJ19" s="18">
        <f t="shared" ref="AJ19:AJ35" si="12">D19*AA19</f>
        <v>1</v>
      </c>
      <c r="AK19" s="18">
        <f t="shared" ref="AK19:AK35" si="13">E19*AB19</f>
        <v>0</v>
      </c>
      <c r="AL19" s="18">
        <f t="shared" ref="AL19:AL35" si="14">F19*AC19</f>
        <v>0</v>
      </c>
      <c r="AM19" s="18">
        <f t="shared" ref="AM19:AM35" si="15">G19*AD19</f>
        <v>0</v>
      </c>
      <c r="AN19" s="18">
        <f t="shared" ref="AN19:AN35" si="16">H19*AE19</f>
        <v>0</v>
      </c>
      <c r="AO19" s="18">
        <f t="shared" ref="AO19:AO34" si="17">I19*AF19</f>
        <v>0</v>
      </c>
      <c r="AP19" s="18">
        <f t="shared" ref="AP19:AP34" si="18">J19*AG19</f>
        <v>0</v>
      </c>
      <c r="AQ19" s="9"/>
      <c r="AR19" s="18">
        <f t="shared" ref="AR19:AR34" si="19">L19*Z19</f>
        <v>0</v>
      </c>
      <c r="AS19" s="18">
        <f t="shared" ref="AS19:AS34" si="20">M19*AA19</f>
        <v>1</v>
      </c>
      <c r="AT19" s="18">
        <f t="shared" ref="AT19:AT34" si="21">N19*AB19</f>
        <v>0</v>
      </c>
      <c r="AU19" s="18">
        <f t="shared" ref="AU19:AU34" si="22">O19*AC19</f>
        <v>0</v>
      </c>
      <c r="AV19" s="18">
        <f t="shared" ref="AV19:AV32" si="23">P19*AD19</f>
        <v>0</v>
      </c>
      <c r="AW19" s="18">
        <f t="shared" ref="AW19:AW34" si="24">Q19*AE19</f>
        <v>0</v>
      </c>
      <c r="AX19" s="18">
        <f t="shared" ref="AX19:AX34" si="25">R19*AF19</f>
        <v>0</v>
      </c>
      <c r="AY19" s="18">
        <f t="shared" ref="AY19:AY34" si="26">S19*AG19</f>
        <v>0</v>
      </c>
      <c r="BA19" s="27">
        <f>(AI19-AR19)</f>
        <v>0</v>
      </c>
      <c r="BB19" s="27">
        <f t="shared" ref="BB19:BB34" si="27">(AJ19-AS19)</f>
        <v>0</v>
      </c>
      <c r="BC19" s="27">
        <f t="shared" ref="BC19:BC34" si="28">(AK19-AT19)</f>
        <v>0</v>
      </c>
      <c r="BD19" s="27">
        <f t="shared" ref="BD19:BD34" si="29">(AL19-AU19)</f>
        <v>0</v>
      </c>
      <c r="BE19" s="27">
        <f t="shared" ref="BE19:BE34" si="30">(AM19-AV19)</f>
        <v>0</v>
      </c>
      <c r="BF19" s="27">
        <f t="shared" ref="BF19:BF34" si="31">(AN19-AW19)</f>
        <v>0</v>
      </c>
      <c r="BG19" s="27">
        <f t="shared" ref="BG19:BG34" si="32">(AO19-AX19)</f>
        <v>0</v>
      </c>
      <c r="BH19" s="27">
        <f t="shared" ref="BH19:BH34" si="33">(AP19-AY19)</f>
        <v>0</v>
      </c>
      <c r="BI19" s="27">
        <f>ABS(SUM(BA19:BH19))</f>
        <v>0</v>
      </c>
      <c r="BJ19" s="27">
        <f>BI19*Y19</f>
        <v>0</v>
      </c>
    </row>
    <row r="20" spans="1:62" ht="22.5">
      <c r="A20" s="6" t="s">
        <v>11</v>
      </c>
      <c r="B20" s="7"/>
      <c r="C20" s="25">
        <v>0</v>
      </c>
      <c r="D20" s="28">
        <v>1</v>
      </c>
      <c r="E20" s="28">
        <v>9</v>
      </c>
      <c r="F20" s="28">
        <v>9</v>
      </c>
      <c r="G20" s="28">
        <v>9</v>
      </c>
      <c r="H20" s="28">
        <v>9</v>
      </c>
      <c r="I20" s="28">
        <v>9</v>
      </c>
      <c r="J20" s="28">
        <v>9</v>
      </c>
      <c r="K20" s="29"/>
      <c r="L20" s="25">
        <v>0</v>
      </c>
      <c r="M20" s="28">
        <v>1</v>
      </c>
      <c r="N20" s="28"/>
      <c r="O20" s="28"/>
      <c r="P20" s="28"/>
      <c r="Q20" s="28"/>
      <c r="R20" s="28"/>
      <c r="S20" s="28"/>
      <c r="U20" s="9">
        <f t="shared" si="10"/>
        <v>1</v>
      </c>
      <c r="V20" s="1">
        <f t="shared" ref="V20:V29" si="34">(1-W20)*Y20</f>
        <v>5.128205128205128E-2</v>
      </c>
      <c r="W20" s="11">
        <f t="shared" ref="W20:W32" si="35">BI20</f>
        <v>0</v>
      </c>
      <c r="X20" s="9">
        <v>2</v>
      </c>
      <c r="Y20" s="10">
        <f t="shared" ref="Y20:Y34" si="36">X20/SUM($X$2:$X$17)</f>
        <v>5.128205128205128E-2</v>
      </c>
      <c r="Z20" s="18">
        <v>0</v>
      </c>
      <c r="AA20" s="18">
        <v>1</v>
      </c>
      <c r="AB20" s="18"/>
      <c r="AC20" s="18"/>
      <c r="AD20" s="18"/>
      <c r="AE20" s="18"/>
      <c r="AF20" s="18"/>
      <c r="AG20" s="18"/>
      <c r="AH20" s="12"/>
      <c r="AI20" s="18">
        <f t="shared" si="11"/>
        <v>0</v>
      </c>
      <c r="AJ20" s="18">
        <f t="shared" si="12"/>
        <v>1</v>
      </c>
      <c r="AK20" s="18">
        <f t="shared" si="13"/>
        <v>0</v>
      </c>
      <c r="AL20" s="18">
        <f t="shared" si="14"/>
        <v>0</v>
      </c>
      <c r="AM20" s="18">
        <f t="shared" si="15"/>
        <v>0</v>
      </c>
      <c r="AN20" s="18">
        <f t="shared" si="16"/>
        <v>0</v>
      </c>
      <c r="AO20" s="18">
        <f t="shared" si="17"/>
        <v>0</v>
      </c>
      <c r="AP20" s="18">
        <f t="shared" si="18"/>
        <v>0</v>
      </c>
      <c r="AQ20" s="9"/>
      <c r="AR20" s="18">
        <f t="shared" si="19"/>
        <v>0</v>
      </c>
      <c r="AS20" s="18">
        <f t="shared" si="20"/>
        <v>1</v>
      </c>
      <c r="AT20" s="18">
        <f t="shared" si="21"/>
        <v>0</v>
      </c>
      <c r="AU20" s="18">
        <f t="shared" si="22"/>
        <v>0</v>
      </c>
      <c r="AV20" s="18">
        <f t="shared" si="23"/>
        <v>0</v>
      </c>
      <c r="AW20" s="18">
        <f t="shared" si="24"/>
        <v>0</v>
      </c>
      <c r="AX20" s="18">
        <f t="shared" si="25"/>
        <v>0</v>
      </c>
      <c r="AY20" s="18">
        <f t="shared" si="26"/>
        <v>0</v>
      </c>
      <c r="BA20" s="27">
        <f t="shared" ref="BA20:BA33" si="37">(AI20-AR20)</f>
        <v>0</v>
      </c>
      <c r="BB20" s="27">
        <f t="shared" si="27"/>
        <v>0</v>
      </c>
      <c r="BC20" s="27">
        <f t="shared" si="28"/>
        <v>0</v>
      </c>
      <c r="BD20" s="27">
        <f t="shared" si="29"/>
        <v>0</v>
      </c>
      <c r="BE20" s="27">
        <f t="shared" si="30"/>
        <v>0</v>
      </c>
      <c r="BF20" s="27">
        <f t="shared" si="31"/>
        <v>0</v>
      </c>
      <c r="BG20" s="27">
        <f t="shared" si="32"/>
        <v>0</v>
      </c>
      <c r="BH20" s="27">
        <f t="shared" si="33"/>
        <v>0</v>
      </c>
      <c r="BI20" s="27">
        <f t="shared" ref="BI20:BI34" si="38">ABS(SUM(BA20:BH20))</f>
        <v>0</v>
      </c>
      <c r="BJ20" s="27">
        <f t="shared" ref="BJ20:BJ34" si="39">BI20*Y20</f>
        <v>0</v>
      </c>
    </row>
    <row r="21" spans="1:62" s="22" customFormat="1" ht="22.5">
      <c r="A21" s="8" t="s">
        <v>12</v>
      </c>
      <c r="B21" s="21"/>
      <c r="C21" s="25">
        <v>0</v>
      </c>
      <c r="D21" s="25">
        <v>1</v>
      </c>
      <c r="E21" s="25">
        <v>0</v>
      </c>
      <c r="F21" s="28">
        <v>0</v>
      </c>
      <c r="G21" s="28">
        <v>9</v>
      </c>
      <c r="H21" s="28">
        <v>9</v>
      </c>
      <c r="I21" s="28">
        <v>9</v>
      </c>
      <c r="J21" s="28">
        <v>9</v>
      </c>
      <c r="K21" s="29"/>
      <c r="L21" s="25">
        <v>0</v>
      </c>
      <c r="M21" s="25">
        <v>1</v>
      </c>
      <c r="N21" s="25">
        <v>0</v>
      </c>
      <c r="O21" s="28">
        <v>0</v>
      </c>
      <c r="P21" s="28"/>
      <c r="Q21" s="28"/>
      <c r="R21" s="28"/>
      <c r="S21" s="28"/>
      <c r="T21"/>
      <c r="U21" s="23">
        <f t="shared" si="10"/>
        <v>1</v>
      </c>
      <c r="V21" s="1">
        <f t="shared" si="34"/>
        <v>7.6923076923076927E-2</v>
      </c>
      <c r="W21" s="11">
        <f t="shared" si="35"/>
        <v>0</v>
      </c>
      <c r="X21" s="23">
        <v>3</v>
      </c>
      <c r="Y21" s="24">
        <f t="shared" si="36"/>
        <v>7.6923076923076927E-2</v>
      </c>
      <c r="Z21" s="18">
        <v>0</v>
      </c>
      <c r="AA21" s="18">
        <v>0.3</v>
      </c>
      <c r="AB21" s="18">
        <v>0.8</v>
      </c>
      <c r="AC21" s="18">
        <v>1</v>
      </c>
      <c r="AD21" s="18"/>
      <c r="AE21" s="18"/>
      <c r="AF21" s="18"/>
      <c r="AG21" s="18"/>
      <c r="AH21" s="12"/>
      <c r="AI21" s="18">
        <f t="shared" si="11"/>
        <v>0</v>
      </c>
      <c r="AJ21" s="18">
        <f t="shared" si="12"/>
        <v>0.3</v>
      </c>
      <c r="AK21" s="18">
        <f t="shared" si="13"/>
        <v>0</v>
      </c>
      <c r="AL21" s="18">
        <f t="shared" si="14"/>
        <v>0</v>
      </c>
      <c r="AM21" s="18">
        <f t="shared" si="15"/>
        <v>0</v>
      </c>
      <c r="AN21" s="18">
        <f t="shared" si="16"/>
        <v>0</v>
      </c>
      <c r="AO21" s="18">
        <f t="shared" si="17"/>
        <v>0</v>
      </c>
      <c r="AP21" s="18">
        <f t="shared" si="18"/>
        <v>0</v>
      </c>
      <c r="AQ21" s="23"/>
      <c r="AR21" s="18">
        <f t="shared" si="19"/>
        <v>0</v>
      </c>
      <c r="AS21" s="18">
        <f t="shared" si="20"/>
        <v>0.3</v>
      </c>
      <c r="AT21" s="18">
        <f t="shared" si="21"/>
        <v>0</v>
      </c>
      <c r="AU21" s="18">
        <f t="shared" si="22"/>
        <v>0</v>
      </c>
      <c r="AV21" s="18">
        <f t="shared" si="23"/>
        <v>0</v>
      </c>
      <c r="AW21" s="18">
        <f t="shared" si="24"/>
        <v>0</v>
      </c>
      <c r="AX21" s="18">
        <f t="shared" si="25"/>
        <v>0</v>
      </c>
      <c r="AY21" s="18">
        <f t="shared" si="26"/>
        <v>0</v>
      </c>
      <c r="BA21" s="27">
        <f t="shared" si="37"/>
        <v>0</v>
      </c>
      <c r="BB21" s="27">
        <f t="shared" si="27"/>
        <v>0</v>
      </c>
      <c r="BC21" s="27">
        <f t="shared" si="28"/>
        <v>0</v>
      </c>
      <c r="BD21" s="27">
        <f t="shared" si="29"/>
        <v>0</v>
      </c>
      <c r="BE21" s="27">
        <f t="shared" si="30"/>
        <v>0</v>
      </c>
      <c r="BF21" s="27">
        <f t="shared" si="31"/>
        <v>0</v>
      </c>
      <c r="BG21" s="27">
        <f t="shared" si="32"/>
        <v>0</v>
      </c>
      <c r="BH21" s="27">
        <f t="shared" si="33"/>
        <v>0</v>
      </c>
      <c r="BI21" s="27">
        <f t="shared" si="38"/>
        <v>0</v>
      </c>
      <c r="BJ21" s="27">
        <f t="shared" si="39"/>
        <v>0</v>
      </c>
    </row>
    <row r="22" spans="1:62" s="22" customFormat="1" ht="22.5">
      <c r="A22" s="8" t="s">
        <v>13</v>
      </c>
      <c r="B22" s="21"/>
      <c r="C22" s="25">
        <v>0</v>
      </c>
      <c r="D22" s="25">
        <v>1</v>
      </c>
      <c r="E22" s="25">
        <v>0</v>
      </c>
      <c r="F22" s="28">
        <v>0</v>
      </c>
      <c r="G22" s="28">
        <v>9</v>
      </c>
      <c r="H22" s="28">
        <v>9</v>
      </c>
      <c r="I22" s="28">
        <v>9</v>
      </c>
      <c r="J22" s="28">
        <v>9</v>
      </c>
      <c r="K22" s="29"/>
      <c r="L22" s="25">
        <v>0</v>
      </c>
      <c r="M22" s="25">
        <v>0</v>
      </c>
      <c r="N22" s="25">
        <v>0</v>
      </c>
      <c r="O22" s="28">
        <v>1</v>
      </c>
      <c r="P22" s="28"/>
      <c r="Q22" s="28"/>
      <c r="R22" s="28"/>
      <c r="S22" s="28"/>
      <c r="T22"/>
      <c r="U22" s="23">
        <f t="shared" si="10"/>
        <v>0</v>
      </c>
      <c r="V22" s="1">
        <f t="shared" si="34"/>
        <v>2.3076923076923082E-2</v>
      </c>
      <c r="W22" s="11">
        <f t="shared" si="35"/>
        <v>0.7</v>
      </c>
      <c r="X22" s="23">
        <v>3</v>
      </c>
      <c r="Y22" s="24">
        <f t="shared" si="36"/>
        <v>7.6923076923076927E-2</v>
      </c>
      <c r="Z22" s="18">
        <v>0</v>
      </c>
      <c r="AA22" s="18">
        <v>0.3</v>
      </c>
      <c r="AB22" s="18">
        <v>0.8</v>
      </c>
      <c r="AC22" s="18">
        <v>1</v>
      </c>
      <c r="AD22" s="18"/>
      <c r="AE22" s="18"/>
      <c r="AF22" s="18"/>
      <c r="AG22" s="18"/>
      <c r="AH22" s="12"/>
      <c r="AI22" s="18">
        <f t="shared" si="11"/>
        <v>0</v>
      </c>
      <c r="AJ22" s="18">
        <f t="shared" si="12"/>
        <v>0.3</v>
      </c>
      <c r="AK22" s="18">
        <f t="shared" si="13"/>
        <v>0</v>
      </c>
      <c r="AL22" s="18">
        <f t="shared" si="14"/>
        <v>0</v>
      </c>
      <c r="AM22" s="18">
        <f t="shared" si="15"/>
        <v>0</v>
      </c>
      <c r="AN22" s="18">
        <f t="shared" si="16"/>
        <v>0</v>
      </c>
      <c r="AO22" s="18">
        <f t="shared" si="17"/>
        <v>0</v>
      </c>
      <c r="AP22" s="18">
        <f t="shared" si="18"/>
        <v>0</v>
      </c>
      <c r="AQ22" s="23"/>
      <c r="AR22" s="18">
        <f t="shared" si="19"/>
        <v>0</v>
      </c>
      <c r="AS22" s="18">
        <f t="shared" si="20"/>
        <v>0</v>
      </c>
      <c r="AT22" s="18">
        <f t="shared" si="21"/>
        <v>0</v>
      </c>
      <c r="AU22" s="18">
        <f t="shared" si="22"/>
        <v>1</v>
      </c>
      <c r="AV22" s="18">
        <f t="shared" si="23"/>
        <v>0</v>
      </c>
      <c r="AW22" s="18">
        <f t="shared" si="24"/>
        <v>0</v>
      </c>
      <c r="AX22" s="18">
        <f t="shared" si="25"/>
        <v>0</v>
      </c>
      <c r="AY22" s="18">
        <f t="shared" si="26"/>
        <v>0</v>
      </c>
      <c r="BA22" s="27">
        <f t="shared" si="37"/>
        <v>0</v>
      </c>
      <c r="BB22" s="27">
        <f t="shared" si="27"/>
        <v>0.3</v>
      </c>
      <c r="BC22" s="27">
        <f t="shared" si="28"/>
        <v>0</v>
      </c>
      <c r="BD22" s="27">
        <f t="shared" si="29"/>
        <v>-1</v>
      </c>
      <c r="BE22" s="27">
        <f t="shared" si="30"/>
        <v>0</v>
      </c>
      <c r="BF22" s="27">
        <f t="shared" si="31"/>
        <v>0</v>
      </c>
      <c r="BG22" s="27">
        <f t="shared" si="32"/>
        <v>0</v>
      </c>
      <c r="BH22" s="27">
        <f t="shared" si="33"/>
        <v>0</v>
      </c>
      <c r="BI22" s="27">
        <f t="shared" si="38"/>
        <v>0.7</v>
      </c>
      <c r="BJ22" s="27">
        <f t="shared" si="39"/>
        <v>5.3846153846153849E-2</v>
      </c>
    </row>
    <row r="23" spans="1:62" s="22" customFormat="1" ht="22.5">
      <c r="A23" s="8" t="s">
        <v>14</v>
      </c>
      <c r="B23" s="21"/>
      <c r="C23" s="25">
        <v>0</v>
      </c>
      <c r="D23" s="25">
        <v>0</v>
      </c>
      <c r="E23" s="25">
        <v>1</v>
      </c>
      <c r="F23" s="28">
        <v>0</v>
      </c>
      <c r="G23" s="28">
        <v>9</v>
      </c>
      <c r="H23" s="28">
        <v>9</v>
      </c>
      <c r="I23" s="28">
        <v>9</v>
      </c>
      <c r="J23" s="28">
        <v>9</v>
      </c>
      <c r="K23" s="29"/>
      <c r="L23" s="25">
        <v>0</v>
      </c>
      <c r="M23" s="25">
        <v>0</v>
      </c>
      <c r="N23" s="25">
        <v>1</v>
      </c>
      <c r="O23" s="28">
        <v>0</v>
      </c>
      <c r="P23" s="28"/>
      <c r="Q23" s="28"/>
      <c r="R23" s="28"/>
      <c r="S23" s="28"/>
      <c r="T23"/>
      <c r="U23" s="23">
        <f t="shared" si="10"/>
        <v>1</v>
      </c>
      <c r="V23" s="1">
        <f t="shared" si="34"/>
        <v>2.564102564102564E-2</v>
      </c>
      <c r="W23" s="11">
        <f t="shared" si="35"/>
        <v>0</v>
      </c>
      <c r="X23" s="23">
        <v>1</v>
      </c>
      <c r="Y23" s="24">
        <f t="shared" si="36"/>
        <v>2.564102564102564E-2</v>
      </c>
      <c r="Z23" s="18">
        <v>0</v>
      </c>
      <c r="AA23" s="18">
        <v>0.3</v>
      </c>
      <c r="AB23" s="18">
        <v>0.8</v>
      </c>
      <c r="AC23" s="18">
        <v>1</v>
      </c>
      <c r="AD23" s="18"/>
      <c r="AE23" s="18"/>
      <c r="AF23" s="18"/>
      <c r="AG23" s="18"/>
      <c r="AH23" s="12"/>
      <c r="AI23" s="18">
        <f t="shared" si="11"/>
        <v>0</v>
      </c>
      <c r="AJ23" s="18">
        <f t="shared" si="12"/>
        <v>0</v>
      </c>
      <c r="AK23" s="18">
        <f t="shared" si="13"/>
        <v>0.8</v>
      </c>
      <c r="AL23" s="18">
        <f t="shared" si="14"/>
        <v>0</v>
      </c>
      <c r="AM23" s="18">
        <f t="shared" si="15"/>
        <v>0</v>
      </c>
      <c r="AN23" s="18">
        <f t="shared" si="16"/>
        <v>0</v>
      </c>
      <c r="AO23" s="18">
        <f t="shared" si="17"/>
        <v>0</v>
      </c>
      <c r="AP23" s="18">
        <f t="shared" si="18"/>
        <v>0</v>
      </c>
      <c r="AQ23" s="23"/>
      <c r="AR23" s="18">
        <f t="shared" si="19"/>
        <v>0</v>
      </c>
      <c r="AS23" s="18">
        <f t="shared" si="20"/>
        <v>0</v>
      </c>
      <c r="AT23" s="18">
        <f t="shared" si="21"/>
        <v>0.8</v>
      </c>
      <c r="AU23" s="18">
        <f t="shared" si="22"/>
        <v>0</v>
      </c>
      <c r="AV23" s="18">
        <f t="shared" si="23"/>
        <v>0</v>
      </c>
      <c r="AW23" s="18">
        <f t="shared" si="24"/>
        <v>0</v>
      </c>
      <c r="AX23" s="18">
        <f t="shared" si="25"/>
        <v>0</v>
      </c>
      <c r="AY23" s="18">
        <f t="shared" si="26"/>
        <v>0</v>
      </c>
      <c r="BA23" s="27">
        <f t="shared" si="37"/>
        <v>0</v>
      </c>
      <c r="BB23" s="27">
        <f t="shared" si="27"/>
        <v>0</v>
      </c>
      <c r="BC23" s="27">
        <f t="shared" si="28"/>
        <v>0</v>
      </c>
      <c r="BD23" s="27">
        <f t="shared" si="29"/>
        <v>0</v>
      </c>
      <c r="BE23" s="27">
        <f t="shared" si="30"/>
        <v>0</v>
      </c>
      <c r="BF23" s="27">
        <f t="shared" si="31"/>
        <v>0</v>
      </c>
      <c r="BG23" s="27">
        <f t="shared" si="32"/>
        <v>0</v>
      </c>
      <c r="BH23" s="27">
        <f t="shared" si="33"/>
        <v>0</v>
      </c>
      <c r="BI23" s="27">
        <f t="shared" si="38"/>
        <v>0</v>
      </c>
      <c r="BJ23" s="27">
        <f t="shared" si="39"/>
        <v>0</v>
      </c>
    </row>
    <row r="24" spans="1:62" s="22" customFormat="1" ht="22.5">
      <c r="A24" s="8" t="s">
        <v>15</v>
      </c>
      <c r="B24" s="21"/>
      <c r="C24" s="25">
        <v>0</v>
      </c>
      <c r="D24" s="25">
        <v>1</v>
      </c>
      <c r="E24" s="25">
        <v>0</v>
      </c>
      <c r="F24" s="28">
        <v>0</v>
      </c>
      <c r="G24" s="28">
        <v>9</v>
      </c>
      <c r="H24" s="28">
        <v>9</v>
      </c>
      <c r="I24" s="28">
        <v>9</v>
      </c>
      <c r="J24" s="28">
        <v>9</v>
      </c>
      <c r="K24" s="29"/>
      <c r="L24" s="25">
        <v>0</v>
      </c>
      <c r="M24" s="25">
        <v>1</v>
      </c>
      <c r="N24" s="25">
        <v>0</v>
      </c>
      <c r="O24" s="28">
        <v>0</v>
      </c>
      <c r="P24" s="28"/>
      <c r="Q24" s="28"/>
      <c r="R24" s="28"/>
      <c r="S24" s="28"/>
      <c r="T24"/>
      <c r="U24" s="23">
        <f t="shared" si="10"/>
        <v>1</v>
      </c>
      <c r="V24" s="1">
        <f t="shared" si="34"/>
        <v>7.6923076923076927E-2</v>
      </c>
      <c r="W24" s="11">
        <f t="shared" si="35"/>
        <v>0</v>
      </c>
      <c r="X24" s="23">
        <v>3</v>
      </c>
      <c r="Y24" s="24">
        <f t="shared" si="36"/>
        <v>7.6923076923076927E-2</v>
      </c>
      <c r="Z24" s="18">
        <v>0</v>
      </c>
      <c r="AA24" s="18">
        <v>0.3</v>
      </c>
      <c r="AB24" s="18">
        <v>0.8</v>
      </c>
      <c r="AC24" s="18">
        <v>1</v>
      </c>
      <c r="AD24" s="18"/>
      <c r="AE24" s="18"/>
      <c r="AF24" s="18"/>
      <c r="AG24" s="18"/>
      <c r="AH24" s="12"/>
      <c r="AI24" s="18">
        <f t="shared" si="11"/>
        <v>0</v>
      </c>
      <c r="AJ24" s="18">
        <f t="shared" si="12"/>
        <v>0.3</v>
      </c>
      <c r="AK24" s="18">
        <f t="shared" si="13"/>
        <v>0</v>
      </c>
      <c r="AL24" s="18">
        <f t="shared" si="14"/>
        <v>0</v>
      </c>
      <c r="AM24" s="18">
        <f t="shared" si="15"/>
        <v>0</v>
      </c>
      <c r="AN24" s="18">
        <f t="shared" si="16"/>
        <v>0</v>
      </c>
      <c r="AO24" s="18">
        <f t="shared" si="17"/>
        <v>0</v>
      </c>
      <c r="AP24" s="18">
        <f t="shared" si="18"/>
        <v>0</v>
      </c>
      <c r="AQ24" s="23"/>
      <c r="AR24" s="18">
        <f t="shared" si="19"/>
        <v>0</v>
      </c>
      <c r="AS24" s="18">
        <f t="shared" si="20"/>
        <v>0.3</v>
      </c>
      <c r="AT24" s="18">
        <f t="shared" si="21"/>
        <v>0</v>
      </c>
      <c r="AU24" s="18">
        <f t="shared" si="22"/>
        <v>0</v>
      </c>
      <c r="AV24" s="18">
        <f t="shared" si="23"/>
        <v>0</v>
      </c>
      <c r="AW24" s="18">
        <f t="shared" si="24"/>
        <v>0</v>
      </c>
      <c r="AX24" s="18">
        <f t="shared" si="25"/>
        <v>0</v>
      </c>
      <c r="AY24" s="18">
        <f t="shared" si="26"/>
        <v>0</v>
      </c>
      <c r="BA24" s="27">
        <f t="shared" si="37"/>
        <v>0</v>
      </c>
      <c r="BB24" s="27">
        <f t="shared" si="27"/>
        <v>0</v>
      </c>
      <c r="BC24" s="27">
        <f t="shared" si="28"/>
        <v>0</v>
      </c>
      <c r="BD24" s="27">
        <f t="shared" si="29"/>
        <v>0</v>
      </c>
      <c r="BE24" s="27">
        <f t="shared" si="30"/>
        <v>0</v>
      </c>
      <c r="BF24" s="27">
        <f t="shared" si="31"/>
        <v>0</v>
      </c>
      <c r="BG24" s="27">
        <f t="shared" si="32"/>
        <v>0</v>
      </c>
      <c r="BH24" s="27">
        <f t="shared" si="33"/>
        <v>0</v>
      </c>
      <c r="BI24" s="27">
        <f t="shared" si="38"/>
        <v>0</v>
      </c>
      <c r="BJ24" s="27">
        <f t="shared" si="39"/>
        <v>0</v>
      </c>
    </row>
    <row r="25" spans="1:62" s="22" customFormat="1" ht="22.5">
      <c r="A25" s="8" t="s">
        <v>16</v>
      </c>
      <c r="B25" s="21"/>
      <c r="C25" s="25">
        <v>1</v>
      </c>
      <c r="D25" s="25">
        <v>0</v>
      </c>
      <c r="E25" s="25">
        <v>0</v>
      </c>
      <c r="F25" s="28">
        <v>0</v>
      </c>
      <c r="G25" s="28">
        <v>9</v>
      </c>
      <c r="H25" s="28">
        <v>9</v>
      </c>
      <c r="I25" s="28">
        <v>9</v>
      </c>
      <c r="J25" s="28">
        <v>9</v>
      </c>
      <c r="K25" s="29"/>
      <c r="L25" s="25">
        <v>1</v>
      </c>
      <c r="M25" s="25">
        <v>0</v>
      </c>
      <c r="N25" s="25">
        <v>0</v>
      </c>
      <c r="O25" s="28">
        <v>0</v>
      </c>
      <c r="P25" s="28"/>
      <c r="Q25" s="28"/>
      <c r="R25" s="28"/>
      <c r="S25" s="28"/>
      <c r="T25"/>
      <c r="U25" s="23">
        <f t="shared" si="10"/>
        <v>1</v>
      </c>
      <c r="V25" s="1">
        <f t="shared" si="34"/>
        <v>0.12820512820512819</v>
      </c>
      <c r="W25" s="11">
        <f t="shared" si="35"/>
        <v>0</v>
      </c>
      <c r="X25" s="23">
        <v>5</v>
      </c>
      <c r="Y25" s="24">
        <f t="shared" si="36"/>
        <v>0.12820512820512819</v>
      </c>
      <c r="Z25" s="18">
        <v>0</v>
      </c>
      <c r="AA25" s="18">
        <v>0.3</v>
      </c>
      <c r="AB25" s="18">
        <v>0.8</v>
      </c>
      <c r="AC25" s="18">
        <v>1</v>
      </c>
      <c r="AD25" s="18"/>
      <c r="AE25" s="18"/>
      <c r="AF25" s="18"/>
      <c r="AG25" s="18"/>
      <c r="AH25" s="12"/>
      <c r="AI25" s="18">
        <f t="shared" si="11"/>
        <v>0</v>
      </c>
      <c r="AJ25" s="18">
        <f t="shared" si="12"/>
        <v>0</v>
      </c>
      <c r="AK25" s="18">
        <f t="shared" si="13"/>
        <v>0</v>
      </c>
      <c r="AL25" s="18">
        <f t="shared" si="14"/>
        <v>0</v>
      </c>
      <c r="AM25" s="18">
        <f t="shared" si="15"/>
        <v>0</v>
      </c>
      <c r="AN25" s="18">
        <f t="shared" si="16"/>
        <v>0</v>
      </c>
      <c r="AO25" s="18">
        <f t="shared" si="17"/>
        <v>0</v>
      </c>
      <c r="AP25" s="18">
        <f t="shared" si="18"/>
        <v>0</v>
      </c>
      <c r="AQ25" s="23"/>
      <c r="AR25" s="18">
        <f t="shared" si="19"/>
        <v>0</v>
      </c>
      <c r="AS25" s="18">
        <f t="shared" si="20"/>
        <v>0</v>
      </c>
      <c r="AT25" s="18">
        <f t="shared" si="21"/>
        <v>0</v>
      </c>
      <c r="AU25" s="18">
        <f t="shared" si="22"/>
        <v>0</v>
      </c>
      <c r="AV25" s="18">
        <f t="shared" si="23"/>
        <v>0</v>
      </c>
      <c r="AW25" s="18">
        <f t="shared" si="24"/>
        <v>0</v>
      </c>
      <c r="AX25" s="18">
        <f t="shared" si="25"/>
        <v>0</v>
      </c>
      <c r="AY25" s="18">
        <f t="shared" si="26"/>
        <v>0</v>
      </c>
      <c r="BA25" s="27">
        <f t="shared" si="37"/>
        <v>0</v>
      </c>
      <c r="BB25" s="27">
        <f t="shared" si="27"/>
        <v>0</v>
      </c>
      <c r="BC25" s="27">
        <f t="shared" si="28"/>
        <v>0</v>
      </c>
      <c r="BD25" s="27">
        <f t="shared" si="29"/>
        <v>0</v>
      </c>
      <c r="BE25" s="27">
        <f t="shared" si="30"/>
        <v>0</v>
      </c>
      <c r="BF25" s="27">
        <f t="shared" si="31"/>
        <v>0</v>
      </c>
      <c r="BG25" s="27">
        <f t="shared" si="32"/>
        <v>0</v>
      </c>
      <c r="BH25" s="27">
        <f t="shared" si="33"/>
        <v>0</v>
      </c>
      <c r="BI25" s="27">
        <f t="shared" si="38"/>
        <v>0</v>
      </c>
      <c r="BJ25" s="27">
        <f t="shared" si="39"/>
        <v>0</v>
      </c>
    </row>
    <row r="26" spans="1:62" ht="22.5">
      <c r="A26" s="4" t="s">
        <v>0</v>
      </c>
      <c r="B26" s="7"/>
      <c r="C26" s="25">
        <v>0</v>
      </c>
      <c r="D26" s="25">
        <v>1</v>
      </c>
      <c r="E26" s="25">
        <v>9</v>
      </c>
      <c r="F26" s="28">
        <v>9</v>
      </c>
      <c r="G26" s="28">
        <v>9</v>
      </c>
      <c r="H26" s="28">
        <v>9</v>
      </c>
      <c r="I26" s="28">
        <v>9</v>
      </c>
      <c r="J26" s="28">
        <v>9</v>
      </c>
      <c r="K26" s="29"/>
      <c r="L26" s="25">
        <v>0</v>
      </c>
      <c r="M26" s="25">
        <v>1</v>
      </c>
      <c r="N26" s="25"/>
      <c r="O26" s="28"/>
      <c r="P26" s="28"/>
      <c r="Q26" s="28"/>
      <c r="R26" s="28"/>
      <c r="S26" s="28"/>
      <c r="U26" s="9">
        <f t="shared" si="10"/>
        <v>1</v>
      </c>
      <c r="V26" s="1">
        <f t="shared" si="34"/>
        <v>2.564102564102564E-2</v>
      </c>
      <c r="W26" s="11">
        <f t="shared" si="35"/>
        <v>0</v>
      </c>
      <c r="X26" s="12">
        <v>1</v>
      </c>
      <c r="Y26" s="10">
        <f t="shared" si="36"/>
        <v>2.564102564102564E-2</v>
      </c>
      <c r="Z26" s="18">
        <v>0</v>
      </c>
      <c r="AA26" s="18">
        <f>IF(M26=1,1,0)</f>
        <v>1</v>
      </c>
      <c r="AB26" s="18">
        <v>0</v>
      </c>
      <c r="AC26" s="18">
        <v>0</v>
      </c>
      <c r="AD26" s="18"/>
      <c r="AE26" s="18"/>
      <c r="AF26" s="18"/>
      <c r="AG26" s="18"/>
      <c r="AH26" s="12"/>
      <c r="AI26" s="18">
        <f t="shared" si="11"/>
        <v>0</v>
      </c>
      <c r="AJ26" s="18">
        <f t="shared" si="12"/>
        <v>1</v>
      </c>
      <c r="AK26" s="18">
        <f t="shared" si="13"/>
        <v>0</v>
      </c>
      <c r="AL26" s="18">
        <f t="shared" si="14"/>
        <v>0</v>
      </c>
      <c r="AM26" s="18">
        <f t="shared" si="15"/>
        <v>0</v>
      </c>
      <c r="AN26" s="18">
        <f t="shared" si="16"/>
        <v>0</v>
      </c>
      <c r="AO26" s="18">
        <f t="shared" si="17"/>
        <v>0</v>
      </c>
      <c r="AP26" s="18">
        <f t="shared" si="18"/>
        <v>0</v>
      </c>
      <c r="AQ26" s="9"/>
      <c r="AR26" s="18">
        <f t="shared" si="19"/>
        <v>0</v>
      </c>
      <c r="AS26" s="18">
        <f t="shared" si="20"/>
        <v>1</v>
      </c>
      <c r="AT26" s="18">
        <f t="shared" si="21"/>
        <v>0</v>
      </c>
      <c r="AU26" s="18">
        <f t="shared" si="22"/>
        <v>0</v>
      </c>
      <c r="AV26" s="18">
        <f t="shared" si="23"/>
        <v>0</v>
      </c>
      <c r="AW26" s="18">
        <f t="shared" si="24"/>
        <v>0</v>
      </c>
      <c r="AX26" s="18">
        <f t="shared" si="25"/>
        <v>0</v>
      </c>
      <c r="AY26" s="18">
        <f t="shared" si="26"/>
        <v>0</v>
      </c>
      <c r="BA26" s="27">
        <f t="shared" si="37"/>
        <v>0</v>
      </c>
      <c r="BB26" s="27">
        <f t="shared" si="27"/>
        <v>0</v>
      </c>
      <c r="BC26" s="27">
        <f t="shared" si="28"/>
        <v>0</v>
      </c>
      <c r="BD26" s="27">
        <f t="shared" si="29"/>
        <v>0</v>
      </c>
      <c r="BE26" s="27">
        <f t="shared" si="30"/>
        <v>0</v>
      </c>
      <c r="BF26" s="27">
        <f t="shared" si="31"/>
        <v>0</v>
      </c>
      <c r="BG26" s="27">
        <f t="shared" si="32"/>
        <v>0</v>
      </c>
      <c r="BH26" s="27">
        <f t="shared" si="33"/>
        <v>0</v>
      </c>
      <c r="BI26" s="27">
        <f t="shared" si="38"/>
        <v>0</v>
      </c>
      <c r="BJ26" s="27">
        <f t="shared" si="39"/>
        <v>0</v>
      </c>
    </row>
    <row r="27" spans="1:62" ht="22.5">
      <c r="A27" s="5" t="s">
        <v>1</v>
      </c>
      <c r="B27" s="7"/>
      <c r="C27" s="25">
        <v>9</v>
      </c>
      <c r="D27" s="25">
        <v>9</v>
      </c>
      <c r="E27" s="25">
        <v>9</v>
      </c>
      <c r="F27" s="25">
        <v>9</v>
      </c>
      <c r="G27" s="25">
        <v>0</v>
      </c>
      <c r="H27" s="25">
        <v>1</v>
      </c>
      <c r="I27" s="28">
        <v>9</v>
      </c>
      <c r="J27" s="28">
        <v>9</v>
      </c>
      <c r="K27" s="29"/>
      <c r="L27" s="25"/>
      <c r="M27" s="25"/>
      <c r="N27" s="25"/>
      <c r="O27" s="25"/>
      <c r="P27" s="25">
        <v>0</v>
      </c>
      <c r="Q27" s="25">
        <v>1</v>
      </c>
      <c r="R27" s="28"/>
      <c r="S27" s="28"/>
      <c r="U27" s="9">
        <f t="shared" si="10"/>
        <v>1</v>
      </c>
      <c r="V27" s="1">
        <f t="shared" si="34"/>
        <v>2.564102564102564E-2</v>
      </c>
      <c r="W27" s="11">
        <f t="shared" si="35"/>
        <v>0</v>
      </c>
      <c r="X27" s="12">
        <v>1</v>
      </c>
      <c r="Y27" s="10">
        <f t="shared" si="36"/>
        <v>2.564102564102564E-2</v>
      </c>
      <c r="Z27" s="18"/>
      <c r="AA27" s="18"/>
      <c r="AB27" s="18"/>
      <c r="AC27" s="18"/>
      <c r="AD27" s="18">
        <v>0</v>
      </c>
      <c r="AE27" s="18">
        <v>1</v>
      </c>
      <c r="AF27" s="18"/>
      <c r="AG27" s="18"/>
      <c r="AH27" s="12"/>
      <c r="AI27" s="18">
        <f t="shared" si="11"/>
        <v>0</v>
      </c>
      <c r="AJ27" s="18">
        <f t="shared" si="12"/>
        <v>0</v>
      </c>
      <c r="AK27" s="18">
        <f t="shared" si="13"/>
        <v>0</v>
      </c>
      <c r="AL27" s="18">
        <f t="shared" si="14"/>
        <v>0</v>
      </c>
      <c r="AM27" s="18">
        <f t="shared" si="15"/>
        <v>0</v>
      </c>
      <c r="AN27" s="18">
        <f t="shared" si="16"/>
        <v>1</v>
      </c>
      <c r="AO27" s="18">
        <f t="shared" si="17"/>
        <v>0</v>
      </c>
      <c r="AP27" s="18">
        <f t="shared" si="18"/>
        <v>0</v>
      </c>
      <c r="AQ27" s="9"/>
      <c r="AR27" s="18">
        <f t="shared" si="19"/>
        <v>0</v>
      </c>
      <c r="AS27" s="18">
        <f t="shared" si="20"/>
        <v>0</v>
      </c>
      <c r="AT27" s="18">
        <f t="shared" si="21"/>
        <v>0</v>
      </c>
      <c r="AU27" s="18">
        <f t="shared" si="22"/>
        <v>0</v>
      </c>
      <c r="AV27" s="18">
        <f t="shared" si="23"/>
        <v>0</v>
      </c>
      <c r="AW27" s="18">
        <f t="shared" si="24"/>
        <v>1</v>
      </c>
      <c r="AX27" s="18">
        <f t="shared" si="25"/>
        <v>0</v>
      </c>
      <c r="AY27" s="18">
        <f t="shared" si="26"/>
        <v>0</v>
      </c>
      <c r="BA27" s="27">
        <f t="shared" si="37"/>
        <v>0</v>
      </c>
      <c r="BB27" s="27">
        <f t="shared" si="27"/>
        <v>0</v>
      </c>
      <c r="BC27" s="27">
        <f t="shared" si="28"/>
        <v>0</v>
      </c>
      <c r="BD27" s="27">
        <f t="shared" si="29"/>
        <v>0</v>
      </c>
      <c r="BE27" s="27">
        <f t="shared" si="30"/>
        <v>0</v>
      </c>
      <c r="BF27" s="27">
        <f t="shared" si="31"/>
        <v>0</v>
      </c>
      <c r="BG27" s="27">
        <f t="shared" si="32"/>
        <v>0</v>
      </c>
      <c r="BH27" s="27">
        <f t="shared" si="33"/>
        <v>0</v>
      </c>
      <c r="BI27" s="27">
        <f t="shared" si="38"/>
        <v>0</v>
      </c>
      <c r="BJ27" s="27">
        <f t="shared" si="39"/>
        <v>0</v>
      </c>
    </row>
    <row r="28" spans="1:62" ht="22.5">
      <c r="A28" s="5" t="s">
        <v>21</v>
      </c>
      <c r="B28" s="7"/>
      <c r="C28" s="25">
        <v>9</v>
      </c>
      <c r="D28" s="25">
        <v>9</v>
      </c>
      <c r="E28" s="25">
        <v>9</v>
      </c>
      <c r="F28" s="25">
        <v>9</v>
      </c>
      <c r="G28" s="25">
        <v>1</v>
      </c>
      <c r="H28" s="25">
        <v>0</v>
      </c>
      <c r="I28" s="28">
        <v>9</v>
      </c>
      <c r="J28" s="28">
        <v>9</v>
      </c>
      <c r="K28" s="29"/>
      <c r="L28" s="25"/>
      <c r="M28" s="25"/>
      <c r="N28" s="25"/>
      <c r="O28" s="25"/>
      <c r="P28" s="25">
        <v>0</v>
      </c>
      <c r="Q28" s="25">
        <v>1</v>
      </c>
      <c r="R28" s="28"/>
      <c r="S28" s="28"/>
      <c r="U28" s="9">
        <f t="shared" si="10"/>
        <v>0</v>
      </c>
      <c r="V28" s="1">
        <f t="shared" si="34"/>
        <v>0</v>
      </c>
      <c r="W28" s="11">
        <f t="shared" si="35"/>
        <v>1</v>
      </c>
      <c r="X28" s="12">
        <v>3</v>
      </c>
      <c r="Y28" s="10">
        <f t="shared" si="36"/>
        <v>7.6923076923076927E-2</v>
      </c>
      <c r="Z28" s="18"/>
      <c r="AA28" s="18"/>
      <c r="AB28" s="18"/>
      <c r="AC28" s="18"/>
      <c r="AD28" s="18">
        <v>0</v>
      </c>
      <c r="AE28" s="18">
        <v>1</v>
      </c>
      <c r="AF28" s="18"/>
      <c r="AG28" s="18"/>
      <c r="AH28" s="12"/>
      <c r="AI28" s="18">
        <f t="shared" si="11"/>
        <v>0</v>
      </c>
      <c r="AJ28" s="18">
        <f t="shared" si="12"/>
        <v>0</v>
      </c>
      <c r="AK28" s="18">
        <f t="shared" si="13"/>
        <v>0</v>
      </c>
      <c r="AL28" s="18">
        <f t="shared" si="14"/>
        <v>0</v>
      </c>
      <c r="AM28" s="18">
        <f t="shared" si="15"/>
        <v>0</v>
      </c>
      <c r="AN28" s="18">
        <f t="shared" si="16"/>
        <v>0</v>
      </c>
      <c r="AO28" s="18">
        <f t="shared" si="17"/>
        <v>0</v>
      </c>
      <c r="AP28" s="18">
        <f t="shared" si="18"/>
        <v>0</v>
      </c>
      <c r="AQ28" s="9"/>
      <c r="AR28" s="18">
        <f t="shared" si="19"/>
        <v>0</v>
      </c>
      <c r="AS28" s="18">
        <f t="shared" si="20"/>
        <v>0</v>
      </c>
      <c r="AT28" s="18">
        <f t="shared" si="21"/>
        <v>0</v>
      </c>
      <c r="AU28" s="18">
        <f t="shared" si="22"/>
        <v>0</v>
      </c>
      <c r="AV28" s="18">
        <f t="shared" si="23"/>
        <v>0</v>
      </c>
      <c r="AW28" s="18">
        <f t="shared" si="24"/>
        <v>1</v>
      </c>
      <c r="AX28" s="18">
        <f t="shared" si="25"/>
        <v>0</v>
      </c>
      <c r="AY28" s="18">
        <f t="shared" si="26"/>
        <v>0</v>
      </c>
      <c r="BA28" s="27">
        <f t="shared" si="37"/>
        <v>0</v>
      </c>
      <c r="BB28" s="27">
        <f t="shared" si="27"/>
        <v>0</v>
      </c>
      <c r="BC28" s="27">
        <f t="shared" si="28"/>
        <v>0</v>
      </c>
      <c r="BD28" s="27">
        <f t="shared" si="29"/>
        <v>0</v>
      </c>
      <c r="BE28" s="27">
        <f t="shared" si="30"/>
        <v>0</v>
      </c>
      <c r="BF28" s="27">
        <f t="shared" si="31"/>
        <v>-1</v>
      </c>
      <c r="BG28" s="27">
        <f t="shared" si="32"/>
        <v>0</v>
      </c>
      <c r="BH28" s="27">
        <f t="shared" si="33"/>
        <v>0</v>
      </c>
      <c r="BI28" s="27">
        <f t="shared" si="38"/>
        <v>1</v>
      </c>
      <c r="BJ28" s="27">
        <f t="shared" si="39"/>
        <v>7.6923076923076927E-2</v>
      </c>
    </row>
    <row r="29" spans="1:62" ht="22.5">
      <c r="A29" s="5" t="s">
        <v>2</v>
      </c>
      <c r="B29" s="7"/>
      <c r="C29" s="25">
        <v>9</v>
      </c>
      <c r="D29" s="25">
        <v>9</v>
      </c>
      <c r="E29" s="25">
        <v>9</v>
      </c>
      <c r="F29" s="25">
        <v>9</v>
      </c>
      <c r="G29" s="25">
        <v>0</v>
      </c>
      <c r="H29" s="25">
        <v>1</v>
      </c>
      <c r="I29" s="28">
        <v>9</v>
      </c>
      <c r="J29" s="28">
        <v>9</v>
      </c>
      <c r="K29" s="29"/>
      <c r="L29" s="25"/>
      <c r="M29" s="25"/>
      <c r="N29" s="25"/>
      <c r="O29" s="25"/>
      <c r="P29" s="25">
        <v>0</v>
      </c>
      <c r="Q29" s="25">
        <v>1</v>
      </c>
      <c r="R29" s="28"/>
      <c r="S29" s="28"/>
      <c r="U29" s="9">
        <f t="shared" si="10"/>
        <v>1</v>
      </c>
      <c r="V29" s="1">
        <f t="shared" si="34"/>
        <v>2.564102564102564E-2</v>
      </c>
      <c r="W29" s="11">
        <f t="shared" si="35"/>
        <v>0</v>
      </c>
      <c r="X29" s="12">
        <v>1</v>
      </c>
      <c r="Y29" s="10">
        <f t="shared" si="36"/>
        <v>2.564102564102564E-2</v>
      </c>
      <c r="Z29" s="18"/>
      <c r="AA29" s="18"/>
      <c r="AB29" s="18"/>
      <c r="AC29" s="18"/>
      <c r="AD29" s="18">
        <v>0</v>
      </c>
      <c r="AE29" s="18">
        <v>1</v>
      </c>
      <c r="AF29" s="18"/>
      <c r="AG29" s="18"/>
      <c r="AH29" s="12"/>
      <c r="AI29" s="18">
        <f t="shared" si="11"/>
        <v>0</v>
      </c>
      <c r="AJ29" s="18">
        <f t="shared" si="12"/>
        <v>0</v>
      </c>
      <c r="AK29" s="18">
        <f t="shared" si="13"/>
        <v>0</v>
      </c>
      <c r="AL29" s="18">
        <f t="shared" si="14"/>
        <v>0</v>
      </c>
      <c r="AM29" s="18">
        <f t="shared" si="15"/>
        <v>0</v>
      </c>
      <c r="AN29" s="18">
        <f t="shared" si="16"/>
        <v>1</v>
      </c>
      <c r="AO29" s="18">
        <f t="shared" si="17"/>
        <v>0</v>
      </c>
      <c r="AP29" s="18">
        <f t="shared" si="18"/>
        <v>0</v>
      </c>
      <c r="AQ29" s="9"/>
      <c r="AR29" s="18">
        <f t="shared" si="19"/>
        <v>0</v>
      </c>
      <c r="AS29" s="18">
        <f t="shared" si="20"/>
        <v>0</v>
      </c>
      <c r="AT29" s="18">
        <f t="shared" si="21"/>
        <v>0</v>
      </c>
      <c r="AU29" s="18">
        <f t="shared" si="22"/>
        <v>0</v>
      </c>
      <c r="AV29" s="18">
        <f t="shared" si="23"/>
        <v>0</v>
      </c>
      <c r="AW29" s="18">
        <f t="shared" si="24"/>
        <v>1</v>
      </c>
      <c r="AX29" s="18">
        <f t="shared" si="25"/>
        <v>0</v>
      </c>
      <c r="AY29" s="18">
        <f t="shared" si="26"/>
        <v>0</v>
      </c>
      <c r="BA29" s="27">
        <f t="shared" si="37"/>
        <v>0</v>
      </c>
      <c r="BB29" s="27">
        <f t="shared" si="27"/>
        <v>0</v>
      </c>
      <c r="BC29" s="27">
        <f t="shared" si="28"/>
        <v>0</v>
      </c>
      <c r="BD29" s="27">
        <f t="shared" si="29"/>
        <v>0</v>
      </c>
      <c r="BE29" s="27">
        <f t="shared" si="30"/>
        <v>0</v>
      </c>
      <c r="BF29" s="27">
        <f t="shared" si="31"/>
        <v>0</v>
      </c>
      <c r="BG29" s="27">
        <f t="shared" si="32"/>
        <v>0</v>
      </c>
      <c r="BH29" s="27">
        <f t="shared" si="33"/>
        <v>0</v>
      </c>
      <c r="BI29" s="27">
        <f t="shared" si="38"/>
        <v>0</v>
      </c>
      <c r="BJ29" s="27">
        <f t="shared" si="39"/>
        <v>0</v>
      </c>
    </row>
    <row r="30" spans="1:62" ht="22.5">
      <c r="A30" s="5" t="s">
        <v>3</v>
      </c>
      <c r="B30" s="7"/>
      <c r="C30" s="25">
        <v>9</v>
      </c>
      <c r="D30" s="25">
        <v>9</v>
      </c>
      <c r="E30" s="25">
        <v>9</v>
      </c>
      <c r="F30" s="25">
        <v>9</v>
      </c>
      <c r="G30" s="25">
        <v>0</v>
      </c>
      <c r="H30" s="25">
        <v>1</v>
      </c>
      <c r="I30" s="28">
        <v>9</v>
      </c>
      <c r="J30" s="28">
        <v>9</v>
      </c>
      <c r="K30" s="29"/>
      <c r="L30" s="25"/>
      <c r="M30" s="25"/>
      <c r="N30" s="25"/>
      <c r="O30" s="25"/>
      <c r="P30" s="25">
        <v>0</v>
      </c>
      <c r="Q30" s="25">
        <v>1</v>
      </c>
      <c r="R30" s="28"/>
      <c r="S30" s="28"/>
      <c r="U30" s="9">
        <f t="shared" si="10"/>
        <v>1</v>
      </c>
      <c r="V30" s="1">
        <f>(1-W30)*Y30</f>
        <v>2.564102564102564E-2</v>
      </c>
      <c r="W30" s="11">
        <f t="shared" si="35"/>
        <v>0</v>
      </c>
      <c r="X30" s="12">
        <v>1</v>
      </c>
      <c r="Y30" s="10">
        <f t="shared" si="36"/>
        <v>2.564102564102564E-2</v>
      </c>
      <c r="Z30" s="18"/>
      <c r="AA30" s="18"/>
      <c r="AB30" s="18"/>
      <c r="AC30" s="18"/>
      <c r="AD30" s="18">
        <v>0</v>
      </c>
      <c r="AE30" s="18">
        <v>1</v>
      </c>
      <c r="AF30" s="18"/>
      <c r="AG30" s="18"/>
      <c r="AH30" s="12"/>
      <c r="AI30" s="18">
        <f t="shared" si="11"/>
        <v>0</v>
      </c>
      <c r="AJ30" s="18">
        <f t="shared" si="12"/>
        <v>0</v>
      </c>
      <c r="AK30" s="18">
        <f t="shared" si="13"/>
        <v>0</v>
      </c>
      <c r="AL30" s="18">
        <f t="shared" si="14"/>
        <v>0</v>
      </c>
      <c r="AM30" s="18">
        <f t="shared" si="15"/>
        <v>0</v>
      </c>
      <c r="AN30" s="18">
        <f t="shared" si="16"/>
        <v>1</v>
      </c>
      <c r="AO30" s="18">
        <f t="shared" si="17"/>
        <v>0</v>
      </c>
      <c r="AP30" s="18">
        <f t="shared" si="18"/>
        <v>0</v>
      </c>
      <c r="AQ30" s="9"/>
      <c r="AR30" s="18">
        <f t="shared" si="19"/>
        <v>0</v>
      </c>
      <c r="AS30" s="18">
        <f t="shared" si="20"/>
        <v>0</v>
      </c>
      <c r="AT30" s="18">
        <f t="shared" si="21"/>
        <v>0</v>
      </c>
      <c r="AU30" s="18">
        <f t="shared" si="22"/>
        <v>0</v>
      </c>
      <c r="AV30" s="18">
        <f t="shared" si="23"/>
        <v>0</v>
      </c>
      <c r="AW30" s="18">
        <f t="shared" si="24"/>
        <v>1</v>
      </c>
      <c r="AX30" s="18">
        <f t="shared" si="25"/>
        <v>0</v>
      </c>
      <c r="AY30" s="18">
        <f t="shared" si="26"/>
        <v>0</v>
      </c>
      <c r="BA30" s="27">
        <f t="shared" si="37"/>
        <v>0</v>
      </c>
      <c r="BB30" s="27">
        <f t="shared" si="27"/>
        <v>0</v>
      </c>
      <c r="BC30" s="27">
        <f t="shared" si="28"/>
        <v>0</v>
      </c>
      <c r="BD30" s="27">
        <f t="shared" si="29"/>
        <v>0</v>
      </c>
      <c r="BE30" s="27">
        <f t="shared" si="30"/>
        <v>0</v>
      </c>
      <c r="BF30" s="27">
        <f t="shared" si="31"/>
        <v>0</v>
      </c>
      <c r="BG30" s="27">
        <f t="shared" si="32"/>
        <v>0</v>
      </c>
      <c r="BH30" s="27">
        <f t="shared" si="33"/>
        <v>0</v>
      </c>
      <c r="BI30" s="27">
        <f t="shared" si="38"/>
        <v>0</v>
      </c>
      <c r="BJ30" s="27">
        <f t="shared" si="39"/>
        <v>0</v>
      </c>
    </row>
    <row r="31" spans="1:62" ht="22.5">
      <c r="A31" s="8" t="s">
        <v>4</v>
      </c>
      <c r="B31" s="7"/>
      <c r="C31" s="25">
        <v>9</v>
      </c>
      <c r="D31" s="25">
        <v>9</v>
      </c>
      <c r="E31" s="25">
        <v>9</v>
      </c>
      <c r="F31" s="25">
        <v>9</v>
      </c>
      <c r="G31" s="25">
        <v>9</v>
      </c>
      <c r="H31" s="25">
        <v>9</v>
      </c>
      <c r="I31" s="25">
        <v>0</v>
      </c>
      <c r="J31" s="25">
        <v>1</v>
      </c>
      <c r="K31" s="29"/>
      <c r="L31" s="25"/>
      <c r="M31" s="25"/>
      <c r="N31" s="25"/>
      <c r="O31" s="25"/>
      <c r="P31" s="25"/>
      <c r="Q31" s="25"/>
      <c r="R31" s="25">
        <v>0</v>
      </c>
      <c r="S31" s="25">
        <v>1</v>
      </c>
      <c r="U31" s="9">
        <f t="shared" si="10"/>
        <v>1</v>
      </c>
      <c r="V31" s="1">
        <f t="shared" ref="V31:V34" si="40">(1-W31)*Y31</f>
        <v>2.564102564102564E-2</v>
      </c>
      <c r="W31" s="11">
        <f t="shared" si="35"/>
        <v>0</v>
      </c>
      <c r="X31" s="12">
        <v>1</v>
      </c>
      <c r="Y31" s="10">
        <f t="shared" si="36"/>
        <v>2.564102564102564E-2</v>
      </c>
      <c r="Z31" s="18"/>
      <c r="AA31" s="18"/>
      <c r="AB31" s="18"/>
      <c r="AC31" s="18"/>
      <c r="AD31" s="18"/>
      <c r="AE31" s="18"/>
      <c r="AF31" s="18">
        <v>0</v>
      </c>
      <c r="AG31" s="18">
        <v>1</v>
      </c>
      <c r="AH31" s="12"/>
      <c r="AI31" s="18">
        <f t="shared" si="11"/>
        <v>0</v>
      </c>
      <c r="AJ31" s="18">
        <f t="shared" si="12"/>
        <v>0</v>
      </c>
      <c r="AK31" s="18">
        <f t="shared" si="13"/>
        <v>0</v>
      </c>
      <c r="AL31" s="18">
        <f t="shared" si="14"/>
        <v>0</v>
      </c>
      <c r="AM31" s="18">
        <f t="shared" si="15"/>
        <v>0</v>
      </c>
      <c r="AN31" s="18">
        <f t="shared" si="16"/>
        <v>0</v>
      </c>
      <c r="AO31" s="18">
        <f t="shared" si="17"/>
        <v>0</v>
      </c>
      <c r="AP31" s="18">
        <f t="shared" si="18"/>
        <v>1</v>
      </c>
      <c r="AQ31" s="9"/>
      <c r="AR31" s="18">
        <f t="shared" si="19"/>
        <v>0</v>
      </c>
      <c r="AS31" s="18">
        <f t="shared" si="20"/>
        <v>0</v>
      </c>
      <c r="AT31" s="18">
        <f t="shared" si="21"/>
        <v>0</v>
      </c>
      <c r="AU31" s="18">
        <f t="shared" si="22"/>
        <v>0</v>
      </c>
      <c r="AV31" s="18">
        <f t="shared" si="23"/>
        <v>0</v>
      </c>
      <c r="AW31" s="18">
        <f t="shared" si="24"/>
        <v>0</v>
      </c>
      <c r="AX31" s="18">
        <f t="shared" si="25"/>
        <v>0</v>
      </c>
      <c r="AY31" s="18">
        <f t="shared" si="26"/>
        <v>1</v>
      </c>
      <c r="BA31" s="27">
        <f t="shared" si="37"/>
        <v>0</v>
      </c>
      <c r="BB31" s="27">
        <f t="shared" si="27"/>
        <v>0</v>
      </c>
      <c r="BC31" s="27">
        <f t="shared" si="28"/>
        <v>0</v>
      </c>
      <c r="BD31" s="27">
        <f t="shared" si="29"/>
        <v>0</v>
      </c>
      <c r="BE31" s="27">
        <f t="shared" si="30"/>
        <v>0</v>
      </c>
      <c r="BF31" s="27">
        <f t="shared" si="31"/>
        <v>0</v>
      </c>
      <c r="BG31" s="27">
        <f t="shared" si="32"/>
        <v>0</v>
      </c>
      <c r="BH31" s="27">
        <f t="shared" si="33"/>
        <v>0</v>
      </c>
      <c r="BI31" s="27">
        <f t="shared" si="38"/>
        <v>0</v>
      </c>
      <c r="BJ31" s="27">
        <f t="shared" si="39"/>
        <v>0</v>
      </c>
    </row>
    <row r="32" spans="1:62" ht="22.5">
      <c r="A32" s="8" t="s">
        <v>22</v>
      </c>
      <c r="B32" s="7"/>
      <c r="C32" s="25">
        <v>9</v>
      </c>
      <c r="D32" s="25">
        <v>9</v>
      </c>
      <c r="E32" s="25">
        <v>9</v>
      </c>
      <c r="F32" s="25">
        <v>9</v>
      </c>
      <c r="G32" s="25">
        <v>9</v>
      </c>
      <c r="H32" s="25">
        <v>9</v>
      </c>
      <c r="I32" s="25">
        <v>0</v>
      </c>
      <c r="J32" s="25">
        <v>1</v>
      </c>
      <c r="K32" s="29"/>
      <c r="L32" s="25"/>
      <c r="M32" s="25"/>
      <c r="N32" s="25"/>
      <c r="O32" s="25"/>
      <c r="P32" s="25"/>
      <c r="Q32" s="25"/>
      <c r="R32" s="25">
        <v>0</v>
      </c>
      <c r="S32" s="25">
        <v>1</v>
      </c>
      <c r="U32" s="9">
        <f t="shared" si="10"/>
        <v>1</v>
      </c>
      <c r="V32" s="1">
        <f t="shared" si="40"/>
        <v>2.564102564102564E-2</v>
      </c>
      <c r="W32" s="11">
        <f t="shared" si="35"/>
        <v>0</v>
      </c>
      <c r="X32" s="12">
        <v>1</v>
      </c>
      <c r="Y32" s="10">
        <f t="shared" si="36"/>
        <v>2.564102564102564E-2</v>
      </c>
      <c r="Z32" s="18"/>
      <c r="AA32" s="18"/>
      <c r="AB32" s="18"/>
      <c r="AC32" s="18"/>
      <c r="AD32" s="18"/>
      <c r="AE32" s="18"/>
      <c r="AF32" s="18">
        <v>0</v>
      </c>
      <c r="AG32" s="18">
        <v>1</v>
      </c>
      <c r="AH32" s="12"/>
      <c r="AI32" s="18">
        <f t="shared" si="11"/>
        <v>0</v>
      </c>
      <c r="AJ32" s="18">
        <f t="shared" si="12"/>
        <v>0</v>
      </c>
      <c r="AK32" s="18">
        <f t="shared" si="13"/>
        <v>0</v>
      </c>
      <c r="AL32" s="18">
        <f t="shared" si="14"/>
        <v>0</v>
      </c>
      <c r="AM32" s="18">
        <f t="shared" si="15"/>
        <v>0</v>
      </c>
      <c r="AN32" s="18">
        <f t="shared" si="16"/>
        <v>0</v>
      </c>
      <c r="AO32" s="18">
        <f t="shared" si="17"/>
        <v>0</v>
      </c>
      <c r="AP32" s="18">
        <f t="shared" si="18"/>
        <v>1</v>
      </c>
      <c r="AQ32" s="9"/>
      <c r="AR32" s="18">
        <f t="shared" si="19"/>
        <v>0</v>
      </c>
      <c r="AS32" s="18">
        <f t="shared" si="20"/>
        <v>0</v>
      </c>
      <c r="AT32" s="18">
        <f t="shared" si="21"/>
        <v>0</v>
      </c>
      <c r="AU32" s="18">
        <f t="shared" si="22"/>
        <v>0</v>
      </c>
      <c r="AV32" s="18">
        <f t="shared" si="23"/>
        <v>0</v>
      </c>
      <c r="AW32" s="18">
        <f t="shared" si="24"/>
        <v>0</v>
      </c>
      <c r="AX32" s="18">
        <f t="shared" si="25"/>
        <v>0</v>
      </c>
      <c r="AY32" s="18">
        <f t="shared" si="26"/>
        <v>1</v>
      </c>
      <c r="BA32" s="27">
        <f t="shared" si="37"/>
        <v>0</v>
      </c>
      <c r="BB32" s="27">
        <f t="shared" si="27"/>
        <v>0</v>
      </c>
      <c r="BC32" s="27">
        <f t="shared" si="28"/>
        <v>0</v>
      </c>
      <c r="BD32" s="27">
        <f t="shared" si="29"/>
        <v>0</v>
      </c>
      <c r="BE32" s="27">
        <f t="shared" si="30"/>
        <v>0</v>
      </c>
      <c r="BF32" s="27">
        <f t="shared" si="31"/>
        <v>0</v>
      </c>
      <c r="BG32" s="27">
        <f t="shared" si="32"/>
        <v>0</v>
      </c>
      <c r="BH32" s="27">
        <f t="shared" si="33"/>
        <v>0</v>
      </c>
      <c r="BI32" s="27">
        <f t="shared" si="38"/>
        <v>0</v>
      </c>
      <c r="BJ32" s="27">
        <f t="shared" si="39"/>
        <v>0</v>
      </c>
    </row>
    <row r="33" spans="1:62" ht="22.5">
      <c r="A33" s="8" t="s">
        <v>23</v>
      </c>
      <c r="B33" s="7"/>
      <c r="C33" s="25">
        <v>9</v>
      </c>
      <c r="D33" s="25">
        <v>9</v>
      </c>
      <c r="E33" s="25">
        <v>9</v>
      </c>
      <c r="F33" s="25">
        <v>9</v>
      </c>
      <c r="G33" s="25">
        <v>9</v>
      </c>
      <c r="H33" s="25">
        <v>9</v>
      </c>
      <c r="I33" s="25">
        <v>1</v>
      </c>
      <c r="J33" s="25">
        <v>0</v>
      </c>
      <c r="K33" s="29"/>
      <c r="L33" s="25"/>
      <c r="M33" s="25"/>
      <c r="N33" s="25"/>
      <c r="O33" s="25"/>
      <c r="P33" s="25"/>
      <c r="Q33" s="25"/>
      <c r="R33" s="25">
        <v>0</v>
      </c>
      <c r="S33" s="25">
        <v>1</v>
      </c>
      <c r="U33" s="9">
        <f>IF(MATCH(1,C33:J33,0)=MATCH(1,L33:S33,0),1,0)</f>
        <v>0</v>
      </c>
      <c r="V33" s="1">
        <f t="shared" si="40"/>
        <v>0</v>
      </c>
      <c r="W33" s="11">
        <f>BI33</f>
        <v>1</v>
      </c>
      <c r="X33" s="12">
        <v>5</v>
      </c>
      <c r="Y33" s="10">
        <f t="shared" si="36"/>
        <v>0.12820512820512819</v>
      </c>
      <c r="Z33" s="18"/>
      <c r="AA33" s="18"/>
      <c r="AB33" s="18"/>
      <c r="AC33" s="18"/>
      <c r="AD33" s="18"/>
      <c r="AE33" s="18"/>
      <c r="AF33" s="18">
        <v>0</v>
      </c>
      <c r="AG33" s="18">
        <v>1</v>
      </c>
      <c r="AI33" s="18">
        <f t="shared" si="11"/>
        <v>0</v>
      </c>
      <c r="AJ33" s="18">
        <f t="shared" si="12"/>
        <v>0</v>
      </c>
      <c r="AK33" s="18">
        <f t="shared" si="13"/>
        <v>0</v>
      </c>
      <c r="AL33" s="18">
        <f t="shared" si="14"/>
        <v>0</v>
      </c>
      <c r="AM33" s="18">
        <f t="shared" si="15"/>
        <v>0</v>
      </c>
      <c r="AN33" s="18">
        <f t="shared" si="16"/>
        <v>0</v>
      </c>
      <c r="AO33" s="18">
        <f t="shared" si="17"/>
        <v>0</v>
      </c>
      <c r="AP33" s="18">
        <f t="shared" si="18"/>
        <v>0</v>
      </c>
      <c r="AQ33" s="9" t="s">
        <v>24</v>
      </c>
      <c r="AR33" s="18">
        <f t="shared" si="19"/>
        <v>0</v>
      </c>
      <c r="AS33" s="18">
        <f t="shared" si="20"/>
        <v>0</v>
      </c>
      <c r="AT33" s="18">
        <f t="shared" si="21"/>
        <v>0</v>
      </c>
      <c r="AU33" s="18">
        <f t="shared" si="22"/>
        <v>0</v>
      </c>
      <c r="AV33" s="18"/>
      <c r="AW33" s="18">
        <f t="shared" si="24"/>
        <v>0</v>
      </c>
      <c r="AX33" s="18">
        <f t="shared" si="25"/>
        <v>0</v>
      </c>
      <c r="AY33" s="18">
        <f t="shared" si="26"/>
        <v>1</v>
      </c>
      <c r="BA33" s="27">
        <f t="shared" si="37"/>
        <v>0</v>
      </c>
      <c r="BB33" s="27">
        <f t="shared" si="27"/>
        <v>0</v>
      </c>
      <c r="BC33" s="27">
        <f t="shared" si="28"/>
        <v>0</v>
      </c>
      <c r="BD33" s="27">
        <f t="shared" si="29"/>
        <v>0</v>
      </c>
      <c r="BE33" s="27">
        <f t="shared" si="30"/>
        <v>0</v>
      </c>
      <c r="BF33" s="27">
        <f t="shared" si="31"/>
        <v>0</v>
      </c>
      <c r="BG33" s="27">
        <f t="shared" si="32"/>
        <v>0</v>
      </c>
      <c r="BH33" s="27">
        <f t="shared" si="33"/>
        <v>-1</v>
      </c>
      <c r="BI33" s="27">
        <f t="shared" si="38"/>
        <v>1</v>
      </c>
      <c r="BJ33" s="27">
        <f t="shared" si="39"/>
        <v>0.12820512820512819</v>
      </c>
    </row>
    <row r="34" spans="1:62" ht="22.5">
      <c r="A34" s="14" t="s">
        <v>5</v>
      </c>
      <c r="B34" s="7"/>
      <c r="C34" s="25">
        <v>9</v>
      </c>
      <c r="D34" s="25">
        <v>9</v>
      </c>
      <c r="E34" s="25">
        <v>9</v>
      </c>
      <c r="F34" s="25">
        <v>9</v>
      </c>
      <c r="G34" s="25">
        <v>9</v>
      </c>
      <c r="H34" s="25">
        <v>9</v>
      </c>
      <c r="I34" s="25">
        <v>0</v>
      </c>
      <c r="J34" s="25">
        <v>1</v>
      </c>
      <c r="K34" s="29"/>
      <c r="L34" s="25"/>
      <c r="M34" s="25"/>
      <c r="N34" s="25"/>
      <c r="O34" s="25"/>
      <c r="P34" s="25"/>
      <c r="Q34" s="25"/>
      <c r="R34" s="25">
        <v>1</v>
      </c>
      <c r="S34" s="25">
        <v>0</v>
      </c>
      <c r="U34" s="9">
        <f t="shared" ref="U34" si="41">IF(MATCH(1,C34:J34,0)=MATCH(1,L34:S34,0),1,0)</f>
        <v>0</v>
      </c>
      <c r="V34" s="1">
        <f t="shared" si="40"/>
        <v>0</v>
      </c>
      <c r="W34" s="11">
        <f t="shared" ref="W34" si="42">BI34</f>
        <v>1</v>
      </c>
      <c r="X34" s="12">
        <v>1</v>
      </c>
      <c r="Y34" s="10">
        <f t="shared" si="36"/>
        <v>2.564102564102564E-2</v>
      </c>
      <c r="Z34" s="18"/>
      <c r="AA34" s="18"/>
      <c r="AB34" s="18"/>
      <c r="AC34" s="18"/>
      <c r="AD34" s="18"/>
      <c r="AE34" s="18"/>
      <c r="AF34" s="18">
        <v>0</v>
      </c>
      <c r="AG34" s="18">
        <v>1</v>
      </c>
      <c r="AH34" s="20"/>
      <c r="AI34" s="18">
        <f t="shared" si="11"/>
        <v>0</v>
      </c>
      <c r="AJ34" s="18">
        <f t="shared" si="12"/>
        <v>0</v>
      </c>
      <c r="AK34" s="18">
        <f t="shared" si="13"/>
        <v>0</v>
      </c>
      <c r="AL34" s="18">
        <f t="shared" si="14"/>
        <v>0</v>
      </c>
      <c r="AM34" s="18">
        <f t="shared" si="15"/>
        <v>0</v>
      </c>
      <c r="AN34" s="18">
        <f t="shared" si="16"/>
        <v>0</v>
      </c>
      <c r="AO34" s="18">
        <f t="shared" si="17"/>
        <v>0</v>
      </c>
      <c r="AP34" s="18">
        <f t="shared" si="18"/>
        <v>1</v>
      </c>
      <c r="AQ34" s="9"/>
      <c r="AR34" s="18">
        <f t="shared" si="19"/>
        <v>0</v>
      </c>
      <c r="AS34" s="18">
        <f t="shared" si="20"/>
        <v>0</v>
      </c>
      <c r="AT34" s="18">
        <f t="shared" si="21"/>
        <v>0</v>
      </c>
      <c r="AU34" s="18">
        <f t="shared" si="22"/>
        <v>0</v>
      </c>
      <c r="AV34" s="18">
        <f>P34*AD34</f>
        <v>0</v>
      </c>
      <c r="AW34" s="18">
        <f t="shared" si="24"/>
        <v>0</v>
      </c>
      <c r="AX34" s="18">
        <f t="shared" si="25"/>
        <v>0</v>
      </c>
      <c r="AY34" s="18">
        <f t="shared" si="26"/>
        <v>0</v>
      </c>
      <c r="BA34" s="27">
        <f>(AI34-AR34)</f>
        <v>0</v>
      </c>
      <c r="BB34" s="27">
        <f t="shared" si="27"/>
        <v>0</v>
      </c>
      <c r="BC34" s="27">
        <f t="shared" si="28"/>
        <v>0</v>
      </c>
      <c r="BD34" s="27">
        <f t="shared" si="29"/>
        <v>0</v>
      </c>
      <c r="BE34" s="27">
        <f t="shared" si="30"/>
        <v>0</v>
      </c>
      <c r="BF34" s="27">
        <f t="shared" si="31"/>
        <v>0</v>
      </c>
      <c r="BG34" s="27">
        <f t="shared" si="32"/>
        <v>0</v>
      </c>
      <c r="BH34" s="27">
        <f t="shared" si="33"/>
        <v>1</v>
      </c>
      <c r="BI34" s="27">
        <f t="shared" si="38"/>
        <v>1</v>
      </c>
      <c r="BJ34" s="27">
        <f t="shared" si="39"/>
        <v>2.564102564102564E-2</v>
      </c>
    </row>
    <row r="35" spans="1:62">
      <c r="B35" t="s">
        <v>60</v>
      </c>
      <c r="C35" s="30"/>
      <c r="D35" s="30"/>
      <c r="E35" s="30"/>
      <c r="F35" s="30"/>
      <c r="G35" s="30"/>
      <c r="H35" s="30"/>
      <c r="I35" s="30"/>
      <c r="J35" s="30"/>
      <c r="K35" t="s">
        <v>45</v>
      </c>
      <c r="T35" s="3">
        <f>SUM(V36:V51)</f>
        <v>0.7153846153846154</v>
      </c>
      <c r="W35" t="s">
        <v>62</v>
      </c>
      <c r="AI35" s="11">
        <f t="shared" si="11"/>
        <v>0</v>
      </c>
      <c r="AJ35" s="11">
        <f t="shared" si="12"/>
        <v>0</v>
      </c>
      <c r="AK35" s="11">
        <f t="shared" si="13"/>
        <v>0</v>
      </c>
      <c r="AL35" s="11">
        <f t="shared" si="14"/>
        <v>0</v>
      </c>
      <c r="AM35" s="11">
        <f t="shared" si="15"/>
        <v>0</v>
      </c>
      <c r="AN35" s="11">
        <f t="shared" si="16"/>
        <v>0</v>
      </c>
    </row>
    <row r="36" spans="1:62" ht="22.5">
      <c r="A36" s="6" t="s">
        <v>10</v>
      </c>
      <c r="B36" s="7"/>
      <c r="C36" s="25">
        <v>0</v>
      </c>
      <c r="D36" s="28">
        <v>1</v>
      </c>
      <c r="E36" s="28"/>
      <c r="F36" s="28"/>
      <c r="G36" s="28"/>
      <c r="H36" s="28"/>
      <c r="I36" s="28"/>
      <c r="J36" s="28"/>
      <c r="K36" s="29"/>
      <c r="L36" s="25">
        <v>0</v>
      </c>
      <c r="M36" s="28">
        <v>1</v>
      </c>
      <c r="N36" s="28"/>
      <c r="O36" s="28"/>
      <c r="P36" s="28"/>
      <c r="Q36" s="28"/>
      <c r="R36" s="28"/>
      <c r="S36" s="28"/>
      <c r="U36" s="9">
        <f t="shared" ref="U36:U49" si="43">IF(MATCH(1,C36:J36,0)=MATCH(1,L36:S36,0),1,0)</f>
        <v>1</v>
      </c>
      <c r="V36" s="1">
        <f>(1-W36)*Y36</f>
        <v>5.128205128205128E-2</v>
      </c>
      <c r="W36" s="11">
        <f>BI36</f>
        <v>0</v>
      </c>
      <c r="X36" s="9">
        <v>2</v>
      </c>
      <c r="Y36" s="10">
        <f>X36/SUM($X$2:$X$17)</f>
        <v>5.128205128205128E-2</v>
      </c>
      <c r="Z36" s="18">
        <v>0</v>
      </c>
      <c r="AA36" s="18">
        <v>1</v>
      </c>
      <c r="AB36" s="18"/>
      <c r="AC36" s="18"/>
      <c r="AD36" s="18"/>
      <c r="AE36" s="18"/>
      <c r="AF36" s="18"/>
      <c r="AG36" s="18"/>
      <c r="AH36" s="12"/>
      <c r="AI36" s="18">
        <f t="shared" ref="AI36:AI52" si="44">C36*Z36</f>
        <v>0</v>
      </c>
      <c r="AJ36" s="18">
        <f t="shared" ref="AJ36:AJ52" si="45">D36*AA36</f>
        <v>1</v>
      </c>
      <c r="AK36" s="18">
        <f t="shared" ref="AK36:AK52" si="46">E36*AB36</f>
        <v>0</v>
      </c>
      <c r="AL36" s="18">
        <f t="shared" ref="AL36:AL52" si="47">F36*AC36</f>
        <v>0</v>
      </c>
      <c r="AM36" s="18">
        <f t="shared" ref="AM36:AM52" si="48">G36*AD36</f>
        <v>0</v>
      </c>
      <c r="AN36" s="18">
        <f t="shared" ref="AN36:AN52" si="49">H36*AE36</f>
        <v>0</v>
      </c>
      <c r="AO36" s="18">
        <f t="shared" ref="AO36:AO51" si="50">I36*AF36</f>
        <v>0</v>
      </c>
      <c r="AP36" s="18">
        <f t="shared" ref="AP36:AP51" si="51">J36*AG36</f>
        <v>0</v>
      </c>
      <c r="AQ36" s="9"/>
      <c r="AR36" s="18">
        <f t="shared" ref="AR36:AR51" si="52">L36*Z36</f>
        <v>0</v>
      </c>
      <c r="AS36" s="18">
        <f t="shared" ref="AS36:AS51" si="53">M36*AA36</f>
        <v>1</v>
      </c>
      <c r="AT36" s="18">
        <f t="shared" ref="AT36:AT51" si="54">N36*AB36</f>
        <v>0</v>
      </c>
      <c r="AU36" s="18">
        <f t="shared" ref="AU36:AU51" si="55">O36*AC36</f>
        <v>0</v>
      </c>
      <c r="AV36" s="18">
        <f t="shared" ref="AV36:AV49" si="56">P36*AD36</f>
        <v>0</v>
      </c>
      <c r="AW36" s="18">
        <f t="shared" ref="AW36:AW51" si="57">Q36*AE36</f>
        <v>0</v>
      </c>
      <c r="AX36" s="18">
        <f t="shared" ref="AX36:AX51" si="58">R36*AF36</f>
        <v>0</v>
      </c>
      <c r="AY36" s="18">
        <f t="shared" ref="AY36:AY51" si="59">S36*AG36</f>
        <v>0</v>
      </c>
      <c r="BA36" s="27">
        <f>(AI36-AR36)</f>
        <v>0</v>
      </c>
      <c r="BB36" s="27">
        <f t="shared" ref="BB36:BB51" si="60">(AJ36-AS36)</f>
        <v>0</v>
      </c>
      <c r="BC36" s="27">
        <f t="shared" ref="BC36:BC51" si="61">(AK36-AT36)</f>
        <v>0</v>
      </c>
      <c r="BD36" s="27">
        <f t="shared" ref="BD36:BD51" si="62">(AL36-AU36)</f>
        <v>0</v>
      </c>
      <c r="BE36" s="27">
        <f t="shared" ref="BE36:BE51" si="63">(AM36-AV36)</f>
        <v>0</v>
      </c>
      <c r="BF36" s="27">
        <f t="shared" ref="BF36:BF51" si="64">(AN36-AW36)</f>
        <v>0</v>
      </c>
      <c r="BG36" s="27">
        <f t="shared" ref="BG36:BG51" si="65">(AO36-AX36)</f>
        <v>0</v>
      </c>
      <c r="BH36" s="27">
        <f t="shared" ref="BH36:BH51" si="66">(AP36-AY36)</f>
        <v>0</v>
      </c>
      <c r="BI36" s="27">
        <f>ABS(SUM(BA36:BH36))</f>
        <v>0</v>
      </c>
      <c r="BJ36" s="27">
        <f>BI36*Y36</f>
        <v>0</v>
      </c>
    </row>
    <row r="37" spans="1:62" ht="22.5">
      <c r="A37" s="6" t="s">
        <v>11</v>
      </c>
      <c r="B37" s="7"/>
      <c r="C37" s="25">
        <v>0</v>
      </c>
      <c r="D37" s="28">
        <v>1</v>
      </c>
      <c r="E37" s="28"/>
      <c r="F37" s="28"/>
      <c r="G37" s="28"/>
      <c r="H37" s="28"/>
      <c r="I37" s="28"/>
      <c r="J37" s="28"/>
      <c r="K37" s="29"/>
      <c r="L37" s="25">
        <v>0</v>
      </c>
      <c r="M37" s="28">
        <v>1</v>
      </c>
      <c r="N37" s="28"/>
      <c r="O37" s="28"/>
      <c r="P37" s="28"/>
      <c r="Q37" s="28"/>
      <c r="R37" s="28"/>
      <c r="S37" s="28"/>
      <c r="U37" s="9">
        <f t="shared" si="43"/>
        <v>1</v>
      </c>
      <c r="V37" s="1">
        <f t="shared" ref="V37:V46" si="67">(1-W37)*Y37</f>
        <v>5.128205128205128E-2</v>
      </c>
      <c r="W37" s="11">
        <f t="shared" ref="W37:W49" si="68">BI37</f>
        <v>0</v>
      </c>
      <c r="X37" s="9">
        <v>2</v>
      </c>
      <c r="Y37" s="10">
        <f t="shared" ref="Y37:Y51" si="69">X37/SUM($X$2:$X$17)</f>
        <v>5.128205128205128E-2</v>
      </c>
      <c r="Z37" s="18">
        <v>0</v>
      </c>
      <c r="AA37" s="18">
        <v>1</v>
      </c>
      <c r="AB37" s="18"/>
      <c r="AC37" s="18"/>
      <c r="AD37" s="18"/>
      <c r="AE37" s="18"/>
      <c r="AF37" s="18"/>
      <c r="AG37" s="18"/>
      <c r="AH37" s="12"/>
      <c r="AI37" s="18">
        <f t="shared" si="44"/>
        <v>0</v>
      </c>
      <c r="AJ37" s="18">
        <f t="shared" si="45"/>
        <v>1</v>
      </c>
      <c r="AK37" s="18">
        <f t="shared" si="46"/>
        <v>0</v>
      </c>
      <c r="AL37" s="18">
        <f t="shared" si="47"/>
        <v>0</v>
      </c>
      <c r="AM37" s="18">
        <f t="shared" si="48"/>
        <v>0</v>
      </c>
      <c r="AN37" s="18">
        <f t="shared" si="49"/>
        <v>0</v>
      </c>
      <c r="AO37" s="18">
        <f t="shared" si="50"/>
        <v>0</v>
      </c>
      <c r="AP37" s="18">
        <f t="shared" si="51"/>
        <v>0</v>
      </c>
      <c r="AQ37" s="9"/>
      <c r="AR37" s="18">
        <f t="shared" si="52"/>
        <v>0</v>
      </c>
      <c r="AS37" s="18">
        <f t="shared" si="53"/>
        <v>1</v>
      </c>
      <c r="AT37" s="18">
        <f t="shared" si="54"/>
        <v>0</v>
      </c>
      <c r="AU37" s="18">
        <f t="shared" si="55"/>
        <v>0</v>
      </c>
      <c r="AV37" s="18">
        <f t="shared" si="56"/>
        <v>0</v>
      </c>
      <c r="AW37" s="18">
        <f t="shared" si="57"/>
        <v>0</v>
      </c>
      <c r="AX37" s="18">
        <f t="shared" si="58"/>
        <v>0</v>
      </c>
      <c r="AY37" s="18">
        <f t="shared" si="59"/>
        <v>0</v>
      </c>
      <c r="BA37" s="27">
        <f t="shared" ref="BA37:BA50" si="70">(AI37-AR37)</f>
        <v>0</v>
      </c>
      <c r="BB37" s="27">
        <f t="shared" si="60"/>
        <v>0</v>
      </c>
      <c r="BC37" s="27">
        <f t="shared" si="61"/>
        <v>0</v>
      </c>
      <c r="BD37" s="27">
        <f t="shared" si="62"/>
        <v>0</v>
      </c>
      <c r="BE37" s="27">
        <f t="shared" si="63"/>
        <v>0</v>
      </c>
      <c r="BF37" s="27">
        <f t="shared" si="64"/>
        <v>0</v>
      </c>
      <c r="BG37" s="27">
        <f t="shared" si="65"/>
        <v>0</v>
      </c>
      <c r="BH37" s="27">
        <f t="shared" si="66"/>
        <v>0</v>
      </c>
      <c r="BI37" s="27">
        <f t="shared" ref="BI37:BI51" si="71">ABS(SUM(BA37:BH37))</f>
        <v>0</v>
      </c>
      <c r="BJ37" s="27">
        <f t="shared" ref="BJ37:BJ51" si="72">BI37*Y37</f>
        <v>0</v>
      </c>
    </row>
    <row r="38" spans="1:62" s="22" customFormat="1" ht="22.5">
      <c r="A38" s="8" t="s">
        <v>12</v>
      </c>
      <c r="B38" s="21"/>
      <c r="C38" s="25">
        <v>1</v>
      </c>
      <c r="D38" s="25">
        <v>0</v>
      </c>
      <c r="E38" s="25">
        <v>0</v>
      </c>
      <c r="F38" s="28">
        <v>0</v>
      </c>
      <c r="G38" s="28"/>
      <c r="H38" s="28"/>
      <c r="I38" s="28"/>
      <c r="J38" s="28"/>
      <c r="K38" s="29"/>
      <c r="L38" s="25">
        <v>0</v>
      </c>
      <c r="M38" s="25">
        <v>1</v>
      </c>
      <c r="N38" s="25">
        <v>0</v>
      </c>
      <c r="O38" s="28">
        <v>0</v>
      </c>
      <c r="P38" s="28"/>
      <c r="Q38" s="28"/>
      <c r="R38" s="28"/>
      <c r="S38" s="28"/>
      <c r="T38"/>
      <c r="U38" s="23">
        <f t="shared" si="43"/>
        <v>0</v>
      </c>
      <c r="V38" s="1">
        <f t="shared" si="67"/>
        <v>8.974358974358973E-2</v>
      </c>
      <c r="W38" s="11">
        <f t="shared" si="68"/>
        <v>0.3</v>
      </c>
      <c r="X38" s="23">
        <v>5</v>
      </c>
      <c r="Y38" s="24">
        <f t="shared" si="69"/>
        <v>0.12820512820512819</v>
      </c>
      <c r="Z38" s="18">
        <v>0</v>
      </c>
      <c r="AA38" s="18">
        <v>0.3</v>
      </c>
      <c r="AB38" s="18">
        <v>0.8</v>
      </c>
      <c r="AC38" s="18">
        <v>1</v>
      </c>
      <c r="AD38" s="18"/>
      <c r="AE38" s="18"/>
      <c r="AF38" s="18"/>
      <c r="AG38" s="18"/>
      <c r="AH38" s="12"/>
      <c r="AI38" s="18">
        <f t="shared" si="44"/>
        <v>0</v>
      </c>
      <c r="AJ38" s="18">
        <f t="shared" si="45"/>
        <v>0</v>
      </c>
      <c r="AK38" s="18">
        <f t="shared" si="46"/>
        <v>0</v>
      </c>
      <c r="AL38" s="18">
        <f t="shared" si="47"/>
        <v>0</v>
      </c>
      <c r="AM38" s="18">
        <f t="shared" si="48"/>
        <v>0</v>
      </c>
      <c r="AN38" s="18">
        <f t="shared" si="49"/>
        <v>0</v>
      </c>
      <c r="AO38" s="18">
        <f t="shared" si="50"/>
        <v>0</v>
      </c>
      <c r="AP38" s="18">
        <f t="shared" si="51"/>
        <v>0</v>
      </c>
      <c r="AQ38" s="23"/>
      <c r="AR38" s="18">
        <f t="shared" si="52"/>
        <v>0</v>
      </c>
      <c r="AS38" s="18">
        <f t="shared" si="53"/>
        <v>0.3</v>
      </c>
      <c r="AT38" s="18">
        <f t="shared" si="54"/>
        <v>0</v>
      </c>
      <c r="AU38" s="18">
        <f t="shared" si="55"/>
        <v>0</v>
      </c>
      <c r="AV38" s="18">
        <f t="shared" si="56"/>
        <v>0</v>
      </c>
      <c r="AW38" s="18">
        <f t="shared" si="57"/>
        <v>0</v>
      </c>
      <c r="AX38" s="18">
        <f t="shared" si="58"/>
        <v>0</v>
      </c>
      <c r="AY38" s="18">
        <f t="shared" si="59"/>
        <v>0</v>
      </c>
      <c r="BA38" s="27">
        <f t="shared" si="70"/>
        <v>0</v>
      </c>
      <c r="BB38" s="27">
        <f t="shared" si="60"/>
        <v>-0.3</v>
      </c>
      <c r="BC38" s="27">
        <f t="shared" si="61"/>
        <v>0</v>
      </c>
      <c r="BD38" s="27">
        <f t="shared" si="62"/>
        <v>0</v>
      </c>
      <c r="BE38" s="27">
        <f t="shared" si="63"/>
        <v>0</v>
      </c>
      <c r="BF38" s="27">
        <f t="shared" si="64"/>
        <v>0</v>
      </c>
      <c r="BG38" s="27">
        <f t="shared" si="65"/>
        <v>0</v>
      </c>
      <c r="BH38" s="27">
        <f t="shared" si="66"/>
        <v>0</v>
      </c>
      <c r="BI38" s="27">
        <f t="shared" si="71"/>
        <v>0.3</v>
      </c>
      <c r="BJ38" s="27">
        <f t="shared" si="72"/>
        <v>3.8461538461538457E-2</v>
      </c>
    </row>
    <row r="39" spans="1:62" s="22" customFormat="1" ht="22.5">
      <c r="A39" s="8" t="s">
        <v>13</v>
      </c>
      <c r="B39" s="21"/>
      <c r="C39" s="25">
        <v>0</v>
      </c>
      <c r="D39" s="25">
        <v>0</v>
      </c>
      <c r="E39" s="25">
        <v>0</v>
      </c>
      <c r="F39" s="28">
        <v>1</v>
      </c>
      <c r="G39" s="28"/>
      <c r="H39" s="28"/>
      <c r="I39" s="28"/>
      <c r="J39" s="28"/>
      <c r="K39" s="29"/>
      <c r="L39" s="25">
        <v>0</v>
      </c>
      <c r="M39" s="25">
        <v>0</v>
      </c>
      <c r="N39" s="25">
        <v>0</v>
      </c>
      <c r="O39" s="28">
        <v>1</v>
      </c>
      <c r="P39" s="28"/>
      <c r="Q39" s="28"/>
      <c r="R39" s="28"/>
      <c r="S39" s="28"/>
      <c r="T39"/>
      <c r="U39" s="23">
        <f t="shared" si="43"/>
        <v>1</v>
      </c>
      <c r="V39" s="1">
        <f t="shared" si="67"/>
        <v>2.564102564102564E-2</v>
      </c>
      <c r="W39" s="11">
        <f t="shared" si="68"/>
        <v>0</v>
      </c>
      <c r="X39" s="23">
        <v>1</v>
      </c>
      <c r="Y39" s="24">
        <f t="shared" si="69"/>
        <v>2.564102564102564E-2</v>
      </c>
      <c r="Z39" s="18">
        <v>0</v>
      </c>
      <c r="AA39" s="18">
        <v>0.3</v>
      </c>
      <c r="AB39" s="18">
        <v>0.8</v>
      </c>
      <c r="AC39" s="18">
        <v>1</v>
      </c>
      <c r="AD39" s="18"/>
      <c r="AE39" s="18"/>
      <c r="AF39" s="18"/>
      <c r="AG39" s="18"/>
      <c r="AH39" s="12"/>
      <c r="AI39" s="18">
        <f t="shared" si="44"/>
        <v>0</v>
      </c>
      <c r="AJ39" s="18">
        <f t="shared" si="45"/>
        <v>0</v>
      </c>
      <c r="AK39" s="18">
        <f t="shared" si="46"/>
        <v>0</v>
      </c>
      <c r="AL39" s="18">
        <f t="shared" si="47"/>
        <v>1</v>
      </c>
      <c r="AM39" s="18">
        <f t="shared" si="48"/>
        <v>0</v>
      </c>
      <c r="AN39" s="18">
        <f t="shared" si="49"/>
        <v>0</v>
      </c>
      <c r="AO39" s="18">
        <f t="shared" si="50"/>
        <v>0</v>
      </c>
      <c r="AP39" s="18">
        <f t="shared" si="51"/>
        <v>0</v>
      </c>
      <c r="AQ39" s="23"/>
      <c r="AR39" s="18">
        <f t="shared" si="52"/>
        <v>0</v>
      </c>
      <c r="AS39" s="18">
        <f t="shared" si="53"/>
        <v>0</v>
      </c>
      <c r="AT39" s="18">
        <f t="shared" si="54"/>
        <v>0</v>
      </c>
      <c r="AU39" s="18">
        <f t="shared" si="55"/>
        <v>1</v>
      </c>
      <c r="AV39" s="18">
        <f t="shared" si="56"/>
        <v>0</v>
      </c>
      <c r="AW39" s="18">
        <f t="shared" si="57"/>
        <v>0</v>
      </c>
      <c r="AX39" s="18">
        <f t="shared" si="58"/>
        <v>0</v>
      </c>
      <c r="AY39" s="18">
        <f t="shared" si="59"/>
        <v>0</v>
      </c>
      <c r="BA39" s="27">
        <f t="shared" si="70"/>
        <v>0</v>
      </c>
      <c r="BB39" s="27">
        <f t="shared" si="60"/>
        <v>0</v>
      </c>
      <c r="BC39" s="27">
        <f t="shared" si="61"/>
        <v>0</v>
      </c>
      <c r="BD39" s="27">
        <f t="shared" si="62"/>
        <v>0</v>
      </c>
      <c r="BE39" s="27">
        <f t="shared" si="63"/>
        <v>0</v>
      </c>
      <c r="BF39" s="27">
        <f t="shared" si="64"/>
        <v>0</v>
      </c>
      <c r="BG39" s="27">
        <f t="shared" si="65"/>
        <v>0</v>
      </c>
      <c r="BH39" s="27">
        <f t="shared" si="66"/>
        <v>0</v>
      </c>
      <c r="BI39" s="27">
        <f t="shared" si="71"/>
        <v>0</v>
      </c>
      <c r="BJ39" s="27">
        <f t="shared" si="72"/>
        <v>0</v>
      </c>
    </row>
    <row r="40" spans="1:62" s="22" customFormat="1" ht="22.5">
      <c r="A40" s="8" t="s">
        <v>14</v>
      </c>
      <c r="B40" s="21"/>
      <c r="C40" s="25">
        <v>0</v>
      </c>
      <c r="D40" s="25">
        <v>0</v>
      </c>
      <c r="E40" s="25">
        <v>1</v>
      </c>
      <c r="F40" s="28">
        <v>0</v>
      </c>
      <c r="G40" s="28"/>
      <c r="H40" s="28"/>
      <c r="I40" s="28"/>
      <c r="J40" s="28"/>
      <c r="K40" s="29"/>
      <c r="L40" s="25">
        <v>0</v>
      </c>
      <c r="M40" s="25">
        <v>0</v>
      </c>
      <c r="N40" s="25">
        <v>1</v>
      </c>
      <c r="O40" s="28">
        <v>0</v>
      </c>
      <c r="P40" s="28"/>
      <c r="Q40" s="28"/>
      <c r="R40" s="28"/>
      <c r="S40" s="28"/>
      <c r="T40"/>
      <c r="U40" s="23">
        <f t="shared" si="43"/>
        <v>1</v>
      </c>
      <c r="V40" s="1">
        <f t="shared" si="67"/>
        <v>2.564102564102564E-2</v>
      </c>
      <c r="W40" s="11">
        <f t="shared" si="68"/>
        <v>0</v>
      </c>
      <c r="X40" s="23">
        <v>1</v>
      </c>
      <c r="Y40" s="24">
        <f t="shared" si="69"/>
        <v>2.564102564102564E-2</v>
      </c>
      <c r="Z40" s="18">
        <v>0</v>
      </c>
      <c r="AA40" s="18">
        <v>0.3</v>
      </c>
      <c r="AB40" s="18">
        <v>0.8</v>
      </c>
      <c r="AC40" s="18">
        <v>1</v>
      </c>
      <c r="AD40" s="18"/>
      <c r="AE40" s="18"/>
      <c r="AF40" s="18"/>
      <c r="AG40" s="18"/>
      <c r="AH40" s="12"/>
      <c r="AI40" s="18">
        <f t="shared" si="44"/>
        <v>0</v>
      </c>
      <c r="AJ40" s="18">
        <f t="shared" si="45"/>
        <v>0</v>
      </c>
      <c r="AK40" s="18">
        <f t="shared" si="46"/>
        <v>0.8</v>
      </c>
      <c r="AL40" s="18">
        <f t="shared" si="47"/>
        <v>0</v>
      </c>
      <c r="AM40" s="18">
        <f t="shared" si="48"/>
        <v>0</v>
      </c>
      <c r="AN40" s="18">
        <f t="shared" si="49"/>
        <v>0</v>
      </c>
      <c r="AO40" s="18">
        <f t="shared" si="50"/>
        <v>0</v>
      </c>
      <c r="AP40" s="18">
        <f t="shared" si="51"/>
        <v>0</v>
      </c>
      <c r="AQ40" s="23"/>
      <c r="AR40" s="18">
        <f t="shared" si="52"/>
        <v>0</v>
      </c>
      <c r="AS40" s="18">
        <f t="shared" si="53"/>
        <v>0</v>
      </c>
      <c r="AT40" s="18">
        <f t="shared" si="54"/>
        <v>0.8</v>
      </c>
      <c r="AU40" s="18">
        <f t="shared" si="55"/>
        <v>0</v>
      </c>
      <c r="AV40" s="18">
        <f t="shared" si="56"/>
        <v>0</v>
      </c>
      <c r="AW40" s="18">
        <f t="shared" si="57"/>
        <v>0</v>
      </c>
      <c r="AX40" s="18">
        <f t="shared" si="58"/>
        <v>0</v>
      </c>
      <c r="AY40" s="18">
        <f t="shared" si="59"/>
        <v>0</v>
      </c>
      <c r="BA40" s="27">
        <f t="shared" si="70"/>
        <v>0</v>
      </c>
      <c r="BB40" s="27">
        <f t="shared" si="60"/>
        <v>0</v>
      </c>
      <c r="BC40" s="27">
        <f t="shared" si="61"/>
        <v>0</v>
      </c>
      <c r="BD40" s="27">
        <f t="shared" si="62"/>
        <v>0</v>
      </c>
      <c r="BE40" s="27">
        <f t="shared" si="63"/>
        <v>0</v>
      </c>
      <c r="BF40" s="27">
        <f t="shared" si="64"/>
        <v>0</v>
      </c>
      <c r="BG40" s="27">
        <f t="shared" si="65"/>
        <v>0</v>
      </c>
      <c r="BH40" s="27">
        <f t="shared" si="66"/>
        <v>0</v>
      </c>
      <c r="BI40" s="27">
        <f t="shared" si="71"/>
        <v>0</v>
      </c>
      <c r="BJ40" s="27">
        <f t="shared" si="72"/>
        <v>0</v>
      </c>
    </row>
    <row r="41" spans="1:62" s="22" customFormat="1" ht="22.5">
      <c r="A41" s="8" t="s">
        <v>15</v>
      </c>
      <c r="B41" s="21"/>
      <c r="C41" s="25">
        <v>0</v>
      </c>
      <c r="D41" s="25">
        <v>1</v>
      </c>
      <c r="E41" s="25">
        <v>0</v>
      </c>
      <c r="F41" s="28">
        <v>0</v>
      </c>
      <c r="G41" s="28"/>
      <c r="H41" s="28"/>
      <c r="I41" s="28"/>
      <c r="J41" s="28"/>
      <c r="K41" s="29"/>
      <c r="L41" s="25">
        <v>0</v>
      </c>
      <c r="M41" s="25">
        <v>1</v>
      </c>
      <c r="N41" s="25">
        <v>0</v>
      </c>
      <c r="O41" s="28">
        <v>0</v>
      </c>
      <c r="P41" s="28"/>
      <c r="Q41" s="28"/>
      <c r="R41" s="28"/>
      <c r="S41" s="28"/>
      <c r="T41"/>
      <c r="U41" s="23">
        <f t="shared" si="43"/>
        <v>1</v>
      </c>
      <c r="V41" s="1">
        <f t="shared" si="67"/>
        <v>5.128205128205128E-2</v>
      </c>
      <c r="W41" s="11">
        <f t="shared" si="68"/>
        <v>0</v>
      </c>
      <c r="X41" s="23">
        <v>2</v>
      </c>
      <c r="Y41" s="24">
        <f t="shared" si="69"/>
        <v>5.128205128205128E-2</v>
      </c>
      <c r="Z41" s="18">
        <v>0</v>
      </c>
      <c r="AA41" s="18">
        <v>0.3</v>
      </c>
      <c r="AB41" s="18">
        <v>0.8</v>
      </c>
      <c r="AC41" s="18">
        <v>1</v>
      </c>
      <c r="AD41" s="18"/>
      <c r="AE41" s="18"/>
      <c r="AF41" s="18"/>
      <c r="AG41" s="18"/>
      <c r="AH41" s="12"/>
      <c r="AI41" s="18">
        <f t="shared" si="44"/>
        <v>0</v>
      </c>
      <c r="AJ41" s="18">
        <f t="shared" si="45"/>
        <v>0.3</v>
      </c>
      <c r="AK41" s="18">
        <f t="shared" si="46"/>
        <v>0</v>
      </c>
      <c r="AL41" s="18">
        <f t="shared" si="47"/>
        <v>0</v>
      </c>
      <c r="AM41" s="18">
        <f t="shared" si="48"/>
        <v>0</v>
      </c>
      <c r="AN41" s="18">
        <f t="shared" si="49"/>
        <v>0</v>
      </c>
      <c r="AO41" s="18">
        <f t="shared" si="50"/>
        <v>0</v>
      </c>
      <c r="AP41" s="18">
        <f t="shared" si="51"/>
        <v>0</v>
      </c>
      <c r="AQ41" s="23"/>
      <c r="AR41" s="18">
        <f t="shared" si="52"/>
        <v>0</v>
      </c>
      <c r="AS41" s="18">
        <f t="shared" si="53"/>
        <v>0.3</v>
      </c>
      <c r="AT41" s="18">
        <f t="shared" si="54"/>
        <v>0</v>
      </c>
      <c r="AU41" s="18">
        <f t="shared" si="55"/>
        <v>0</v>
      </c>
      <c r="AV41" s="18">
        <f t="shared" si="56"/>
        <v>0</v>
      </c>
      <c r="AW41" s="18">
        <f t="shared" si="57"/>
        <v>0</v>
      </c>
      <c r="AX41" s="18">
        <f t="shared" si="58"/>
        <v>0</v>
      </c>
      <c r="AY41" s="18">
        <f t="shared" si="59"/>
        <v>0</v>
      </c>
      <c r="BA41" s="27">
        <f t="shared" si="70"/>
        <v>0</v>
      </c>
      <c r="BB41" s="27">
        <f t="shared" si="60"/>
        <v>0</v>
      </c>
      <c r="BC41" s="27">
        <f t="shared" si="61"/>
        <v>0</v>
      </c>
      <c r="BD41" s="27">
        <f t="shared" si="62"/>
        <v>0</v>
      </c>
      <c r="BE41" s="27">
        <f t="shared" si="63"/>
        <v>0</v>
      </c>
      <c r="BF41" s="27">
        <f t="shared" si="64"/>
        <v>0</v>
      </c>
      <c r="BG41" s="27">
        <f t="shared" si="65"/>
        <v>0</v>
      </c>
      <c r="BH41" s="27">
        <f t="shared" si="66"/>
        <v>0</v>
      </c>
      <c r="BI41" s="27">
        <f t="shared" si="71"/>
        <v>0</v>
      </c>
      <c r="BJ41" s="27">
        <f t="shared" si="72"/>
        <v>0</v>
      </c>
    </row>
    <row r="42" spans="1:62" s="22" customFormat="1" ht="22.5">
      <c r="A42" s="8" t="s">
        <v>16</v>
      </c>
      <c r="B42" s="21"/>
      <c r="C42" s="25">
        <v>0</v>
      </c>
      <c r="D42" s="25">
        <v>1</v>
      </c>
      <c r="E42" s="25">
        <v>0</v>
      </c>
      <c r="F42" s="28">
        <v>0</v>
      </c>
      <c r="G42" s="28"/>
      <c r="H42" s="28"/>
      <c r="I42" s="28"/>
      <c r="J42" s="28"/>
      <c r="K42" s="29"/>
      <c r="L42" s="25">
        <v>1</v>
      </c>
      <c r="M42" s="25">
        <v>0</v>
      </c>
      <c r="N42" s="25">
        <v>0</v>
      </c>
      <c r="O42" s="28">
        <v>0</v>
      </c>
      <c r="P42" s="28"/>
      <c r="Q42" s="28"/>
      <c r="R42" s="28"/>
      <c r="S42" s="28"/>
      <c r="T42"/>
      <c r="U42" s="23">
        <f t="shared" si="43"/>
        <v>0</v>
      </c>
      <c r="V42" s="1">
        <f t="shared" si="67"/>
        <v>3.5897435897435895E-2</v>
      </c>
      <c r="W42" s="11">
        <f t="shared" si="68"/>
        <v>0.3</v>
      </c>
      <c r="X42" s="23">
        <v>2</v>
      </c>
      <c r="Y42" s="24">
        <f t="shared" si="69"/>
        <v>5.128205128205128E-2</v>
      </c>
      <c r="Z42" s="18">
        <v>0</v>
      </c>
      <c r="AA42" s="18">
        <v>0.3</v>
      </c>
      <c r="AB42" s="18">
        <v>0.8</v>
      </c>
      <c r="AC42" s="18">
        <v>1</v>
      </c>
      <c r="AD42" s="18"/>
      <c r="AE42" s="18"/>
      <c r="AF42" s="18"/>
      <c r="AG42" s="18"/>
      <c r="AH42" s="12"/>
      <c r="AI42" s="18">
        <f t="shared" si="44"/>
        <v>0</v>
      </c>
      <c r="AJ42" s="18">
        <f t="shared" si="45"/>
        <v>0.3</v>
      </c>
      <c r="AK42" s="18">
        <f t="shared" si="46"/>
        <v>0</v>
      </c>
      <c r="AL42" s="18">
        <f t="shared" si="47"/>
        <v>0</v>
      </c>
      <c r="AM42" s="18">
        <f t="shared" si="48"/>
        <v>0</v>
      </c>
      <c r="AN42" s="18">
        <f t="shared" si="49"/>
        <v>0</v>
      </c>
      <c r="AO42" s="18">
        <f t="shared" si="50"/>
        <v>0</v>
      </c>
      <c r="AP42" s="18">
        <f t="shared" si="51"/>
        <v>0</v>
      </c>
      <c r="AQ42" s="23"/>
      <c r="AR42" s="18">
        <f t="shared" si="52"/>
        <v>0</v>
      </c>
      <c r="AS42" s="18">
        <f t="shared" si="53"/>
        <v>0</v>
      </c>
      <c r="AT42" s="18">
        <f t="shared" si="54"/>
        <v>0</v>
      </c>
      <c r="AU42" s="18">
        <f t="shared" si="55"/>
        <v>0</v>
      </c>
      <c r="AV42" s="18">
        <f t="shared" si="56"/>
        <v>0</v>
      </c>
      <c r="AW42" s="18">
        <f t="shared" si="57"/>
        <v>0</v>
      </c>
      <c r="AX42" s="18">
        <f t="shared" si="58"/>
        <v>0</v>
      </c>
      <c r="AY42" s="18">
        <f t="shared" si="59"/>
        <v>0</v>
      </c>
      <c r="BA42" s="27">
        <f t="shared" si="70"/>
        <v>0</v>
      </c>
      <c r="BB42" s="27">
        <f t="shared" si="60"/>
        <v>0.3</v>
      </c>
      <c r="BC42" s="27">
        <f t="shared" si="61"/>
        <v>0</v>
      </c>
      <c r="BD42" s="27">
        <f t="shared" si="62"/>
        <v>0</v>
      </c>
      <c r="BE42" s="27">
        <f t="shared" si="63"/>
        <v>0</v>
      </c>
      <c r="BF42" s="27">
        <f t="shared" si="64"/>
        <v>0</v>
      </c>
      <c r="BG42" s="27">
        <f t="shared" si="65"/>
        <v>0</v>
      </c>
      <c r="BH42" s="27">
        <f t="shared" si="66"/>
        <v>0</v>
      </c>
      <c r="BI42" s="27">
        <f t="shared" si="71"/>
        <v>0.3</v>
      </c>
      <c r="BJ42" s="27">
        <f t="shared" si="72"/>
        <v>1.5384615384615384E-2</v>
      </c>
    </row>
    <row r="43" spans="1:62" ht="22.5">
      <c r="A43" s="4" t="s">
        <v>0</v>
      </c>
      <c r="B43" s="7"/>
      <c r="C43" s="25">
        <v>1</v>
      </c>
      <c r="D43" s="25">
        <v>0</v>
      </c>
      <c r="E43" s="25"/>
      <c r="F43" s="28"/>
      <c r="G43" s="28"/>
      <c r="H43" s="28"/>
      <c r="I43" s="28"/>
      <c r="J43" s="28"/>
      <c r="K43" s="29"/>
      <c r="L43" s="25">
        <v>0</v>
      </c>
      <c r="M43" s="25">
        <v>1</v>
      </c>
      <c r="N43" s="25"/>
      <c r="O43" s="28"/>
      <c r="P43" s="28"/>
      <c r="Q43" s="28"/>
      <c r="R43" s="28"/>
      <c r="S43" s="28"/>
      <c r="U43" s="9">
        <f t="shared" si="43"/>
        <v>0</v>
      </c>
      <c r="V43" s="1">
        <f t="shared" si="67"/>
        <v>0</v>
      </c>
      <c r="W43" s="11">
        <f t="shared" si="68"/>
        <v>1</v>
      </c>
      <c r="X43" s="12">
        <v>5</v>
      </c>
      <c r="Y43" s="10">
        <f t="shared" si="69"/>
        <v>0.12820512820512819</v>
      </c>
      <c r="Z43" s="18">
        <v>0</v>
      </c>
      <c r="AA43" s="18">
        <f>IF(M43=1,1,0)</f>
        <v>1</v>
      </c>
      <c r="AB43" s="18">
        <v>0</v>
      </c>
      <c r="AC43" s="18">
        <v>0</v>
      </c>
      <c r="AD43" s="18"/>
      <c r="AE43" s="18"/>
      <c r="AF43" s="18"/>
      <c r="AG43" s="18"/>
      <c r="AH43" s="12"/>
      <c r="AI43" s="18">
        <f t="shared" si="44"/>
        <v>0</v>
      </c>
      <c r="AJ43" s="18">
        <f t="shared" si="45"/>
        <v>0</v>
      </c>
      <c r="AK43" s="18">
        <f t="shared" si="46"/>
        <v>0</v>
      </c>
      <c r="AL43" s="18">
        <f t="shared" si="47"/>
        <v>0</v>
      </c>
      <c r="AM43" s="18">
        <f t="shared" si="48"/>
        <v>0</v>
      </c>
      <c r="AN43" s="18">
        <f t="shared" si="49"/>
        <v>0</v>
      </c>
      <c r="AO43" s="18">
        <f t="shared" si="50"/>
        <v>0</v>
      </c>
      <c r="AP43" s="18">
        <f t="shared" si="51"/>
        <v>0</v>
      </c>
      <c r="AQ43" s="9"/>
      <c r="AR43" s="18">
        <f t="shared" si="52"/>
        <v>0</v>
      </c>
      <c r="AS43" s="18">
        <f t="shared" si="53"/>
        <v>1</v>
      </c>
      <c r="AT43" s="18">
        <f t="shared" si="54"/>
        <v>0</v>
      </c>
      <c r="AU43" s="18">
        <f t="shared" si="55"/>
        <v>0</v>
      </c>
      <c r="AV43" s="18">
        <f t="shared" si="56"/>
        <v>0</v>
      </c>
      <c r="AW43" s="18">
        <f t="shared" si="57"/>
        <v>0</v>
      </c>
      <c r="AX43" s="18">
        <f t="shared" si="58"/>
        <v>0</v>
      </c>
      <c r="AY43" s="18">
        <f t="shared" si="59"/>
        <v>0</v>
      </c>
      <c r="BA43" s="27">
        <f t="shared" si="70"/>
        <v>0</v>
      </c>
      <c r="BB43" s="27">
        <f t="shared" si="60"/>
        <v>-1</v>
      </c>
      <c r="BC43" s="27">
        <f t="shared" si="61"/>
        <v>0</v>
      </c>
      <c r="BD43" s="27">
        <f t="shared" si="62"/>
        <v>0</v>
      </c>
      <c r="BE43" s="27">
        <f t="shared" si="63"/>
        <v>0</v>
      </c>
      <c r="BF43" s="27">
        <f t="shared" si="64"/>
        <v>0</v>
      </c>
      <c r="BG43" s="27">
        <f t="shared" si="65"/>
        <v>0</v>
      </c>
      <c r="BH43" s="27">
        <f t="shared" si="66"/>
        <v>0</v>
      </c>
      <c r="BI43" s="27">
        <f t="shared" si="71"/>
        <v>1</v>
      </c>
      <c r="BJ43" s="27">
        <f t="shared" si="72"/>
        <v>0.12820512820512819</v>
      </c>
    </row>
    <row r="44" spans="1:62" ht="22.5">
      <c r="A44" s="5" t="s">
        <v>1</v>
      </c>
      <c r="B44" s="7"/>
      <c r="C44" s="25"/>
      <c r="D44" s="25"/>
      <c r="E44" s="25"/>
      <c r="F44" s="25"/>
      <c r="G44" s="25">
        <v>0</v>
      </c>
      <c r="H44" s="25">
        <v>1</v>
      </c>
      <c r="I44" s="28"/>
      <c r="J44" s="28"/>
      <c r="K44" s="29"/>
      <c r="L44" s="25"/>
      <c r="M44" s="25"/>
      <c r="N44" s="25"/>
      <c r="O44" s="25"/>
      <c r="P44" s="25">
        <v>0</v>
      </c>
      <c r="Q44" s="25">
        <v>1</v>
      </c>
      <c r="R44" s="28"/>
      <c r="S44" s="28"/>
      <c r="U44" s="9">
        <f t="shared" si="43"/>
        <v>1</v>
      </c>
      <c r="V44" s="1">
        <f t="shared" si="67"/>
        <v>7.6923076923076927E-2</v>
      </c>
      <c r="W44" s="11">
        <f t="shared" si="68"/>
        <v>0</v>
      </c>
      <c r="X44" s="12">
        <v>3</v>
      </c>
      <c r="Y44" s="10">
        <f t="shared" si="69"/>
        <v>7.6923076923076927E-2</v>
      </c>
      <c r="Z44" s="18"/>
      <c r="AA44" s="18"/>
      <c r="AB44" s="18"/>
      <c r="AC44" s="18"/>
      <c r="AD44" s="18">
        <v>0</v>
      </c>
      <c r="AE44" s="18">
        <v>1</v>
      </c>
      <c r="AF44" s="18"/>
      <c r="AG44" s="18"/>
      <c r="AH44" s="12"/>
      <c r="AI44" s="18">
        <f t="shared" si="44"/>
        <v>0</v>
      </c>
      <c r="AJ44" s="18">
        <f t="shared" si="45"/>
        <v>0</v>
      </c>
      <c r="AK44" s="18">
        <f t="shared" si="46"/>
        <v>0</v>
      </c>
      <c r="AL44" s="18">
        <f t="shared" si="47"/>
        <v>0</v>
      </c>
      <c r="AM44" s="18">
        <f t="shared" si="48"/>
        <v>0</v>
      </c>
      <c r="AN44" s="18">
        <f t="shared" si="49"/>
        <v>1</v>
      </c>
      <c r="AO44" s="18">
        <f t="shared" si="50"/>
        <v>0</v>
      </c>
      <c r="AP44" s="18">
        <f t="shared" si="51"/>
        <v>0</v>
      </c>
      <c r="AQ44" s="9"/>
      <c r="AR44" s="18">
        <f t="shared" si="52"/>
        <v>0</v>
      </c>
      <c r="AS44" s="18">
        <f t="shared" si="53"/>
        <v>0</v>
      </c>
      <c r="AT44" s="18">
        <f t="shared" si="54"/>
        <v>0</v>
      </c>
      <c r="AU44" s="18">
        <f t="shared" si="55"/>
        <v>0</v>
      </c>
      <c r="AV44" s="18">
        <f t="shared" si="56"/>
        <v>0</v>
      </c>
      <c r="AW44" s="18">
        <f t="shared" si="57"/>
        <v>1</v>
      </c>
      <c r="AX44" s="18">
        <f t="shared" si="58"/>
        <v>0</v>
      </c>
      <c r="AY44" s="18">
        <f t="shared" si="59"/>
        <v>0</v>
      </c>
      <c r="BA44" s="27">
        <f t="shared" si="70"/>
        <v>0</v>
      </c>
      <c r="BB44" s="27">
        <f t="shared" si="60"/>
        <v>0</v>
      </c>
      <c r="BC44" s="27">
        <f t="shared" si="61"/>
        <v>0</v>
      </c>
      <c r="BD44" s="27">
        <f t="shared" si="62"/>
        <v>0</v>
      </c>
      <c r="BE44" s="27">
        <f t="shared" si="63"/>
        <v>0</v>
      </c>
      <c r="BF44" s="27">
        <f t="shared" si="64"/>
        <v>0</v>
      </c>
      <c r="BG44" s="27">
        <f t="shared" si="65"/>
        <v>0</v>
      </c>
      <c r="BH44" s="27">
        <f t="shared" si="66"/>
        <v>0</v>
      </c>
      <c r="BI44" s="27">
        <f t="shared" si="71"/>
        <v>0</v>
      </c>
      <c r="BJ44" s="27">
        <f t="shared" si="72"/>
        <v>0</v>
      </c>
    </row>
    <row r="45" spans="1:62" ht="22.5">
      <c r="A45" s="5" t="s">
        <v>21</v>
      </c>
      <c r="B45" s="7"/>
      <c r="C45" s="25"/>
      <c r="D45" s="25"/>
      <c r="E45" s="25"/>
      <c r="F45" s="25"/>
      <c r="G45" s="25">
        <v>0</v>
      </c>
      <c r="H45" s="25">
        <v>1</v>
      </c>
      <c r="I45" s="28"/>
      <c r="J45" s="28"/>
      <c r="K45" s="29"/>
      <c r="L45" s="25"/>
      <c r="M45" s="25"/>
      <c r="N45" s="25"/>
      <c r="O45" s="25"/>
      <c r="P45" s="25">
        <v>0</v>
      </c>
      <c r="Q45" s="25">
        <v>1</v>
      </c>
      <c r="R45" s="28"/>
      <c r="S45" s="28"/>
      <c r="U45" s="9">
        <f t="shared" si="43"/>
        <v>1</v>
      </c>
      <c r="V45" s="1">
        <f t="shared" si="67"/>
        <v>5.128205128205128E-2</v>
      </c>
      <c r="W45" s="11">
        <f t="shared" si="68"/>
        <v>0</v>
      </c>
      <c r="X45" s="12">
        <v>2</v>
      </c>
      <c r="Y45" s="10">
        <f t="shared" si="69"/>
        <v>5.128205128205128E-2</v>
      </c>
      <c r="Z45" s="18"/>
      <c r="AA45" s="18"/>
      <c r="AB45" s="18"/>
      <c r="AC45" s="18"/>
      <c r="AD45" s="18">
        <v>0</v>
      </c>
      <c r="AE45" s="18">
        <v>1</v>
      </c>
      <c r="AF45" s="18"/>
      <c r="AG45" s="18"/>
      <c r="AH45" s="12"/>
      <c r="AI45" s="18">
        <f t="shared" si="44"/>
        <v>0</v>
      </c>
      <c r="AJ45" s="18">
        <f t="shared" si="45"/>
        <v>0</v>
      </c>
      <c r="AK45" s="18">
        <f t="shared" si="46"/>
        <v>0</v>
      </c>
      <c r="AL45" s="18">
        <f t="shared" si="47"/>
        <v>0</v>
      </c>
      <c r="AM45" s="18">
        <f t="shared" si="48"/>
        <v>0</v>
      </c>
      <c r="AN45" s="18">
        <f t="shared" si="49"/>
        <v>1</v>
      </c>
      <c r="AO45" s="18">
        <f t="shared" si="50"/>
        <v>0</v>
      </c>
      <c r="AP45" s="18">
        <f t="shared" si="51"/>
        <v>0</v>
      </c>
      <c r="AQ45" s="9"/>
      <c r="AR45" s="18">
        <f t="shared" si="52"/>
        <v>0</v>
      </c>
      <c r="AS45" s="18">
        <f t="shared" si="53"/>
        <v>0</v>
      </c>
      <c r="AT45" s="18">
        <f t="shared" si="54"/>
        <v>0</v>
      </c>
      <c r="AU45" s="18">
        <f t="shared" si="55"/>
        <v>0</v>
      </c>
      <c r="AV45" s="18">
        <f t="shared" si="56"/>
        <v>0</v>
      </c>
      <c r="AW45" s="18">
        <f t="shared" si="57"/>
        <v>1</v>
      </c>
      <c r="AX45" s="18">
        <f t="shared" si="58"/>
        <v>0</v>
      </c>
      <c r="AY45" s="18">
        <f t="shared" si="59"/>
        <v>0</v>
      </c>
      <c r="BA45" s="27">
        <f t="shared" si="70"/>
        <v>0</v>
      </c>
      <c r="BB45" s="27">
        <f t="shared" si="60"/>
        <v>0</v>
      </c>
      <c r="BC45" s="27">
        <f t="shared" si="61"/>
        <v>0</v>
      </c>
      <c r="BD45" s="27">
        <f t="shared" si="62"/>
        <v>0</v>
      </c>
      <c r="BE45" s="27">
        <f t="shared" si="63"/>
        <v>0</v>
      </c>
      <c r="BF45" s="27">
        <f t="shared" si="64"/>
        <v>0</v>
      </c>
      <c r="BG45" s="27">
        <f t="shared" si="65"/>
        <v>0</v>
      </c>
      <c r="BH45" s="27">
        <f t="shared" si="66"/>
        <v>0</v>
      </c>
      <c r="BI45" s="27">
        <f t="shared" si="71"/>
        <v>0</v>
      </c>
      <c r="BJ45" s="27">
        <f t="shared" si="72"/>
        <v>0</v>
      </c>
    </row>
    <row r="46" spans="1:62" ht="22.5">
      <c r="A46" s="5" t="s">
        <v>2</v>
      </c>
      <c r="B46" s="7"/>
      <c r="C46" s="25"/>
      <c r="D46" s="25"/>
      <c r="E46" s="25"/>
      <c r="F46" s="25"/>
      <c r="G46" s="25">
        <v>0</v>
      </c>
      <c r="H46" s="25">
        <v>1</v>
      </c>
      <c r="I46" s="28"/>
      <c r="J46" s="28"/>
      <c r="K46" s="29"/>
      <c r="L46" s="25"/>
      <c r="M46" s="25"/>
      <c r="N46" s="25"/>
      <c r="O46" s="25"/>
      <c r="P46" s="25">
        <v>0</v>
      </c>
      <c r="Q46" s="25">
        <v>1</v>
      </c>
      <c r="R46" s="28"/>
      <c r="S46" s="28"/>
      <c r="U46" s="9">
        <f t="shared" si="43"/>
        <v>1</v>
      </c>
      <c r="V46" s="1">
        <f t="shared" si="67"/>
        <v>5.128205128205128E-2</v>
      </c>
      <c r="W46" s="11">
        <f t="shared" si="68"/>
        <v>0</v>
      </c>
      <c r="X46" s="12">
        <v>2</v>
      </c>
      <c r="Y46" s="10">
        <f t="shared" si="69"/>
        <v>5.128205128205128E-2</v>
      </c>
      <c r="Z46" s="18"/>
      <c r="AA46" s="18"/>
      <c r="AB46" s="18"/>
      <c r="AC46" s="18"/>
      <c r="AD46" s="18">
        <v>0</v>
      </c>
      <c r="AE46" s="18">
        <v>1</v>
      </c>
      <c r="AF46" s="18"/>
      <c r="AG46" s="18"/>
      <c r="AH46" s="12"/>
      <c r="AI46" s="18">
        <f t="shared" si="44"/>
        <v>0</v>
      </c>
      <c r="AJ46" s="18">
        <f t="shared" si="45"/>
        <v>0</v>
      </c>
      <c r="AK46" s="18">
        <f t="shared" si="46"/>
        <v>0</v>
      </c>
      <c r="AL46" s="18">
        <f t="shared" si="47"/>
        <v>0</v>
      </c>
      <c r="AM46" s="18">
        <f t="shared" si="48"/>
        <v>0</v>
      </c>
      <c r="AN46" s="18">
        <f t="shared" si="49"/>
        <v>1</v>
      </c>
      <c r="AO46" s="18">
        <f t="shared" si="50"/>
        <v>0</v>
      </c>
      <c r="AP46" s="18">
        <f t="shared" si="51"/>
        <v>0</v>
      </c>
      <c r="AQ46" s="9"/>
      <c r="AR46" s="18">
        <f t="shared" si="52"/>
        <v>0</v>
      </c>
      <c r="AS46" s="18">
        <f t="shared" si="53"/>
        <v>0</v>
      </c>
      <c r="AT46" s="18">
        <f t="shared" si="54"/>
        <v>0</v>
      </c>
      <c r="AU46" s="18">
        <f t="shared" si="55"/>
        <v>0</v>
      </c>
      <c r="AV46" s="18">
        <f t="shared" si="56"/>
        <v>0</v>
      </c>
      <c r="AW46" s="18">
        <f t="shared" si="57"/>
        <v>1</v>
      </c>
      <c r="AX46" s="18">
        <f t="shared" si="58"/>
        <v>0</v>
      </c>
      <c r="AY46" s="18">
        <f t="shared" si="59"/>
        <v>0</v>
      </c>
      <c r="BA46" s="27">
        <f t="shared" si="70"/>
        <v>0</v>
      </c>
      <c r="BB46" s="27">
        <f t="shared" si="60"/>
        <v>0</v>
      </c>
      <c r="BC46" s="27">
        <f t="shared" si="61"/>
        <v>0</v>
      </c>
      <c r="BD46" s="27">
        <f t="shared" si="62"/>
        <v>0</v>
      </c>
      <c r="BE46" s="27">
        <f t="shared" si="63"/>
        <v>0</v>
      </c>
      <c r="BF46" s="27">
        <f t="shared" si="64"/>
        <v>0</v>
      </c>
      <c r="BG46" s="27">
        <f t="shared" si="65"/>
        <v>0</v>
      </c>
      <c r="BH46" s="27">
        <f t="shared" si="66"/>
        <v>0</v>
      </c>
      <c r="BI46" s="27">
        <f t="shared" si="71"/>
        <v>0</v>
      </c>
      <c r="BJ46" s="27">
        <f t="shared" si="72"/>
        <v>0</v>
      </c>
    </row>
    <row r="47" spans="1:62" ht="22.5">
      <c r="A47" s="5" t="s">
        <v>3</v>
      </c>
      <c r="B47" s="7"/>
      <c r="C47" s="25"/>
      <c r="D47" s="25"/>
      <c r="E47" s="25"/>
      <c r="F47" s="25"/>
      <c r="G47" s="25">
        <v>0</v>
      </c>
      <c r="H47" s="25">
        <v>1</v>
      </c>
      <c r="I47" s="28"/>
      <c r="J47" s="28"/>
      <c r="K47" s="29"/>
      <c r="L47" s="25"/>
      <c r="M47" s="25"/>
      <c r="N47" s="25"/>
      <c r="O47" s="25"/>
      <c r="P47" s="25">
        <v>0</v>
      </c>
      <c r="Q47" s="25">
        <v>1</v>
      </c>
      <c r="R47" s="28"/>
      <c r="S47" s="28"/>
      <c r="U47" s="9">
        <f t="shared" si="43"/>
        <v>1</v>
      </c>
      <c r="V47" s="1">
        <f>(1-W47)*Y47</f>
        <v>0.12820512820512819</v>
      </c>
      <c r="W47" s="11">
        <f t="shared" si="68"/>
        <v>0</v>
      </c>
      <c r="X47" s="12">
        <v>5</v>
      </c>
      <c r="Y47" s="10">
        <f t="shared" si="69"/>
        <v>0.12820512820512819</v>
      </c>
      <c r="Z47" s="18"/>
      <c r="AA47" s="18"/>
      <c r="AB47" s="18"/>
      <c r="AC47" s="18"/>
      <c r="AD47" s="18">
        <v>0</v>
      </c>
      <c r="AE47" s="18">
        <v>1</v>
      </c>
      <c r="AF47" s="18"/>
      <c r="AG47" s="18"/>
      <c r="AH47" s="12"/>
      <c r="AI47" s="18">
        <f t="shared" si="44"/>
        <v>0</v>
      </c>
      <c r="AJ47" s="18">
        <f t="shared" si="45"/>
        <v>0</v>
      </c>
      <c r="AK47" s="18">
        <f t="shared" si="46"/>
        <v>0</v>
      </c>
      <c r="AL47" s="18">
        <f t="shared" si="47"/>
        <v>0</v>
      </c>
      <c r="AM47" s="18">
        <f t="shared" si="48"/>
        <v>0</v>
      </c>
      <c r="AN47" s="18">
        <f t="shared" si="49"/>
        <v>1</v>
      </c>
      <c r="AO47" s="18">
        <f t="shared" si="50"/>
        <v>0</v>
      </c>
      <c r="AP47" s="18">
        <f t="shared" si="51"/>
        <v>0</v>
      </c>
      <c r="AQ47" s="9"/>
      <c r="AR47" s="18">
        <f t="shared" si="52"/>
        <v>0</v>
      </c>
      <c r="AS47" s="18">
        <f t="shared" si="53"/>
        <v>0</v>
      </c>
      <c r="AT47" s="18">
        <f t="shared" si="54"/>
        <v>0</v>
      </c>
      <c r="AU47" s="18">
        <f t="shared" si="55"/>
        <v>0</v>
      </c>
      <c r="AV47" s="18">
        <f t="shared" si="56"/>
        <v>0</v>
      </c>
      <c r="AW47" s="18">
        <f t="shared" si="57"/>
        <v>1</v>
      </c>
      <c r="AX47" s="18">
        <f t="shared" si="58"/>
        <v>0</v>
      </c>
      <c r="AY47" s="18">
        <f t="shared" si="59"/>
        <v>0</v>
      </c>
      <c r="BA47" s="27">
        <f t="shared" si="70"/>
        <v>0</v>
      </c>
      <c r="BB47" s="27">
        <f t="shared" si="60"/>
        <v>0</v>
      </c>
      <c r="BC47" s="27">
        <f t="shared" si="61"/>
        <v>0</v>
      </c>
      <c r="BD47" s="27">
        <f t="shared" si="62"/>
        <v>0</v>
      </c>
      <c r="BE47" s="27">
        <f t="shared" si="63"/>
        <v>0</v>
      </c>
      <c r="BF47" s="27">
        <f t="shared" si="64"/>
        <v>0</v>
      </c>
      <c r="BG47" s="27">
        <f t="shared" si="65"/>
        <v>0</v>
      </c>
      <c r="BH47" s="27">
        <f t="shared" si="66"/>
        <v>0</v>
      </c>
      <c r="BI47" s="27">
        <f t="shared" si="71"/>
        <v>0</v>
      </c>
      <c r="BJ47" s="27">
        <f t="shared" si="72"/>
        <v>0</v>
      </c>
    </row>
    <row r="48" spans="1:62" ht="22.5">
      <c r="A48" s="8" t="s">
        <v>4</v>
      </c>
      <c r="B48" s="7"/>
      <c r="C48" s="25"/>
      <c r="D48" s="25"/>
      <c r="E48" s="25"/>
      <c r="F48" s="25"/>
      <c r="G48" s="25"/>
      <c r="H48" s="25"/>
      <c r="I48" s="25">
        <v>0</v>
      </c>
      <c r="J48" s="25">
        <v>1</v>
      </c>
      <c r="K48" s="29"/>
      <c r="L48" s="25"/>
      <c r="M48" s="25"/>
      <c r="N48" s="25"/>
      <c r="O48" s="25"/>
      <c r="P48" s="25"/>
      <c r="Q48" s="25"/>
      <c r="R48" s="25">
        <v>0</v>
      </c>
      <c r="S48" s="25">
        <v>1</v>
      </c>
      <c r="U48" s="9">
        <f t="shared" si="43"/>
        <v>1</v>
      </c>
      <c r="V48" s="1">
        <f t="shared" ref="V48:V51" si="73">(1-W48)*Y48</f>
        <v>2.564102564102564E-2</v>
      </c>
      <c r="W48" s="11">
        <f t="shared" si="68"/>
        <v>0</v>
      </c>
      <c r="X48" s="12">
        <v>1</v>
      </c>
      <c r="Y48" s="10">
        <f t="shared" si="69"/>
        <v>2.564102564102564E-2</v>
      </c>
      <c r="Z48" s="18"/>
      <c r="AA48" s="18"/>
      <c r="AB48" s="18"/>
      <c r="AC48" s="18"/>
      <c r="AD48" s="18"/>
      <c r="AE48" s="18"/>
      <c r="AF48" s="18">
        <v>0</v>
      </c>
      <c r="AG48" s="18">
        <v>1</v>
      </c>
      <c r="AH48" s="12"/>
      <c r="AI48" s="18">
        <f t="shared" si="44"/>
        <v>0</v>
      </c>
      <c r="AJ48" s="18">
        <f t="shared" si="45"/>
        <v>0</v>
      </c>
      <c r="AK48" s="18">
        <f t="shared" si="46"/>
        <v>0</v>
      </c>
      <c r="AL48" s="18">
        <f t="shared" si="47"/>
        <v>0</v>
      </c>
      <c r="AM48" s="18">
        <f t="shared" si="48"/>
        <v>0</v>
      </c>
      <c r="AN48" s="18">
        <f t="shared" si="49"/>
        <v>0</v>
      </c>
      <c r="AO48" s="18">
        <f t="shared" si="50"/>
        <v>0</v>
      </c>
      <c r="AP48" s="18">
        <f t="shared" si="51"/>
        <v>1</v>
      </c>
      <c r="AQ48" s="9"/>
      <c r="AR48" s="18">
        <f t="shared" si="52"/>
        <v>0</v>
      </c>
      <c r="AS48" s="18">
        <f t="shared" si="53"/>
        <v>0</v>
      </c>
      <c r="AT48" s="18">
        <f t="shared" si="54"/>
        <v>0</v>
      </c>
      <c r="AU48" s="18">
        <f t="shared" si="55"/>
        <v>0</v>
      </c>
      <c r="AV48" s="18">
        <f t="shared" si="56"/>
        <v>0</v>
      </c>
      <c r="AW48" s="18">
        <f t="shared" si="57"/>
        <v>0</v>
      </c>
      <c r="AX48" s="18">
        <f t="shared" si="58"/>
        <v>0</v>
      </c>
      <c r="AY48" s="18">
        <f t="shared" si="59"/>
        <v>1</v>
      </c>
      <c r="BA48" s="27">
        <f t="shared" si="70"/>
        <v>0</v>
      </c>
      <c r="BB48" s="27">
        <f t="shared" si="60"/>
        <v>0</v>
      </c>
      <c r="BC48" s="27">
        <f t="shared" si="61"/>
        <v>0</v>
      </c>
      <c r="BD48" s="27">
        <f t="shared" si="62"/>
        <v>0</v>
      </c>
      <c r="BE48" s="27">
        <f t="shared" si="63"/>
        <v>0</v>
      </c>
      <c r="BF48" s="27">
        <f t="shared" si="64"/>
        <v>0</v>
      </c>
      <c r="BG48" s="27">
        <f t="shared" si="65"/>
        <v>0</v>
      </c>
      <c r="BH48" s="27">
        <f t="shared" si="66"/>
        <v>0</v>
      </c>
      <c r="BI48" s="27">
        <f t="shared" si="71"/>
        <v>0</v>
      </c>
      <c r="BJ48" s="27">
        <f t="shared" si="72"/>
        <v>0</v>
      </c>
    </row>
    <row r="49" spans="1:62" ht="22.5">
      <c r="A49" s="8" t="s">
        <v>22</v>
      </c>
      <c r="B49" s="7"/>
      <c r="C49" s="25"/>
      <c r="D49" s="25"/>
      <c r="E49" s="25"/>
      <c r="F49" s="25"/>
      <c r="G49" s="25"/>
      <c r="H49" s="25"/>
      <c r="I49" s="25">
        <v>0</v>
      </c>
      <c r="J49" s="25">
        <v>1</v>
      </c>
      <c r="K49" s="29"/>
      <c r="L49" s="25"/>
      <c r="M49" s="25"/>
      <c r="N49" s="25"/>
      <c r="O49" s="25"/>
      <c r="P49" s="25"/>
      <c r="Q49" s="25"/>
      <c r="R49" s="25">
        <v>0</v>
      </c>
      <c r="S49" s="25">
        <v>1</v>
      </c>
      <c r="U49" s="9">
        <f t="shared" si="43"/>
        <v>1</v>
      </c>
      <c r="V49" s="1">
        <f t="shared" si="73"/>
        <v>2.564102564102564E-2</v>
      </c>
      <c r="W49" s="11">
        <f t="shared" si="68"/>
        <v>0</v>
      </c>
      <c r="X49" s="12">
        <v>1</v>
      </c>
      <c r="Y49" s="10">
        <f t="shared" si="69"/>
        <v>2.564102564102564E-2</v>
      </c>
      <c r="Z49" s="18"/>
      <c r="AA49" s="18"/>
      <c r="AB49" s="18"/>
      <c r="AC49" s="18"/>
      <c r="AD49" s="18"/>
      <c r="AE49" s="18"/>
      <c r="AF49" s="18">
        <v>0</v>
      </c>
      <c r="AG49" s="18">
        <v>1</v>
      </c>
      <c r="AH49" s="12"/>
      <c r="AI49" s="18">
        <f t="shared" si="44"/>
        <v>0</v>
      </c>
      <c r="AJ49" s="18">
        <f t="shared" si="45"/>
        <v>0</v>
      </c>
      <c r="AK49" s="18">
        <f t="shared" si="46"/>
        <v>0</v>
      </c>
      <c r="AL49" s="18">
        <f t="shared" si="47"/>
        <v>0</v>
      </c>
      <c r="AM49" s="18">
        <f t="shared" si="48"/>
        <v>0</v>
      </c>
      <c r="AN49" s="18">
        <f t="shared" si="49"/>
        <v>0</v>
      </c>
      <c r="AO49" s="18">
        <f t="shared" si="50"/>
        <v>0</v>
      </c>
      <c r="AP49" s="18">
        <f t="shared" si="51"/>
        <v>1</v>
      </c>
      <c r="AQ49" s="9"/>
      <c r="AR49" s="18">
        <f t="shared" si="52"/>
        <v>0</v>
      </c>
      <c r="AS49" s="18">
        <f t="shared" si="53"/>
        <v>0</v>
      </c>
      <c r="AT49" s="18">
        <f t="shared" si="54"/>
        <v>0</v>
      </c>
      <c r="AU49" s="18">
        <f t="shared" si="55"/>
        <v>0</v>
      </c>
      <c r="AV49" s="18">
        <f t="shared" si="56"/>
        <v>0</v>
      </c>
      <c r="AW49" s="18">
        <f t="shared" si="57"/>
        <v>0</v>
      </c>
      <c r="AX49" s="18">
        <f t="shared" si="58"/>
        <v>0</v>
      </c>
      <c r="AY49" s="18">
        <f t="shared" si="59"/>
        <v>1</v>
      </c>
      <c r="BA49" s="27">
        <f t="shared" si="70"/>
        <v>0</v>
      </c>
      <c r="BB49" s="27">
        <f t="shared" si="60"/>
        <v>0</v>
      </c>
      <c r="BC49" s="27">
        <f t="shared" si="61"/>
        <v>0</v>
      </c>
      <c r="BD49" s="27">
        <f t="shared" si="62"/>
        <v>0</v>
      </c>
      <c r="BE49" s="27">
        <f t="shared" si="63"/>
        <v>0</v>
      </c>
      <c r="BF49" s="27">
        <f t="shared" si="64"/>
        <v>0</v>
      </c>
      <c r="BG49" s="27">
        <f t="shared" si="65"/>
        <v>0</v>
      </c>
      <c r="BH49" s="27">
        <f t="shared" si="66"/>
        <v>0</v>
      </c>
      <c r="BI49" s="27">
        <f t="shared" si="71"/>
        <v>0</v>
      </c>
      <c r="BJ49" s="27">
        <f t="shared" si="72"/>
        <v>0</v>
      </c>
    </row>
    <row r="50" spans="1:62" ht="22.5">
      <c r="A50" s="8" t="s">
        <v>23</v>
      </c>
      <c r="B50" s="7"/>
      <c r="C50" s="25"/>
      <c r="D50" s="25"/>
      <c r="E50" s="25"/>
      <c r="F50" s="25"/>
      <c r="G50" s="25"/>
      <c r="H50" s="25"/>
      <c r="I50" s="25">
        <v>0</v>
      </c>
      <c r="J50" s="25">
        <v>1</v>
      </c>
      <c r="K50" s="29"/>
      <c r="L50" s="25"/>
      <c r="M50" s="25"/>
      <c r="N50" s="25"/>
      <c r="O50" s="25"/>
      <c r="P50" s="25"/>
      <c r="Q50" s="25"/>
      <c r="R50" s="25">
        <v>0</v>
      </c>
      <c r="S50" s="25">
        <v>1</v>
      </c>
      <c r="U50" s="9">
        <f>IF(MATCH(1,C50:J50,0)=MATCH(1,L50:S50,0),1,0)</f>
        <v>1</v>
      </c>
      <c r="V50" s="1">
        <f t="shared" si="73"/>
        <v>2.564102564102564E-2</v>
      </c>
      <c r="W50" s="11">
        <f>BI50</f>
        <v>0</v>
      </c>
      <c r="X50" s="12">
        <v>1</v>
      </c>
      <c r="Y50" s="10">
        <f t="shared" si="69"/>
        <v>2.564102564102564E-2</v>
      </c>
      <c r="Z50" s="18"/>
      <c r="AA50" s="18"/>
      <c r="AB50" s="18"/>
      <c r="AC50" s="18"/>
      <c r="AD50" s="18"/>
      <c r="AE50" s="18"/>
      <c r="AF50" s="18">
        <v>0</v>
      </c>
      <c r="AG50" s="18">
        <v>1</v>
      </c>
      <c r="AI50" s="18">
        <f t="shared" si="44"/>
        <v>0</v>
      </c>
      <c r="AJ50" s="18">
        <f t="shared" si="45"/>
        <v>0</v>
      </c>
      <c r="AK50" s="18">
        <f t="shared" si="46"/>
        <v>0</v>
      </c>
      <c r="AL50" s="18">
        <f t="shared" si="47"/>
        <v>0</v>
      </c>
      <c r="AM50" s="18">
        <f t="shared" si="48"/>
        <v>0</v>
      </c>
      <c r="AN50" s="18">
        <f t="shared" si="49"/>
        <v>0</v>
      </c>
      <c r="AO50" s="18">
        <f t="shared" si="50"/>
        <v>0</v>
      </c>
      <c r="AP50" s="18">
        <f t="shared" si="51"/>
        <v>1</v>
      </c>
      <c r="AQ50" s="9" t="s">
        <v>24</v>
      </c>
      <c r="AR50" s="18">
        <f t="shared" si="52"/>
        <v>0</v>
      </c>
      <c r="AS50" s="18">
        <f t="shared" si="53"/>
        <v>0</v>
      </c>
      <c r="AT50" s="18">
        <f t="shared" si="54"/>
        <v>0</v>
      </c>
      <c r="AU50" s="18">
        <f t="shared" si="55"/>
        <v>0</v>
      </c>
      <c r="AV50" s="18"/>
      <c r="AW50" s="18">
        <f t="shared" si="57"/>
        <v>0</v>
      </c>
      <c r="AX50" s="18">
        <f t="shared" si="58"/>
        <v>0</v>
      </c>
      <c r="AY50" s="18">
        <f t="shared" si="59"/>
        <v>1</v>
      </c>
      <c r="BA50" s="27">
        <f t="shared" si="70"/>
        <v>0</v>
      </c>
      <c r="BB50" s="27">
        <f t="shared" si="60"/>
        <v>0</v>
      </c>
      <c r="BC50" s="27">
        <f t="shared" si="61"/>
        <v>0</v>
      </c>
      <c r="BD50" s="27">
        <f t="shared" si="62"/>
        <v>0</v>
      </c>
      <c r="BE50" s="27">
        <f t="shared" si="63"/>
        <v>0</v>
      </c>
      <c r="BF50" s="27">
        <f t="shared" si="64"/>
        <v>0</v>
      </c>
      <c r="BG50" s="27">
        <f t="shared" si="65"/>
        <v>0</v>
      </c>
      <c r="BH50" s="27">
        <f t="shared" si="66"/>
        <v>0</v>
      </c>
      <c r="BI50" s="27">
        <f t="shared" si="71"/>
        <v>0</v>
      </c>
      <c r="BJ50" s="27">
        <f t="shared" si="72"/>
        <v>0</v>
      </c>
    </row>
    <row r="51" spans="1:62" ht="22.5">
      <c r="A51" s="14" t="s">
        <v>5</v>
      </c>
      <c r="B51" s="7"/>
      <c r="C51" s="25"/>
      <c r="D51" s="25"/>
      <c r="E51" s="25"/>
      <c r="F51" s="25"/>
      <c r="G51" s="25"/>
      <c r="H51" s="25"/>
      <c r="I51" s="25">
        <v>0</v>
      </c>
      <c r="J51" s="25">
        <v>1</v>
      </c>
      <c r="K51" s="29"/>
      <c r="L51" s="25"/>
      <c r="M51" s="25"/>
      <c r="N51" s="25"/>
      <c r="O51" s="25"/>
      <c r="P51" s="25"/>
      <c r="Q51" s="25"/>
      <c r="R51" s="25">
        <v>1</v>
      </c>
      <c r="S51" s="25">
        <v>0</v>
      </c>
      <c r="U51" s="9">
        <f t="shared" ref="U51" si="74">IF(MATCH(1,C51:J51,0)=MATCH(1,L51:S51,0),1,0)</f>
        <v>0</v>
      </c>
      <c r="V51" s="1">
        <f t="shared" si="73"/>
        <v>0</v>
      </c>
      <c r="W51" s="11">
        <f t="shared" ref="W51" si="75">BI51</f>
        <v>1</v>
      </c>
      <c r="X51" s="12">
        <v>1</v>
      </c>
      <c r="Y51" s="10">
        <f t="shared" si="69"/>
        <v>2.564102564102564E-2</v>
      </c>
      <c r="Z51" s="18"/>
      <c r="AA51" s="18"/>
      <c r="AB51" s="18"/>
      <c r="AC51" s="18"/>
      <c r="AD51" s="18"/>
      <c r="AE51" s="18"/>
      <c r="AF51" s="18">
        <v>0</v>
      </c>
      <c r="AG51" s="18">
        <v>1</v>
      </c>
      <c r="AH51" s="20"/>
      <c r="AI51" s="18">
        <f t="shared" si="44"/>
        <v>0</v>
      </c>
      <c r="AJ51" s="18">
        <f t="shared" si="45"/>
        <v>0</v>
      </c>
      <c r="AK51" s="18">
        <f t="shared" si="46"/>
        <v>0</v>
      </c>
      <c r="AL51" s="18">
        <f t="shared" si="47"/>
        <v>0</v>
      </c>
      <c r="AM51" s="18">
        <f t="shared" si="48"/>
        <v>0</v>
      </c>
      <c r="AN51" s="18">
        <f t="shared" si="49"/>
        <v>0</v>
      </c>
      <c r="AO51" s="18">
        <f t="shared" si="50"/>
        <v>0</v>
      </c>
      <c r="AP51" s="18">
        <f t="shared" si="51"/>
        <v>1</v>
      </c>
      <c r="AQ51" s="9"/>
      <c r="AR51" s="18">
        <f t="shared" si="52"/>
        <v>0</v>
      </c>
      <c r="AS51" s="18">
        <f t="shared" si="53"/>
        <v>0</v>
      </c>
      <c r="AT51" s="18">
        <f t="shared" si="54"/>
        <v>0</v>
      </c>
      <c r="AU51" s="18">
        <f t="shared" si="55"/>
        <v>0</v>
      </c>
      <c r="AV51" s="18">
        <f>P51*AD51</f>
        <v>0</v>
      </c>
      <c r="AW51" s="18">
        <f t="shared" si="57"/>
        <v>0</v>
      </c>
      <c r="AX51" s="18">
        <f t="shared" si="58"/>
        <v>0</v>
      </c>
      <c r="AY51" s="18">
        <f t="shared" si="59"/>
        <v>0</v>
      </c>
      <c r="BA51" s="27">
        <f>(AI51-AR51)</f>
        <v>0</v>
      </c>
      <c r="BB51" s="27">
        <f t="shared" si="60"/>
        <v>0</v>
      </c>
      <c r="BC51" s="27">
        <f t="shared" si="61"/>
        <v>0</v>
      </c>
      <c r="BD51" s="27">
        <f t="shared" si="62"/>
        <v>0</v>
      </c>
      <c r="BE51" s="27">
        <f t="shared" si="63"/>
        <v>0</v>
      </c>
      <c r="BF51" s="27">
        <f t="shared" si="64"/>
        <v>0</v>
      </c>
      <c r="BG51" s="27">
        <f t="shared" si="65"/>
        <v>0</v>
      </c>
      <c r="BH51" s="27">
        <f t="shared" si="66"/>
        <v>1</v>
      </c>
      <c r="BI51" s="27">
        <f t="shared" si="71"/>
        <v>1</v>
      </c>
      <c r="BJ51" s="27">
        <f t="shared" si="72"/>
        <v>2.564102564102564E-2</v>
      </c>
    </row>
    <row r="52" spans="1:62">
      <c r="B52" t="s">
        <v>30</v>
      </c>
      <c r="C52" s="30"/>
      <c r="D52" s="30"/>
      <c r="E52" s="30"/>
      <c r="F52" s="30"/>
      <c r="G52" s="30"/>
      <c r="H52" s="30"/>
      <c r="I52" s="30"/>
      <c r="J52" s="30"/>
      <c r="K52" t="s">
        <v>46</v>
      </c>
      <c r="T52" s="3">
        <f>SUM(V53:V68)</f>
        <v>0.8205128205128206</v>
      </c>
      <c r="AI52" s="11">
        <f t="shared" si="44"/>
        <v>0</v>
      </c>
      <c r="AJ52" s="11">
        <f t="shared" si="45"/>
        <v>0</v>
      </c>
      <c r="AK52" s="11">
        <f t="shared" si="46"/>
        <v>0</v>
      </c>
      <c r="AL52" s="11">
        <f t="shared" si="47"/>
        <v>0</v>
      </c>
      <c r="AM52" s="11">
        <f t="shared" si="48"/>
        <v>0</v>
      </c>
      <c r="AN52" s="11">
        <f t="shared" si="49"/>
        <v>0</v>
      </c>
    </row>
    <row r="53" spans="1:62" ht="22.5">
      <c r="A53" s="6" t="s">
        <v>10</v>
      </c>
      <c r="B53" s="7"/>
      <c r="C53" s="25">
        <v>0</v>
      </c>
      <c r="D53" s="28">
        <v>1</v>
      </c>
      <c r="E53" s="28"/>
      <c r="F53" s="28"/>
      <c r="G53" s="28"/>
      <c r="H53" s="28"/>
      <c r="I53" s="28"/>
      <c r="J53" s="28"/>
      <c r="K53" s="29"/>
      <c r="L53" s="25">
        <v>0</v>
      </c>
      <c r="M53" s="28">
        <v>1</v>
      </c>
      <c r="N53" s="28"/>
      <c r="O53" s="28"/>
      <c r="P53" s="28"/>
      <c r="Q53" s="28"/>
      <c r="R53" s="28"/>
      <c r="S53" s="28"/>
      <c r="U53" s="9">
        <f t="shared" ref="U53:U66" si="76">IF(MATCH(1,C53:J53,0)=MATCH(1,L53:S53,0),1,0)</f>
        <v>1</v>
      </c>
      <c r="V53" s="1">
        <f>(1-W53)*Y53</f>
        <v>2.564102564102564E-2</v>
      </c>
      <c r="W53" s="11">
        <f>BI53</f>
        <v>0</v>
      </c>
      <c r="X53" s="9">
        <v>1</v>
      </c>
      <c r="Y53" s="10">
        <f>X53/SUM($X$2:$X$17)</f>
        <v>2.564102564102564E-2</v>
      </c>
      <c r="Z53" s="18">
        <v>0</v>
      </c>
      <c r="AA53" s="18">
        <v>1</v>
      </c>
      <c r="AB53" s="18"/>
      <c r="AC53" s="18"/>
      <c r="AD53" s="18"/>
      <c r="AE53" s="18"/>
      <c r="AF53" s="18"/>
      <c r="AG53" s="18"/>
      <c r="AH53" s="12"/>
      <c r="AI53" s="18">
        <f t="shared" ref="AI53:AI69" si="77">C53*Z53</f>
        <v>0</v>
      </c>
      <c r="AJ53" s="18">
        <f t="shared" ref="AJ53:AJ69" si="78">D53*AA53</f>
        <v>1</v>
      </c>
      <c r="AK53" s="18">
        <f t="shared" ref="AK53:AK69" si="79">E53*AB53</f>
        <v>0</v>
      </c>
      <c r="AL53" s="18">
        <f t="shared" ref="AL53:AL69" si="80">F53*AC53</f>
        <v>0</v>
      </c>
      <c r="AM53" s="18">
        <f t="shared" ref="AM53:AM69" si="81">G53*AD53</f>
        <v>0</v>
      </c>
      <c r="AN53" s="18">
        <f t="shared" ref="AN53:AN69" si="82">H53*AE53</f>
        <v>0</v>
      </c>
      <c r="AO53" s="18">
        <f t="shared" ref="AO53:AO68" si="83">I53*AF53</f>
        <v>0</v>
      </c>
      <c r="AP53" s="18">
        <f t="shared" ref="AP53:AP68" si="84">J53*AG53</f>
        <v>0</v>
      </c>
      <c r="AQ53" s="9"/>
      <c r="AR53" s="18">
        <f t="shared" ref="AR53:AR68" si="85">L53*Z53</f>
        <v>0</v>
      </c>
      <c r="AS53" s="18">
        <f t="shared" ref="AS53:AS68" si="86">M53*AA53</f>
        <v>1</v>
      </c>
      <c r="AT53" s="18">
        <f t="shared" ref="AT53:AT68" si="87">N53*AB53</f>
        <v>0</v>
      </c>
      <c r="AU53" s="18">
        <f t="shared" ref="AU53:AU68" si="88">O53*AC53</f>
        <v>0</v>
      </c>
      <c r="AV53" s="18">
        <f t="shared" ref="AV53:AV66" si="89">P53*AD53</f>
        <v>0</v>
      </c>
      <c r="AW53" s="18">
        <f t="shared" ref="AW53:AW68" si="90">Q53*AE53</f>
        <v>0</v>
      </c>
      <c r="AX53" s="18">
        <f t="shared" ref="AX53:AX68" si="91">R53*AF53</f>
        <v>0</v>
      </c>
      <c r="AY53" s="18">
        <f t="shared" ref="AY53:AY68" si="92">S53*AG53</f>
        <v>0</v>
      </c>
      <c r="BA53" s="27">
        <f>(AI53-AR53)</f>
        <v>0</v>
      </c>
      <c r="BB53" s="27">
        <f t="shared" ref="BB53:BB68" si="93">(AJ53-AS53)</f>
        <v>0</v>
      </c>
      <c r="BC53" s="27">
        <f t="shared" ref="BC53:BC68" si="94">(AK53-AT53)</f>
        <v>0</v>
      </c>
      <c r="BD53" s="27">
        <f t="shared" ref="BD53:BD68" si="95">(AL53-AU53)</f>
        <v>0</v>
      </c>
      <c r="BE53" s="27">
        <f t="shared" ref="BE53:BE68" si="96">(AM53-AV53)</f>
        <v>0</v>
      </c>
      <c r="BF53" s="27">
        <f t="shared" ref="BF53:BF68" si="97">(AN53-AW53)</f>
        <v>0</v>
      </c>
      <c r="BG53" s="27">
        <f t="shared" ref="BG53:BG68" si="98">(AO53-AX53)</f>
        <v>0</v>
      </c>
      <c r="BH53" s="27">
        <f t="shared" ref="BH53:BH68" si="99">(AP53-AY53)</f>
        <v>0</v>
      </c>
      <c r="BI53" s="27">
        <f>ABS(SUM(BA53:BH53))</f>
        <v>0</v>
      </c>
      <c r="BJ53" s="27">
        <f>BI53*Y53</f>
        <v>0</v>
      </c>
    </row>
    <row r="54" spans="1:62" ht="22.5">
      <c r="A54" s="6" t="s">
        <v>11</v>
      </c>
      <c r="B54" s="7"/>
      <c r="C54" s="25">
        <v>0</v>
      </c>
      <c r="D54" s="28">
        <v>1</v>
      </c>
      <c r="E54" s="28"/>
      <c r="F54" s="28"/>
      <c r="G54" s="28"/>
      <c r="H54" s="28"/>
      <c r="I54" s="28"/>
      <c r="J54" s="28"/>
      <c r="K54" s="29"/>
      <c r="L54" s="25">
        <v>0</v>
      </c>
      <c r="M54" s="28">
        <v>1</v>
      </c>
      <c r="N54" s="28"/>
      <c r="O54" s="28"/>
      <c r="P54" s="28"/>
      <c r="Q54" s="28"/>
      <c r="R54" s="28"/>
      <c r="S54" s="28"/>
      <c r="U54" s="9">
        <f t="shared" si="76"/>
        <v>1</v>
      </c>
      <c r="V54" s="1">
        <f t="shared" ref="V54:V63" si="100">(1-W54)*Y54</f>
        <v>2.564102564102564E-2</v>
      </c>
      <c r="W54" s="11">
        <f t="shared" ref="W54:W66" si="101">BI54</f>
        <v>0</v>
      </c>
      <c r="X54" s="9">
        <v>1</v>
      </c>
      <c r="Y54" s="10">
        <f t="shared" ref="Y54:Y68" si="102">X54/SUM($X$2:$X$17)</f>
        <v>2.564102564102564E-2</v>
      </c>
      <c r="Z54" s="18">
        <v>0</v>
      </c>
      <c r="AA54" s="18">
        <v>1</v>
      </c>
      <c r="AB54" s="18"/>
      <c r="AC54" s="18"/>
      <c r="AD54" s="18"/>
      <c r="AE54" s="18"/>
      <c r="AF54" s="18"/>
      <c r="AG54" s="18"/>
      <c r="AH54" s="12"/>
      <c r="AI54" s="18">
        <f t="shared" si="77"/>
        <v>0</v>
      </c>
      <c r="AJ54" s="18">
        <f t="shared" si="78"/>
        <v>1</v>
      </c>
      <c r="AK54" s="18">
        <f t="shared" si="79"/>
        <v>0</v>
      </c>
      <c r="AL54" s="18">
        <f t="shared" si="80"/>
        <v>0</v>
      </c>
      <c r="AM54" s="18">
        <f t="shared" si="81"/>
        <v>0</v>
      </c>
      <c r="AN54" s="18">
        <f t="shared" si="82"/>
        <v>0</v>
      </c>
      <c r="AO54" s="18">
        <f t="shared" si="83"/>
        <v>0</v>
      </c>
      <c r="AP54" s="18">
        <f t="shared" si="84"/>
        <v>0</v>
      </c>
      <c r="AQ54" s="9"/>
      <c r="AR54" s="18">
        <f t="shared" si="85"/>
        <v>0</v>
      </c>
      <c r="AS54" s="18">
        <f t="shared" si="86"/>
        <v>1</v>
      </c>
      <c r="AT54" s="18">
        <f t="shared" si="87"/>
        <v>0</v>
      </c>
      <c r="AU54" s="18">
        <f t="shared" si="88"/>
        <v>0</v>
      </c>
      <c r="AV54" s="18">
        <f t="shared" si="89"/>
        <v>0</v>
      </c>
      <c r="AW54" s="18">
        <f t="shared" si="90"/>
        <v>0</v>
      </c>
      <c r="AX54" s="18">
        <f t="shared" si="91"/>
        <v>0</v>
      </c>
      <c r="AY54" s="18">
        <f t="shared" si="92"/>
        <v>0</v>
      </c>
      <c r="BA54" s="27">
        <f t="shared" ref="BA54:BA67" si="103">(AI54-AR54)</f>
        <v>0</v>
      </c>
      <c r="BB54" s="27">
        <f t="shared" si="93"/>
        <v>0</v>
      </c>
      <c r="BC54" s="27">
        <f t="shared" si="94"/>
        <v>0</v>
      </c>
      <c r="BD54" s="27">
        <f t="shared" si="95"/>
        <v>0</v>
      </c>
      <c r="BE54" s="27">
        <f t="shared" si="96"/>
        <v>0</v>
      </c>
      <c r="BF54" s="27">
        <f t="shared" si="97"/>
        <v>0</v>
      </c>
      <c r="BG54" s="27">
        <f t="shared" si="98"/>
        <v>0</v>
      </c>
      <c r="BH54" s="27">
        <f t="shared" si="99"/>
        <v>0</v>
      </c>
      <c r="BI54" s="27">
        <f t="shared" ref="BI54:BI68" si="104">ABS(SUM(BA54:BH54))</f>
        <v>0</v>
      </c>
      <c r="BJ54" s="27">
        <f t="shared" ref="BJ54:BJ68" si="105">BI54*Y54</f>
        <v>0</v>
      </c>
    </row>
    <row r="55" spans="1:62" s="22" customFormat="1" ht="22.5">
      <c r="A55" s="8" t="s">
        <v>12</v>
      </c>
      <c r="B55" s="21"/>
      <c r="C55" s="25">
        <v>0</v>
      </c>
      <c r="D55" s="25">
        <v>1</v>
      </c>
      <c r="E55" s="25">
        <v>0</v>
      </c>
      <c r="F55" s="28">
        <v>0</v>
      </c>
      <c r="G55" s="28"/>
      <c r="H55" s="28"/>
      <c r="I55" s="28"/>
      <c r="J55" s="28"/>
      <c r="K55" s="29"/>
      <c r="L55" s="25">
        <v>0</v>
      </c>
      <c r="M55" s="25">
        <v>1</v>
      </c>
      <c r="N55" s="25">
        <v>0</v>
      </c>
      <c r="O55" s="28">
        <v>0</v>
      </c>
      <c r="P55" s="28"/>
      <c r="Q55" s="28"/>
      <c r="R55" s="28"/>
      <c r="S55" s="28"/>
      <c r="T55"/>
      <c r="U55" s="23">
        <f t="shared" si="76"/>
        <v>1</v>
      </c>
      <c r="V55" s="1">
        <f t="shared" si="100"/>
        <v>5.128205128205128E-2</v>
      </c>
      <c r="W55" s="11">
        <f t="shared" si="101"/>
        <v>0</v>
      </c>
      <c r="X55" s="23">
        <v>2</v>
      </c>
      <c r="Y55" s="24">
        <f t="shared" si="102"/>
        <v>5.128205128205128E-2</v>
      </c>
      <c r="Z55" s="18">
        <v>0</v>
      </c>
      <c r="AA55" s="18">
        <v>0.3</v>
      </c>
      <c r="AB55" s="18">
        <v>0.8</v>
      </c>
      <c r="AC55" s="18">
        <v>1</v>
      </c>
      <c r="AD55" s="18"/>
      <c r="AE55" s="18"/>
      <c r="AF55" s="18"/>
      <c r="AG55" s="18"/>
      <c r="AH55" s="12"/>
      <c r="AI55" s="18">
        <f t="shared" si="77"/>
        <v>0</v>
      </c>
      <c r="AJ55" s="18">
        <f t="shared" si="78"/>
        <v>0.3</v>
      </c>
      <c r="AK55" s="18">
        <f t="shared" si="79"/>
        <v>0</v>
      </c>
      <c r="AL55" s="18">
        <f t="shared" si="80"/>
        <v>0</v>
      </c>
      <c r="AM55" s="18">
        <f t="shared" si="81"/>
        <v>0</v>
      </c>
      <c r="AN55" s="18">
        <f t="shared" si="82"/>
        <v>0</v>
      </c>
      <c r="AO55" s="18">
        <f t="shared" si="83"/>
        <v>0</v>
      </c>
      <c r="AP55" s="18">
        <f t="shared" si="84"/>
        <v>0</v>
      </c>
      <c r="AQ55" s="23"/>
      <c r="AR55" s="18">
        <f t="shared" si="85"/>
        <v>0</v>
      </c>
      <c r="AS55" s="18">
        <f t="shared" si="86"/>
        <v>0.3</v>
      </c>
      <c r="AT55" s="18">
        <f t="shared" si="87"/>
        <v>0</v>
      </c>
      <c r="AU55" s="18">
        <f t="shared" si="88"/>
        <v>0</v>
      </c>
      <c r="AV55" s="18">
        <f t="shared" si="89"/>
        <v>0</v>
      </c>
      <c r="AW55" s="18">
        <f t="shared" si="90"/>
        <v>0</v>
      </c>
      <c r="AX55" s="18">
        <f t="shared" si="91"/>
        <v>0</v>
      </c>
      <c r="AY55" s="18">
        <f t="shared" si="92"/>
        <v>0</v>
      </c>
      <c r="BA55" s="27">
        <f t="shared" si="103"/>
        <v>0</v>
      </c>
      <c r="BB55" s="27">
        <f t="shared" si="93"/>
        <v>0</v>
      </c>
      <c r="BC55" s="27">
        <f t="shared" si="94"/>
        <v>0</v>
      </c>
      <c r="BD55" s="27">
        <f t="shared" si="95"/>
        <v>0</v>
      </c>
      <c r="BE55" s="27">
        <f t="shared" si="96"/>
        <v>0</v>
      </c>
      <c r="BF55" s="27">
        <f t="shared" si="97"/>
        <v>0</v>
      </c>
      <c r="BG55" s="27">
        <f t="shared" si="98"/>
        <v>0</v>
      </c>
      <c r="BH55" s="27">
        <f t="shared" si="99"/>
        <v>0</v>
      </c>
      <c r="BI55" s="27">
        <f t="shared" si="104"/>
        <v>0</v>
      </c>
      <c r="BJ55" s="27">
        <f t="shared" si="105"/>
        <v>0</v>
      </c>
    </row>
    <row r="56" spans="1:62" s="22" customFormat="1" ht="22.5">
      <c r="A56" s="8" t="s">
        <v>13</v>
      </c>
      <c r="B56" s="21"/>
      <c r="C56" s="25">
        <v>0</v>
      </c>
      <c r="D56" s="25">
        <v>0</v>
      </c>
      <c r="E56" s="25">
        <v>0</v>
      </c>
      <c r="F56" s="28">
        <v>1</v>
      </c>
      <c r="G56" s="28"/>
      <c r="H56" s="28"/>
      <c r="I56" s="28"/>
      <c r="J56" s="28"/>
      <c r="K56" s="29"/>
      <c r="L56" s="25">
        <v>0</v>
      </c>
      <c r="M56" s="25">
        <v>0</v>
      </c>
      <c r="N56" s="25">
        <v>0</v>
      </c>
      <c r="O56" s="28">
        <v>1</v>
      </c>
      <c r="P56" s="28"/>
      <c r="Q56" s="28"/>
      <c r="R56" s="28"/>
      <c r="S56" s="28"/>
      <c r="T56"/>
      <c r="U56" s="23">
        <f t="shared" si="76"/>
        <v>1</v>
      </c>
      <c r="V56" s="1">
        <f t="shared" si="100"/>
        <v>5.128205128205128E-2</v>
      </c>
      <c r="W56" s="11">
        <f t="shared" si="101"/>
        <v>0</v>
      </c>
      <c r="X56" s="23">
        <v>2</v>
      </c>
      <c r="Y56" s="24">
        <f t="shared" si="102"/>
        <v>5.128205128205128E-2</v>
      </c>
      <c r="Z56" s="18">
        <v>0</v>
      </c>
      <c r="AA56" s="18">
        <v>0.3</v>
      </c>
      <c r="AB56" s="18">
        <v>0.8</v>
      </c>
      <c r="AC56" s="18">
        <v>1</v>
      </c>
      <c r="AD56" s="18"/>
      <c r="AE56" s="18"/>
      <c r="AF56" s="18"/>
      <c r="AG56" s="18"/>
      <c r="AH56" s="12"/>
      <c r="AI56" s="18">
        <f t="shared" si="77"/>
        <v>0</v>
      </c>
      <c r="AJ56" s="18">
        <f t="shared" si="78"/>
        <v>0</v>
      </c>
      <c r="AK56" s="18">
        <f t="shared" si="79"/>
        <v>0</v>
      </c>
      <c r="AL56" s="18">
        <f t="shared" si="80"/>
        <v>1</v>
      </c>
      <c r="AM56" s="18">
        <f t="shared" si="81"/>
        <v>0</v>
      </c>
      <c r="AN56" s="18">
        <f t="shared" si="82"/>
        <v>0</v>
      </c>
      <c r="AO56" s="18">
        <f t="shared" si="83"/>
        <v>0</v>
      </c>
      <c r="AP56" s="18">
        <f t="shared" si="84"/>
        <v>0</v>
      </c>
      <c r="AQ56" s="23"/>
      <c r="AR56" s="18">
        <f t="shared" si="85"/>
        <v>0</v>
      </c>
      <c r="AS56" s="18">
        <f t="shared" si="86"/>
        <v>0</v>
      </c>
      <c r="AT56" s="18">
        <f t="shared" si="87"/>
        <v>0</v>
      </c>
      <c r="AU56" s="18">
        <f t="shared" si="88"/>
        <v>1</v>
      </c>
      <c r="AV56" s="18">
        <f t="shared" si="89"/>
        <v>0</v>
      </c>
      <c r="AW56" s="18">
        <f t="shared" si="90"/>
        <v>0</v>
      </c>
      <c r="AX56" s="18">
        <f t="shared" si="91"/>
        <v>0</v>
      </c>
      <c r="AY56" s="18">
        <f t="shared" si="92"/>
        <v>0</v>
      </c>
      <c r="BA56" s="27">
        <f t="shared" si="103"/>
        <v>0</v>
      </c>
      <c r="BB56" s="27">
        <f t="shared" si="93"/>
        <v>0</v>
      </c>
      <c r="BC56" s="27">
        <f t="shared" si="94"/>
        <v>0</v>
      </c>
      <c r="BD56" s="27">
        <f t="shared" si="95"/>
        <v>0</v>
      </c>
      <c r="BE56" s="27">
        <f t="shared" si="96"/>
        <v>0</v>
      </c>
      <c r="BF56" s="27">
        <f t="shared" si="97"/>
        <v>0</v>
      </c>
      <c r="BG56" s="27">
        <f t="shared" si="98"/>
        <v>0</v>
      </c>
      <c r="BH56" s="27">
        <f t="shared" si="99"/>
        <v>0</v>
      </c>
      <c r="BI56" s="27">
        <f t="shared" si="104"/>
        <v>0</v>
      </c>
      <c r="BJ56" s="27">
        <f t="shared" si="105"/>
        <v>0</v>
      </c>
    </row>
    <row r="57" spans="1:62" s="22" customFormat="1" ht="22.5">
      <c r="A57" s="8" t="s">
        <v>14</v>
      </c>
      <c r="B57" s="21"/>
      <c r="C57" s="25">
        <v>0</v>
      </c>
      <c r="D57" s="25">
        <v>0</v>
      </c>
      <c r="E57" s="25">
        <v>1</v>
      </c>
      <c r="F57" s="28">
        <v>0</v>
      </c>
      <c r="G57" s="28"/>
      <c r="H57" s="28"/>
      <c r="I57" s="28"/>
      <c r="J57" s="28"/>
      <c r="K57" s="29"/>
      <c r="L57" s="25">
        <v>0</v>
      </c>
      <c r="M57" s="25">
        <v>0</v>
      </c>
      <c r="N57" s="25">
        <v>1</v>
      </c>
      <c r="O57" s="28">
        <v>0</v>
      </c>
      <c r="P57" s="28"/>
      <c r="Q57" s="28"/>
      <c r="R57" s="28"/>
      <c r="S57" s="28"/>
      <c r="T57"/>
      <c r="U57" s="23">
        <f t="shared" si="76"/>
        <v>1</v>
      </c>
      <c r="V57" s="1">
        <f t="shared" si="100"/>
        <v>5.128205128205128E-2</v>
      </c>
      <c r="W57" s="11">
        <f t="shared" si="101"/>
        <v>0</v>
      </c>
      <c r="X57" s="23">
        <v>2</v>
      </c>
      <c r="Y57" s="24">
        <f t="shared" si="102"/>
        <v>5.128205128205128E-2</v>
      </c>
      <c r="Z57" s="18">
        <v>0</v>
      </c>
      <c r="AA57" s="18">
        <v>0.3</v>
      </c>
      <c r="AB57" s="18">
        <v>0.8</v>
      </c>
      <c r="AC57" s="18">
        <v>1</v>
      </c>
      <c r="AD57" s="18"/>
      <c r="AE57" s="18"/>
      <c r="AF57" s="18"/>
      <c r="AG57" s="18"/>
      <c r="AH57" s="12"/>
      <c r="AI57" s="18">
        <f t="shared" si="77"/>
        <v>0</v>
      </c>
      <c r="AJ57" s="18">
        <f t="shared" si="78"/>
        <v>0</v>
      </c>
      <c r="AK57" s="18">
        <f t="shared" si="79"/>
        <v>0.8</v>
      </c>
      <c r="AL57" s="18">
        <f t="shared" si="80"/>
        <v>0</v>
      </c>
      <c r="AM57" s="18">
        <f t="shared" si="81"/>
        <v>0</v>
      </c>
      <c r="AN57" s="18">
        <f t="shared" si="82"/>
        <v>0</v>
      </c>
      <c r="AO57" s="18">
        <f t="shared" si="83"/>
        <v>0</v>
      </c>
      <c r="AP57" s="18">
        <f t="shared" si="84"/>
        <v>0</v>
      </c>
      <c r="AQ57" s="23"/>
      <c r="AR57" s="18">
        <f t="shared" si="85"/>
        <v>0</v>
      </c>
      <c r="AS57" s="18">
        <f t="shared" si="86"/>
        <v>0</v>
      </c>
      <c r="AT57" s="18">
        <f t="shared" si="87"/>
        <v>0.8</v>
      </c>
      <c r="AU57" s="18">
        <f t="shared" si="88"/>
        <v>0</v>
      </c>
      <c r="AV57" s="18">
        <f t="shared" si="89"/>
        <v>0</v>
      </c>
      <c r="AW57" s="18">
        <f t="shared" si="90"/>
        <v>0</v>
      </c>
      <c r="AX57" s="18">
        <f t="shared" si="91"/>
        <v>0</v>
      </c>
      <c r="AY57" s="18">
        <f t="shared" si="92"/>
        <v>0</v>
      </c>
      <c r="BA57" s="27">
        <f t="shared" si="103"/>
        <v>0</v>
      </c>
      <c r="BB57" s="27">
        <f t="shared" si="93"/>
        <v>0</v>
      </c>
      <c r="BC57" s="27">
        <f t="shared" si="94"/>
        <v>0</v>
      </c>
      <c r="BD57" s="27">
        <f t="shared" si="95"/>
        <v>0</v>
      </c>
      <c r="BE57" s="27">
        <f t="shared" si="96"/>
        <v>0</v>
      </c>
      <c r="BF57" s="27">
        <f t="shared" si="97"/>
        <v>0</v>
      </c>
      <c r="BG57" s="27">
        <f t="shared" si="98"/>
        <v>0</v>
      </c>
      <c r="BH57" s="27">
        <f t="shared" si="99"/>
        <v>0</v>
      </c>
      <c r="BI57" s="27">
        <f t="shared" si="104"/>
        <v>0</v>
      </c>
      <c r="BJ57" s="27">
        <f t="shared" si="105"/>
        <v>0</v>
      </c>
    </row>
    <row r="58" spans="1:62" s="22" customFormat="1" ht="22.5">
      <c r="A58" s="8" t="s">
        <v>15</v>
      </c>
      <c r="B58" s="21"/>
      <c r="C58" s="25">
        <v>0</v>
      </c>
      <c r="D58" s="25">
        <v>1</v>
      </c>
      <c r="E58" s="25">
        <v>0</v>
      </c>
      <c r="F58" s="28">
        <v>0</v>
      </c>
      <c r="G58" s="28"/>
      <c r="H58" s="28"/>
      <c r="I58" s="28"/>
      <c r="J58" s="28"/>
      <c r="K58" s="29"/>
      <c r="L58" s="25">
        <v>0</v>
      </c>
      <c r="M58" s="25">
        <v>1</v>
      </c>
      <c r="N58" s="25">
        <v>0</v>
      </c>
      <c r="O58" s="28">
        <v>0</v>
      </c>
      <c r="P58" s="28"/>
      <c r="Q58" s="28"/>
      <c r="R58" s="28"/>
      <c r="S58" s="28"/>
      <c r="T58"/>
      <c r="U58" s="23">
        <f t="shared" si="76"/>
        <v>1</v>
      </c>
      <c r="V58" s="1">
        <f t="shared" si="100"/>
        <v>7.6923076923076927E-2</v>
      </c>
      <c r="W58" s="11">
        <f t="shared" si="101"/>
        <v>0</v>
      </c>
      <c r="X58" s="23">
        <v>3</v>
      </c>
      <c r="Y58" s="24">
        <f t="shared" si="102"/>
        <v>7.6923076923076927E-2</v>
      </c>
      <c r="Z58" s="18">
        <v>0</v>
      </c>
      <c r="AA58" s="18">
        <v>0.3</v>
      </c>
      <c r="AB58" s="18">
        <v>0.8</v>
      </c>
      <c r="AC58" s="18">
        <v>1</v>
      </c>
      <c r="AD58" s="18"/>
      <c r="AE58" s="18"/>
      <c r="AF58" s="18"/>
      <c r="AG58" s="18"/>
      <c r="AH58" s="12"/>
      <c r="AI58" s="18">
        <f t="shared" si="77"/>
        <v>0</v>
      </c>
      <c r="AJ58" s="18">
        <f t="shared" si="78"/>
        <v>0.3</v>
      </c>
      <c r="AK58" s="18">
        <f t="shared" si="79"/>
        <v>0</v>
      </c>
      <c r="AL58" s="18">
        <f t="shared" si="80"/>
        <v>0</v>
      </c>
      <c r="AM58" s="18">
        <f t="shared" si="81"/>
        <v>0</v>
      </c>
      <c r="AN58" s="18">
        <f t="shared" si="82"/>
        <v>0</v>
      </c>
      <c r="AO58" s="18">
        <f t="shared" si="83"/>
        <v>0</v>
      </c>
      <c r="AP58" s="18">
        <f t="shared" si="84"/>
        <v>0</v>
      </c>
      <c r="AQ58" s="23"/>
      <c r="AR58" s="18">
        <f t="shared" si="85"/>
        <v>0</v>
      </c>
      <c r="AS58" s="18">
        <f t="shared" si="86"/>
        <v>0.3</v>
      </c>
      <c r="AT58" s="18">
        <f t="shared" si="87"/>
        <v>0</v>
      </c>
      <c r="AU58" s="18">
        <f t="shared" si="88"/>
        <v>0</v>
      </c>
      <c r="AV58" s="18">
        <f t="shared" si="89"/>
        <v>0</v>
      </c>
      <c r="AW58" s="18">
        <f t="shared" si="90"/>
        <v>0</v>
      </c>
      <c r="AX58" s="18">
        <f t="shared" si="91"/>
        <v>0</v>
      </c>
      <c r="AY58" s="18">
        <f t="shared" si="92"/>
        <v>0</v>
      </c>
      <c r="BA58" s="27">
        <f t="shared" si="103"/>
        <v>0</v>
      </c>
      <c r="BB58" s="27">
        <f t="shared" si="93"/>
        <v>0</v>
      </c>
      <c r="BC58" s="27">
        <f t="shared" si="94"/>
        <v>0</v>
      </c>
      <c r="BD58" s="27">
        <f t="shared" si="95"/>
        <v>0</v>
      </c>
      <c r="BE58" s="27">
        <f t="shared" si="96"/>
        <v>0</v>
      </c>
      <c r="BF58" s="27">
        <f t="shared" si="97"/>
        <v>0</v>
      </c>
      <c r="BG58" s="27">
        <f t="shared" si="98"/>
        <v>0</v>
      </c>
      <c r="BH58" s="27">
        <f t="shared" si="99"/>
        <v>0</v>
      </c>
      <c r="BI58" s="27">
        <f t="shared" si="104"/>
        <v>0</v>
      </c>
      <c r="BJ58" s="27">
        <f t="shared" si="105"/>
        <v>0</v>
      </c>
    </row>
    <row r="59" spans="1:62" s="22" customFormat="1" ht="22.5">
      <c r="A59" s="8" t="s">
        <v>16</v>
      </c>
      <c r="B59" s="21"/>
      <c r="C59" s="25">
        <v>1</v>
      </c>
      <c r="D59" s="25">
        <v>0</v>
      </c>
      <c r="E59" s="25">
        <v>0</v>
      </c>
      <c r="F59" s="28">
        <v>0</v>
      </c>
      <c r="G59" s="28"/>
      <c r="H59" s="28"/>
      <c r="I59" s="28"/>
      <c r="J59" s="28"/>
      <c r="K59" s="29"/>
      <c r="L59" s="25">
        <v>1</v>
      </c>
      <c r="M59" s="25">
        <v>0</v>
      </c>
      <c r="N59" s="25">
        <v>0</v>
      </c>
      <c r="O59" s="28">
        <v>0</v>
      </c>
      <c r="P59" s="28"/>
      <c r="Q59" s="28"/>
      <c r="R59" s="28"/>
      <c r="S59" s="28"/>
      <c r="T59"/>
      <c r="U59" s="23">
        <f t="shared" si="76"/>
        <v>1</v>
      </c>
      <c r="V59" s="1">
        <f t="shared" si="100"/>
        <v>0.12820512820512819</v>
      </c>
      <c r="W59" s="11">
        <f t="shared" si="101"/>
        <v>0</v>
      </c>
      <c r="X59" s="23">
        <v>5</v>
      </c>
      <c r="Y59" s="24">
        <f t="shared" si="102"/>
        <v>0.12820512820512819</v>
      </c>
      <c r="Z59" s="18">
        <v>0</v>
      </c>
      <c r="AA59" s="18">
        <v>0.3</v>
      </c>
      <c r="AB59" s="18">
        <v>0.8</v>
      </c>
      <c r="AC59" s="18">
        <v>1</v>
      </c>
      <c r="AD59" s="18"/>
      <c r="AE59" s="18"/>
      <c r="AF59" s="18"/>
      <c r="AG59" s="18"/>
      <c r="AH59" s="12"/>
      <c r="AI59" s="18">
        <f t="shared" si="77"/>
        <v>0</v>
      </c>
      <c r="AJ59" s="18">
        <f t="shared" si="78"/>
        <v>0</v>
      </c>
      <c r="AK59" s="18">
        <f t="shared" si="79"/>
        <v>0</v>
      </c>
      <c r="AL59" s="18">
        <f t="shared" si="80"/>
        <v>0</v>
      </c>
      <c r="AM59" s="18">
        <f t="shared" si="81"/>
        <v>0</v>
      </c>
      <c r="AN59" s="18">
        <f t="shared" si="82"/>
        <v>0</v>
      </c>
      <c r="AO59" s="18">
        <f t="shared" si="83"/>
        <v>0</v>
      </c>
      <c r="AP59" s="18">
        <f t="shared" si="84"/>
        <v>0</v>
      </c>
      <c r="AQ59" s="23"/>
      <c r="AR59" s="18">
        <f t="shared" si="85"/>
        <v>0</v>
      </c>
      <c r="AS59" s="18">
        <f t="shared" si="86"/>
        <v>0</v>
      </c>
      <c r="AT59" s="18">
        <f t="shared" si="87"/>
        <v>0</v>
      </c>
      <c r="AU59" s="18">
        <f t="shared" si="88"/>
        <v>0</v>
      </c>
      <c r="AV59" s="18">
        <f t="shared" si="89"/>
        <v>0</v>
      </c>
      <c r="AW59" s="18">
        <f t="shared" si="90"/>
        <v>0</v>
      </c>
      <c r="AX59" s="18">
        <f t="shared" si="91"/>
        <v>0</v>
      </c>
      <c r="AY59" s="18">
        <f t="shared" si="92"/>
        <v>0</v>
      </c>
      <c r="BA59" s="27">
        <f t="shared" si="103"/>
        <v>0</v>
      </c>
      <c r="BB59" s="27">
        <f t="shared" si="93"/>
        <v>0</v>
      </c>
      <c r="BC59" s="27">
        <f t="shared" si="94"/>
        <v>0</v>
      </c>
      <c r="BD59" s="27">
        <f t="shared" si="95"/>
        <v>0</v>
      </c>
      <c r="BE59" s="27">
        <f t="shared" si="96"/>
        <v>0</v>
      </c>
      <c r="BF59" s="27">
        <f t="shared" si="97"/>
        <v>0</v>
      </c>
      <c r="BG59" s="27">
        <f t="shared" si="98"/>
        <v>0</v>
      </c>
      <c r="BH59" s="27">
        <f t="shared" si="99"/>
        <v>0</v>
      </c>
      <c r="BI59" s="27">
        <f t="shared" si="104"/>
        <v>0</v>
      </c>
      <c r="BJ59" s="27">
        <f t="shared" si="105"/>
        <v>0</v>
      </c>
    </row>
    <row r="60" spans="1:62" ht="22.5">
      <c r="A60" s="4" t="s">
        <v>0</v>
      </c>
      <c r="B60" s="7"/>
      <c r="C60" s="25">
        <v>0</v>
      </c>
      <c r="D60" s="25">
        <v>1</v>
      </c>
      <c r="E60" s="25"/>
      <c r="F60" s="28"/>
      <c r="G60" s="28"/>
      <c r="H60" s="28"/>
      <c r="I60" s="28"/>
      <c r="J60" s="28"/>
      <c r="K60" s="29"/>
      <c r="L60" s="25">
        <v>0</v>
      </c>
      <c r="M60" s="25">
        <v>1</v>
      </c>
      <c r="N60" s="25"/>
      <c r="O60" s="28"/>
      <c r="P60" s="28"/>
      <c r="Q60" s="28"/>
      <c r="R60" s="28"/>
      <c r="S60" s="28"/>
      <c r="U60" s="9">
        <f t="shared" si="76"/>
        <v>1</v>
      </c>
      <c r="V60" s="1">
        <f t="shared" si="100"/>
        <v>5.128205128205128E-2</v>
      </c>
      <c r="W60" s="11">
        <f t="shared" si="101"/>
        <v>0</v>
      </c>
      <c r="X60" s="12">
        <v>2</v>
      </c>
      <c r="Y60" s="10">
        <f t="shared" si="102"/>
        <v>5.128205128205128E-2</v>
      </c>
      <c r="Z60" s="18">
        <v>0</v>
      </c>
      <c r="AA60" s="18">
        <f>IF(M60=1,1,0)</f>
        <v>1</v>
      </c>
      <c r="AB60" s="18">
        <v>0</v>
      </c>
      <c r="AC60" s="18">
        <v>0</v>
      </c>
      <c r="AD60" s="18"/>
      <c r="AE60" s="18"/>
      <c r="AF60" s="18"/>
      <c r="AG60" s="18"/>
      <c r="AH60" s="12"/>
      <c r="AI60" s="18">
        <f t="shared" si="77"/>
        <v>0</v>
      </c>
      <c r="AJ60" s="18">
        <f t="shared" si="78"/>
        <v>1</v>
      </c>
      <c r="AK60" s="18">
        <f t="shared" si="79"/>
        <v>0</v>
      </c>
      <c r="AL60" s="18">
        <f t="shared" si="80"/>
        <v>0</v>
      </c>
      <c r="AM60" s="18">
        <f t="shared" si="81"/>
        <v>0</v>
      </c>
      <c r="AN60" s="18">
        <f t="shared" si="82"/>
        <v>0</v>
      </c>
      <c r="AO60" s="18">
        <f t="shared" si="83"/>
        <v>0</v>
      </c>
      <c r="AP60" s="18">
        <f t="shared" si="84"/>
        <v>0</v>
      </c>
      <c r="AQ60" s="9"/>
      <c r="AR60" s="18">
        <f t="shared" si="85"/>
        <v>0</v>
      </c>
      <c r="AS60" s="18">
        <f t="shared" si="86"/>
        <v>1</v>
      </c>
      <c r="AT60" s="18">
        <f t="shared" si="87"/>
        <v>0</v>
      </c>
      <c r="AU60" s="18">
        <f t="shared" si="88"/>
        <v>0</v>
      </c>
      <c r="AV60" s="18">
        <f t="shared" si="89"/>
        <v>0</v>
      </c>
      <c r="AW60" s="18">
        <f t="shared" si="90"/>
        <v>0</v>
      </c>
      <c r="AX60" s="18">
        <f t="shared" si="91"/>
        <v>0</v>
      </c>
      <c r="AY60" s="18">
        <f t="shared" si="92"/>
        <v>0</v>
      </c>
      <c r="BA60" s="27">
        <f t="shared" si="103"/>
        <v>0</v>
      </c>
      <c r="BB60" s="27">
        <f t="shared" si="93"/>
        <v>0</v>
      </c>
      <c r="BC60" s="27">
        <f t="shared" si="94"/>
        <v>0</v>
      </c>
      <c r="BD60" s="27">
        <f t="shared" si="95"/>
        <v>0</v>
      </c>
      <c r="BE60" s="27">
        <f t="shared" si="96"/>
        <v>0</v>
      </c>
      <c r="BF60" s="27">
        <f t="shared" si="97"/>
        <v>0</v>
      </c>
      <c r="BG60" s="27">
        <f t="shared" si="98"/>
        <v>0</v>
      </c>
      <c r="BH60" s="27">
        <f t="shared" si="99"/>
        <v>0</v>
      </c>
      <c r="BI60" s="27">
        <f t="shared" si="104"/>
        <v>0</v>
      </c>
      <c r="BJ60" s="27">
        <f t="shared" si="105"/>
        <v>0</v>
      </c>
    </row>
    <row r="61" spans="1:62" ht="22.5">
      <c r="A61" s="5" t="s">
        <v>1</v>
      </c>
      <c r="B61" s="7"/>
      <c r="C61" s="25"/>
      <c r="D61" s="25"/>
      <c r="E61" s="25"/>
      <c r="F61" s="25"/>
      <c r="G61" s="25">
        <v>0</v>
      </c>
      <c r="H61" s="25">
        <v>1</v>
      </c>
      <c r="I61" s="28"/>
      <c r="J61" s="28"/>
      <c r="K61" s="29"/>
      <c r="L61" s="25"/>
      <c r="M61" s="25"/>
      <c r="N61" s="25"/>
      <c r="O61" s="25"/>
      <c r="P61" s="25">
        <v>0</v>
      </c>
      <c r="Q61" s="25">
        <v>1</v>
      </c>
      <c r="R61" s="28"/>
      <c r="S61" s="28"/>
      <c r="U61" s="9">
        <f t="shared" si="76"/>
        <v>1</v>
      </c>
      <c r="V61" s="1">
        <f t="shared" si="100"/>
        <v>5.128205128205128E-2</v>
      </c>
      <c r="W61" s="11">
        <f t="shared" si="101"/>
        <v>0</v>
      </c>
      <c r="X61" s="12">
        <v>2</v>
      </c>
      <c r="Y61" s="10">
        <f t="shared" si="102"/>
        <v>5.128205128205128E-2</v>
      </c>
      <c r="Z61" s="18"/>
      <c r="AA61" s="18"/>
      <c r="AB61" s="18"/>
      <c r="AC61" s="18"/>
      <c r="AD61" s="18">
        <v>0</v>
      </c>
      <c r="AE61" s="18">
        <v>1</v>
      </c>
      <c r="AF61" s="18"/>
      <c r="AG61" s="18"/>
      <c r="AH61" s="12"/>
      <c r="AI61" s="18">
        <f t="shared" si="77"/>
        <v>0</v>
      </c>
      <c r="AJ61" s="18">
        <f t="shared" si="78"/>
        <v>0</v>
      </c>
      <c r="AK61" s="18">
        <f t="shared" si="79"/>
        <v>0</v>
      </c>
      <c r="AL61" s="18">
        <f t="shared" si="80"/>
        <v>0</v>
      </c>
      <c r="AM61" s="18">
        <f t="shared" si="81"/>
        <v>0</v>
      </c>
      <c r="AN61" s="18">
        <f t="shared" si="82"/>
        <v>1</v>
      </c>
      <c r="AO61" s="18">
        <f t="shared" si="83"/>
        <v>0</v>
      </c>
      <c r="AP61" s="18">
        <f t="shared" si="84"/>
        <v>0</v>
      </c>
      <c r="AQ61" s="9"/>
      <c r="AR61" s="18">
        <f t="shared" si="85"/>
        <v>0</v>
      </c>
      <c r="AS61" s="18">
        <f t="shared" si="86"/>
        <v>0</v>
      </c>
      <c r="AT61" s="18">
        <f t="shared" si="87"/>
        <v>0</v>
      </c>
      <c r="AU61" s="18">
        <f t="shared" si="88"/>
        <v>0</v>
      </c>
      <c r="AV61" s="18">
        <f t="shared" si="89"/>
        <v>0</v>
      </c>
      <c r="AW61" s="18">
        <f t="shared" si="90"/>
        <v>1</v>
      </c>
      <c r="AX61" s="18">
        <f t="shared" si="91"/>
        <v>0</v>
      </c>
      <c r="AY61" s="18">
        <f t="shared" si="92"/>
        <v>0</v>
      </c>
      <c r="BA61" s="27">
        <f t="shared" si="103"/>
        <v>0</v>
      </c>
      <c r="BB61" s="27">
        <f t="shared" si="93"/>
        <v>0</v>
      </c>
      <c r="BC61" s="27">
        <f t="shared" si="94"/>
        <v>0</v>
      </c>
      <c r="BD61" s="27">
        <f t="shared" si="95"/>
        <v>0</v>
      </c>
      <c r="BE61" s="27">
        <f t="shared" si="96"/>
        <v>0</v>
      </c>
      <c r="BF61" s="27">
        <f t="shared" si="97"/>
        <v>0</v>
      </c>
      <c r="BG61" s="27">
        <f t="shared" si="98"/>
        <v>0</v>
      </c>
      <c r="BH61" s="27">
        <f t="shared" si="99"/>
        <v>0</v>
      </c>
      <c r="BI61" s="27">
        <f t="shared" si="104"/>
        <v>0</v>
      </c>
      <c r="BJ61" s="27">
        <f t="shared" si="105"/>
        <v>0</v>
      </c>
    </row>
    <row r="62" spans="1:62" ht="22.5">
      <c r="A62" s="5" t="s">
        <v>21</v>
      </c>
      <c r="B62" s="7"/>
      <c r="C62" s="25"/>
      <c r="D62" s="25"/>
      <c r="E62" s="25"/>
      <c r="F62" s="25"/>
      <c r="G62" s="25">
        <v>0</v>
      </c>
      <c r="H62" s="25">
        <v>1</v>
      </c>
      <c r="I62" s="28"/>
      <c r="J62" s="28"/>
      <c r="K62" s="29"/>
      <c r="L62" s="25"/>
      <c r="M62" s="25"/>
      <c r="N62" s="25"/>
      <c r="O62" s="25"/>
      <c r="P62" s="25">
        <v>0</v>
      </c>
      <c r="Q62" s="25">
        <v>1</v>
      </c>
      <c r="R62" s="28"/>
      <c r="S62" s="28"/>
      <c r="U62" s="9">
        <f t="shared" si="76"/>
        <v>1</v>
      </c>
      <c r="V62" s="1">
        <f t="shared" si="100"/>
        <v>5.128205128205128E-2</v>
      </c>
      <c r="W62" s="11">
        <f t="shared" si="101"/>
        <v>0</v>
      </c>
      <c r="X62" s="12">
        <v>2</v>
      </c>
      <c r="Y62" s="10">
        <f t="shared" si="102"/>
        <v>5.128205128205128E-2</v>
      </c>
      <c r="Z62" s="18"/>
      <c r="AA62" s="18"/>
      <c r="AB62" s="18"/>
      <c r="AC62" s="18"/>
      <c r="AD62" s="18">
        <v>0</v>
      </c>
      <c r="AE62" s="18">
        <v>1</v>
      </c>
      <c r="AF62" s="18"/>
      <c r="AG62" s="18"/>
      <c r="AH62" s="12"/>
      <c r="AI62" s="18">
        <f t="shared" si="77"/>
        <v>0</v>
      </c>
      <c r="AJ62" s="18">
        <f t="shared" si="78"/>
        <v>0</v>
      </c>
      <c r="AK62" s="18">
        <f t="shared" si="79"/>
        <v>0</v>
      </c>
      <c r="AL62" s="18">
        <f t="shared" si="80"/>
        <v>0</v>
      </c>
      <c r="AM62" s="18">
        <f t="shared" si="81"/>
        <v>0</v>
      </c>
      <c r="AN62" s="18">
        <f t="shared" si="82"/>
        <v>1</v>
      </c>
      <c r="AO62" s="18">
        <f t="shared" si="83"/>
        <v>0</v>
      </c>
      <c r="AP62" s="18">
        <f t="shared" si="84"/>
        <v>0</v>
      </c>
      <c r="AQ62" s="9"/>
      <c r="AR62" s="18">
        <f t="shared" si="85"/>
        <v>0</v>
      </c>
      <c r="AS62" s="18">
        <f t="shared" si="86"/>
        <v>0</v>
      </c>
      <c r="AT62" s="18">
        <f t="shared" si="87"/>
        <v>0</v>
      </c>
      <c r="AU62" s="18">
        <f t="shared" si="88"/>
        <v>0</v>
      </c>
      <c r="AV62" s="18">
        <f t="shared" si="89"/>
        <v>0</v>
      </c>
      <c r="AW62" s="18">
        <f t="shared" si="90"/>
        <v>1</v>
      </c>
      <c r="AX62" s="18">
        <f t="shared" si="91"/>
        <v>0</v>
      </c>
      <c r="AY62" s="18">
        <f t="shared" si="92"/>
        <v>0</v>
      </c>
      <c r="BA62" s="27">
        <f t="shared" si="103"/>
        <v>0</v>
      </c>
      <c r="BB62" s="27">
        <f t="shared" si="93"/>
        <v>0</v>
      </c>
      <c r="BC62" s="27">
        <f t="shared" si="94"/>
        <v>0</v>
      </c>
      <c r="BD62" s="27">
        <f t="shared" si="95"/>
        <v>0</v>
      </c>
      <c r="BE62" s="27">
        <f t="shared" si="96"/>
        <v>0</v>
      </c>
      <c r="BF62" s="27">
        <f t="shared" si="97"/>
        <v>0</v>
      </c>
      <c r="BG62" s="27">
        <f t="shared" si="98"/>
        <v>0</v>
      </c>
      <c r="BH62" s="27">
        <f t="shared" si="99"/>
        <v>0</v>
      </c>
      <c r="BI62" s="27">
        <f t="shared" si="104"/>
        <v>0</v>
      </c>
      <c r="BJ62" s="27">
        <f t="shared" si="105"/>
        <v>0</v>
      </c>
    </row>
    <row r="63" spans="1:62" ht="22.5">
      <c r="A63" s="5" t="s">
        <v>2</v>
      </c>
      <c r="B63" s="7"/>
      <c r="C63" s="25"/>
      <c r="D63" s="25"/>
      <c r="E63" s="25"/>
      <c r="F63" s="25"/>
      <c r="G63" s="25">
        <v>0</v>
      </c>
      <c r="H63" s="25">
        <v>1</v>
      </c>
      <c r="I63" s="28"/>
      <c r="J63" s="28"/>
      <c r="K63" s="29"/>
      <c r="L63" s="25"/>
      <c r="M63" s="25"/>
      <c r="N63" s="25"/>
      <c r="O63" s="25"/>
      <c r="P63" s="25">
        <v>0</v>
      </c>
      <c r="Q63" s="25">
        <v>1</v>
      </c>
      <c r="R63" s="28"/>
      <c r="S63" s="28"/>
      <c r="U63" s="9">
        <f t="shared" si="76"/>
        <v>1</v>
      </c>
      <c r="V63" s="1">
        <f t="shared" si="100"/>
        <v>5.128205128205128E-2</v>
      </c>
      <c r="W63" s="11">
        <f t="shared" si="101"/>
        <v>0</v>
      </c>
      <c r="X63" s="12">
        <v>2</v>
      </c>
      <c r="Y63" s="10">
        <f t="shared" si="102"/>
        <v>5.128205128205128E-2</v>
      </c>
      <c r="Z63" s="18"/>
      <c r="AA63" s="18"/>
      <c r="AB63" s="18"/>
      <c r="AC63" s="18"/>
      <c r="AD63" s="18">
        <v>0</v>
      </c>
      <c r="AE63" s="18">
        <v>1</v>
      </c>
      <c r="AF63" s="18"/>
      <c r="AG63" s="18"/>
      <c r="AH63" s="12"/>
      <c r="AI63" s="18">
        <f t="shared" si="77"/>
        <v>0</v>
      </c>
      <c r="AJ63" s="18">
        <f t="shared" si="78"/>
        <v>0</v>
      </c>
      <c r="AK63" s="18">
        <f t="shared" si="79"/>
        <v>0</v>
      </c>
      <c r="AL63" s="18">
        <f t="shared" si="80"/>
        <v>0</v>
      </c>
      <c r="AM63" s="18">
        <f t="shared" si="81"/>
        <v>0</v>
      </c>
      <c r="AN63" s="18">
        <f t="shared" si="82"/>
        <v>1</v>
      </c>
      <c r="AO63" s="18">
        <f t="shared" si="83"/>
        <v>0</v>
      </c>
      <c r="AP63" s="18">
        <f t="shared" si="84"/>
        <v>0</v>
      </c>
      <c r="AQ63" s="9"/>
      <c r="AR63" s="18">
        <f t="shared" si="85"/>
        <v>0</v>
      </c>
      <c r="AS63" s="18">
        <f t="shared" si="86"/>
        <v>0</v>
      </c>
      <c r="AT63" s="18">
        <f t="shared" si="87"/>
        <v>0</v>
      </c>
      <c r="AU63" s="18">
        <f t="shared" si="88"/>
        <v>0</v>
      </c>
      <c r="AV63" s="18">
        <f t="shared" si="89"/>
        <v>0</v>
      </c>
      <c r="AW63" s="18">
        <f t="shared" si="90"/>
        <v>1</v>
      </c>
      <c r="AX63" s="18">
        <f t="shared" si="91"/>
        <v>0</v>
      </c>
      <c r="AY63" s="18">
        <f t="shared" si="92"/>
        <v>0</v>
      </c>
      <c r="BA63" s="27">
        <f t="shared" si="103"/>
        <v>0</v>
      </c>
      <c r="BB63" s="27">
        <f t="shared" si="93"/>
        <v>0</v>
      </c>
      <c r="BC63" s="27">
        <f t="shared" si="94"/>
        <v>0</v>
      </c>
      <c r="BD63" s="27">
        <f t="shared" si="95"/>
        <v>0</v>
      </c>
      <c r="BE63" s="27">
        <f t="shared" si="96"/>
        <v>0</v>
      </c>
      <c r="BF63" s="27">
        <f t="shared" si="97"/>
        <v>0</v>
      </c>
      <c r="BG63" s="27">
        <f t="shared" si="98"/>
        <v>0</v>
      </c>
      <c r="BH63" s="27">
        <f t="shared" si="99"/>
        <v>0</v>
      </c>
      <c r="BI63" s="27">
        <f t="shared" si="104"/>
        <v>0</v>
      </c>
      <c r="BJ63" s="27">
        <f t="shared" si="105"/>
        <v>0</v>
      </c>
    </row>
    <row r="64" spans="1:62" ht="22.5">
      <c r="A64" s="5" t="s">
        <v>3</v>
      </c>
      <c r="B64" s="7"/>
      <c r="C64" s="25"/>
      <c r="D64" s="25"/>
      <c r="E64" s="25"/>
      <c r="F64" s="25"/>
      <c r="G64" s="25">
        <v>1</v>
      </c>
      <c r="H64" s="25">
        <v>0</v>
      </c>
      <c r="I64" s="28"/>
      <c r="J64" s="28"/>
      <c r="K64" s="29"/>
      <c r="L64" s="25"/>
      <c r="M64" s="25"/>
      <c r="N64" s="25"/>
      <c r="O64" s="25"/>
      <c r="P64" s="25">
        <v>0</v>
      </c>
      <c r="Q64" s="25">
        <v>1</v>
      </c>
      <c r="R64" s="28"/>
      <c r="S64" s="28"/>
      <c r="U64" s="9">
        <f t="shared" si="76"/>
        <v>0</v>
      </c>
      <c r="V64" s="1">
        <f>(1-W64)*Y64</f>
        <v>0</v>
      </c>
      <c r="W64" s="11">
        <f t="shared" si="101"/>
        <v>1</v>
      </c>
      <c r="X64" s="12">
        <v>4</v>
      </c>
      <c r="Y64" s="10">
        <f t="shared" si="102"/>
        <v>0.10256410256410256</v>
      </c>
      <c r="Z64" s="18"/>
      <c r="AA64" s="18"/>
      <c r="AB64" s="18"/>
      <c r="AC64" s="18"/>
      <c r="AD64" s="18">
        <v>0</v>
      </c>
      <c r="AE64" s="18">
        <v>1</v>
      </c>
      <c r="AF64" s="18"/>
      <c r="AG64" s="18"/>
      <c r="AH64" s="12"/>
      <c r="AI64" s="18">
        <f t="shared" si="77"/>
        <v>0</v>
      </c>
      <c r="AJ64" s="18">
        <f t="shared" si="78"/>
        <v>0</v>
      </c>
      <c r="AK64" s="18">
        <f t="shared" si="79"/>
        <v>0</v>
      </c>
      <c r="AL64" s="18">
        <f t="shared" si="80"/>
        <v>0</v>
      </c>
      <c r="AM64" s="18">
        <f t="shared" si="81"/>
        <v>0</v>
      </c>
      <c r="AN64" s="18">
        <f t="shared" si="82"/>
        <v>0</v>
      </c>
      <c r="AO64" s="18">
        <f t="shared" si="83"/>
        <v>0</v>
      </c>
      <c r="AP64" s="18">
        <f t="shared" si="84"/>
        <v>0</v>
      </c>
      <c r="AQ64" s="9"/>
      <c r="AR64" s="18">
        <f t="shared" si="85"/>
        <v>0</v>
      </c>
      <c r="AS64" s="18">
        <f t="shared" si="86"/>
        <v>0</v>
      </c>
      <c r="AT64" s="18">
        <f t="shared" si="87"/>
        <v>0</v>
      </c>
      <c r="AU64" s="18">
        <f t="shared" si="88"/>
        <v>0</v>
      </c>
      <c r="AV64" s="18">
        <f t="shared" si="89"/>
        <v>0</v>
      </c>
      <c r="AW64" s="18">
        <f t="shared" si="90"/>
        <v>1</v>
      </c>
      <c r="AX64" s="18">
        <f t="shared" si="91"/>
        <v>0</v>
      </c>
      <c r="AY64" s="18">
        <f t="shared" si="92"/>
        <v>0</v>
      </c>
      <c r="BA64" s="27">
        <f t="shared" si="103"/>
        <v>0</v>
      </c>
      <c r="BB64" s="27">
        <f t="shared" si="93"/>
        <v>0</v>
      </c>
      <c r="BC64" s="27">
        <f t="shared" si="94"/>
        <v>0</v>
      </c>
      <c r="BD64" s="27">
        <f t="shared" si="95"/>
        <v>0</v>
      </c>
      <c r="BE64" s="27">
        <f t="shared" si="96"/>
        <v>0</v>
      </c>
      <c r="BF64" s="27">
        <f t="shared" si="97"/>
        <v>-1</v>
      </c>
      <c r="BG64" s="27">
        <f t="shared" si="98"/>
        <v>0</v>
      </c>
      <c r="BH64" s="27">
        <f t="shared" si="99"/>
        <v>0</v>
      </c>
      <c r="BI64" s="27">
        <f t="shared" si="104"/>
        <v>1</v>
      </c>
      <c r="BJ64" s="27">
        <f t="shared" si="105"/>
        <v>0.10256410256410256</v>
      </c>
    </row>
    <row r="65" spans="1:62" ht="22.5">
      <c r="A65" s="8" t="s">
        <v>4</v>
      </c>
      <c r="B65" s="7"/>
      <c r="C65" s="25"/>
      <c r="D65" s="25"/>
      <c r="E65" s="25"/>
      <c r="F65" s="25"/>
      <c r="G65" s="25"/>
      <c r="H65" s="25"/>
      <c r="I65" s="25">
        <v>0</v>
      </c>
      <c r="J65" s="25">
        <v>1</v>
      </c>
      <c r="K65" s="29"/>
      <c r="L65" s="25"/>
      <c r="M65" s="25"/>
      <c r="N65" s="25"/>
      <c r="O65" s="25"/>
      <c r="P65" s="25"/>
      <c r="Q65" s="25"/>
      <c r="R65" s="25">
        <v>0</v>
      </c>
      <c r="S65" s="25">
        <v>1</v>
      </c>
      <c r="U65" s="9">
        <f t="shared" si="76"/>
        <v>1</v>
      </c>
      <c r="V65" s="1">
        <f t="shared" ref="V65:V68" si="106">(1-W65)*Y65</f>
        <v>2.564102564102564E-2</v>
      </c>
      <c r="W65" s="11">
        <f t="shared" si="101"/>
        <v>0</v>
      </c>
      <c r="X65" s="12">
        <v>1</v>
      </c>
      <c r="Y65" s="10">
        <f t="shared" si="102"/>
        <v>2.564102564102564E-2</v>
      </c>
      <c r="Z65" s="18"/>
      <c r="AA65" s="18"/>
      <c r="AB65" s="18"/>
      <c r="AC65" s="18"/>
      <c r="AD65" s="18"/>
      <c r="AE65" s="18"/>
      <c r="AF65" s="18">
        <v>0</v>
      </c>
      <c r="AG65" s="18">
        <v>1</v>
      </c>
      <c r="AH65" s="12"/>
      <c r="AI65" s="18">
        <f t="shared" si="77"/>
        <v>0</v>
      </c>
      <c r="AJ65" s="18">
        <f t="shared" si="78"/>
        <v>0</v>
      </c>
      <c r="AK65" s="18">
        <f t="shared" si="79"/>
        <v>0</v>
      </c>
      <c r="AL65" s="18">
        <f t="shared" si="80"/>
        <v>0</v>
      </c>
      <c r="AM65" s="18">
        <f t="shared" si="81"/>
        <v>0</v>
      </c>
      <c r="AN65" s="18">
        <f t="shared" si="82"/>
        <v>0</v>
      </c>
      <c r="AO65" s="18">
        <f t="shared" si="83"/>
        <v>0</v>
      </c>
      <c r="AP65" s="18">
        <f t="shared" si="84"/>
        <v>1</v>
      </c>
      <c r="AQ65" s="9"/>
      <c r="AR65" s="18">
        <f t="shared" si="85"/>
        <v>0</v>
      </c>
      <c r="AS65" s="18">
        <f t="shared" si="86"/>
        <v>0</v>
      </c>
      <c r="AT65" s="18">
        <f t="shared" si="87"/>
        <v>0</v>
      </c>
      <c r="AU65" s="18">
        <f t="shared" si="88"/>
        <v>0</v>
      </c>
      <c r="AV65" s="18">
        <f t="shared" si="89"/>
        <v>0</v>
      </c>
      <c r="AW65" s="18">
        <f t="shared" si="90"/>
        <v>0</v>
      </c>
      <c r="AX65" s="18">
        <f t="shared" si="91"/>
        <v>0</v>
      </c>
      <c r="AY65" s="18">
        <f t="shared" si="92"/>
        <v>1</v>
      </c>
      <c r="BA65" s="27">
        <f t="shared" si="103"/>
        <v>0</v>
      </c>
      <c r="BB65" s="27">
        <f t="shared" si="93"/>
        <v>0</v>
      </c>
      <c r="BC65" s="27">
        <f t="shared" si="94"/>
        <v>0</v>
      </c>
      <c r="BD65" s="27">
        <f t="shared" si="95"/>
        <v>0</v>
      </c>
      <c r="BE65" s="27">
        <f t="shared" si="96"/>
        <v>0</v>
      </c>
      <c r="BF65" s="27">
        <f t="shared" si="97"/>
        <v>0</v>
      </c>
      <c r="BG65" s="27">
        <f t="shared" si="98"/>
        <v>0</v>
      </c>
      <c r="BH65" s="27">
        <f t="shared" si="99"/>
        <v>0</v>
      </c>
      <c r="BI65" s="27">
        <f t="shared" si="104"/>
        <v>0</v>
      </c>
      <c r="BJ65" s="27">
        <f t="shared" si="105"/>
        <v>0</v>
      </c>
    </row>
    <row r="66" spans="1:62" ht="22.5">
      <c r="A66" s="8" t="s">
        <v>22</v>
      </c>
      <c r="B66" s="7"/>
      <c r="C66" s="25"/>
      <c r="D66" s="25"/>
      <c r="E66" s="25"/>
      <c r="F66" s="25"/>
      <c r="G66" s="25"/>
      <c r="H66" s="25"/>
      <c r="I66" s="25">
        <v>0</v>
      </c>
      <c r="J66" s="25">
        <v>1</v>
      </c>
      <c r="K66" s="29"/>
      <c r="L66" s="25"/>
      <c r="M66" s="25"/>
      <c r="N66" s="25"/>
      <c r="O66" s="25"/>
      <c r="P66" s="25"/>
      <c r="Q66" s="25"/>
      <c r="R66" s="25">
        <v>0</v>
      </c>
      <c r="S66" s="25">
        <v>1</v>
      </c>
      <c r="U66" s="9">
        <f t="shared" si="76"/>
        <v>1</v>
      </c>
      <c r="V66" s="1">
        <f t="shared" si="106"/>
        <v>2.564102564102564E-2</v>
      </c>
      <c r="W66" s="11">
        <f t="shared" si="101"/>
        <v>0</v>
      </c>
      <c r="X66" s="12">
        <v>1</v>
      </c>
      <c r="Y66" s="10">
        <f t="shared" si="102"/>
        <v>2.564102564102564E-2</v>
      </c>
      <c r="Z66" s="18"/>
      <c r="AA66" s="18"/>
      <c r="AB66" s="18"/>
      <c r="AC66" s="18"/>
      <c r="AD66" s="18"/>
      <c r="AE66" s="18"/>
      <c r="AF66" s="18">
        <v>0</v>
      </c>
      <c r="AG66" s="18">
        <v>1</v>
      </c>
      <c r="AH66" s="12"/>
      <c r="AI66" s="18">
        <f t="shared" si="77"/>
        <v>0</v>
      </c>
      <c r="AJ66" s="18">
        <f t="shared" si="78"/>
        <v>0</v>
      </c>
      <c r="AK66" s="18">
        <f t="shared" si="79"/>
        <v>0</v>
      </c>
      <c r="AL66" s="18">
        <f t="shared" si="80"/>
        <v>0</v>
      </c>
      <c r="AM66" s="18">
        <f t="shared" si="81"/>
        <v>0</v>
      </c>
      <c r="AN66" s="18">
        <f t="shared" si="82"/>
        <v>0</v>
      </c>
      <c r="AO66" s="18">
        <f t="shared" si="83"/>
        <v>0</v>
      </c>
      <c r="AP66" s="18">
        <f t="shared" si="84"/>
        <v>1</v>
      </c>
      <c r="AQ66" s="9"/>
      <c r="AR66" s="18">
        <f t="shared" si="85"/>
        <v>0</v>
      </c>
      <c r="AS66" s="18">
        <f t="shared" si="86"/>
        <v>0</v>
      </c>
      <c r="AT66" s="18">
        <f t="shared" si="87"/>
        <v>0</v>
      </c>
      <c r="AU66" s="18">
        <f t="shared" si="88"/>
        <v>0</v>
      </c>
      <c r="AV66" s="18">
        <f t="shared" si="89"/>
        <v>0</v>
      </c>
      <c r="AW66" s="18">
        <f t="shared" si="90"/>
        <v>0</v>
      </c>
      <c r="AX66" s="18">
        <f t="shared" si="91"/>
        <v>0</v>
      </c>
      <c r="AY66" s="18">
        <f t="shared" si="92"/>
        <v>1</v>
      </c>
      <c r="BA66" s="27">
        <f t="shared" si="103"/>
        <v>0</v>
      </c>
      <c r="BB66" s="27">
        <f t="shared" si="93"/>
        <v>0</v>
      </c>
      <c r="BC66" s="27">
        <f t="shared" si="94"/>
        <v>0</v>
      </c>
      <c r="BD66" s="27">
        <f t="shared" si="95"/>
        <v>0</v>
      </c>
      <c r="BE66" s="27">
        <f t="shared" si="96"/>
        <v>0</v>
      </c>
      <c r="BF66" s="27">
        <f t="shared" si="97"/>
        <v>0</v>
      </c>
      <c r="BG66" s="27">
        <f t="shared" si="98"/>
        <v>0</v>
      </c>
      <c r="BH66" s="27">
        <f t="shared" si="99"/>
        <v>0</v>
      </c>
      <c r="BI66" s="27">
        <f t="shared" si="104"/>
        <v>0</v>
      </c>
      <c r="BJ66" s="27">
        <f t="shared" si="105"/>
        <v>0</v>
      </c>
    </row>
    <row r="67" spans="1:62" ht="22.5">
      <c r="A67" s="8" t="s">
        <v>23</v>
      </c>
      <c r="B67" s="7"/>
      <c r="C67" s="25"/>
      <c r="D67" s="25"/>
      <c r="E67" s="25"/>
      <c r="F67" s="25"/>
      <c r="G67" s="25"/>
      <c r="H67" s="25"/>
      <c r="I67" s="25">
        <v>0</v>
      </c>
      <c r="J67" s="25">
        <v>1</v>
      </c>
      <c r="K67" s="29"/>
      <c r="L67" s="25"/>
      <c r="M67" s="25"/>
      <c r="N67" s="25"/>
      <c r="O67" s="25"/>
      <c r="P67" s="25"/>
      <c r="Q67" s="25"/>
      <c r="R67" s="25">
        <v>0</v>
      </c>
      <c r="S67" s="25">
        <v>1</v>
      </c>
      <c r="U67" s="9">
        <f>IF(MATCH(1,C67:J67,0)=MATCH(1,L67:S67,0),1,0)</f>
        <v>1</v>
      </c>
      <c r="V67" s="1">
        <f t="shared" si="106"/>
        <v>2.564102564102564E-2</v>
      </c>
      <c r="W67" s="11">
        <f>BI67</f>
        <v>0</v>
      </c>
      <c r="X67" s="12">
        <v>1</v>
      </c>
      <c r="Y67" s="10">
        <f t="shared" si="102"/>
        <v>2.564102564102564E-2</v>
      </c>
      <c r="Z67" s="18"/>
      <c r="AA67" s="18"/>
      <c r="AB67" s="18"/>
      <c r="AC67" s="18"/>
      <c r="AD67" s="18"/>
      <c r="AE67" s="18"/>
      <c r="AF67" s="18">
        <v>0</v>
      </c>
      <c r="AG67" s="18">
        <v>1</v>
      </c>
      <c r="AI67" s="18">
        <f t="shared" si="77"/>
        <v>0</v>
      </c>
      <c r="AJ67" s="18">
        <f t="shared" si="78"/>
        <v>0</v>
      </c>
      <c r="AK67" s="18">
        <f t="shared" si="79"/>
        <v>0</v>
      </c>
      <c r="AL67" s="18">
        <f t="shared" si="80"/>
        <v>0</v>
      </c>
      <c r="AM67" s="18">
        <f t="shared" si="81"/>
        <v>0</v>
      </c>
      <c r="AN67" s="18">
        <f t="shared" si="82"/>
        <v>0</v>
      </c>
      <c r="AO67" s="18">
        <f t="shared" si="83"/>
        <v>0</v>
      </c>
      <c r="AP67" s="18">
        <f t="shared" si="84"/>
        <v>1</v>
      </c>
      <c r="AQ67" s="9" t="s">
        <v>24</v>
      </c>
      <c r="AR67" s="18">
        <f t="shared" si="85"/>
        <v>0</v>
      </c>
      <c r="AS67" s="18">
        <f t="shared" si="86"/>
        <v>0</v>
      </c>
      <c r="AT67" s="18">
        <f t="shared" si="87"/>
        <v>0</v>
      </c>
      <c r="AU67" s="18">
        <f t="shared" si="88"/>
        <v>0</v>
      </c>
      <c r="AV67" s="18"/>
      <c r="AW67" s="18">
        <f t="shared" si="90"/>
        <v>0</v>
      </c>
      <c r="AX67" s="18">
        <f t="shared" si="91"/>
        <v>0</v>
      </c>
      <c r="AY67" s="18">
        <f t="shared" si="92"/>
        <v>1</v>
      </c>
      <c r="BA67" s="27">
        <f t="shared" si="103"/>
        <v>0</v>
      </c>
      <c r="BB67" s="27">
        <f t="shared" si="93"/>
        <v>0</v>
      </c>
      <c r="BC67" s="27">
        <f t="shared" si="94"/>
        <v>0</v>
      </c>
      <c r="BD67" s="27">
        <f t="shared" si="95"/>
        <v>0</v>
      </c>
      <c r="BE67" s="27">
        <f t="shared" si="96"/>
        <v>0</v>
      </c>
      <c r="BF67" s="27">
        <f t="shared" si="97"/>
        <v>0</v>
      </c>
      <c r="BG67" s="27">
        <f t="shared" si="98"/>
        <v>0</v>
      </c>
      <c r="BH67" s="27">
        <f t="shared" si="99"/>
        <v>0</v>
      </c>
      <c r="BI67" s="27">
        <f t="shared" si="104"/>
        <v>0</v>
      </c>
      <c r="BJ67" s="27">
        <f t="shared" si="105"/>
        <v>0</v>
      </c>
    </row>
    <row r="68" spans="1:62" ht="22.5">
      <c r="A68" s="14" t="s">
        <v>5</v>
      </c>
      <c r="B68" s="7"/>
      <c r="C68" s="25"/>
      <c r="D68" s="25"/>
      <c r="E68" s="25"/>
      <c r="F68" s="25"/>
      <c r="G68" s="25"/>
      <c r="H68" s="25"/>
      <c r="I68" s="25">
        <v>1</v>
      </c>
      <c r="J68" s="25">
        <v>0</v>
      </c>
      <c r="K68" s="29"/>
      <c r="L68" s="25"/>
      <c r="M68" s="25"/>
      <c r="N68" s="25"/>
      <c r="O68" s="25"/>
      <c r="P68" s="25"/>
      <c r="Q68" s="25"/>
      <c r="R68" s="25">
        <v>1</v>
      </c>
      <c r="S68" s="25">
        <v>0</v>
      </c>
      <c r="U68" s="9">
        <f t="shared" ref="U68" si="107">IF(MATCH(1,C68:J68,0)=MATCH(1,L68:S68,0),1,0)</f>
        <v>1</v>
      </c>
      <c r="V68" s="1">
        <f t="shared" si="106"/>
        <v>0.12820512820512819</v>
      </c>
      <c r="W68" s="11">
        <f t="shared" ref="W68" si="108">BI68</f>
        <v>0</v>
      </c>
      <c r="X68" s="12">
        <v>5</v>
      </c>
      <c r="Y68" s="10">
        <f t="shared" si="102"/>
        <v>0.12820512820512819</v>
      </c>
      <c r="Z68" s="18"/>
      <c r="AA68" s="18"/>
      <c r="AB68" s="18"/>
      <c r="AC68" s="18"/>
      <c r="AD68" s="18"/>
      <c r="AE68" s="18"/>
      <c r="AF68" s="18">
        <v>0</v>
      </c>
      <c r="AG68" s="18">
        <v>1</v>
      </c>
      <c r="AH68" s="20"/>
      <c r="AI68" s="18">
        <f t="shared" si="77"/>
        <v>0</v>
      </c>
      <c r="AJ68" s="18">
        <f t="shared" si="78"/>
        <v>0</v>
      </c>
      <c r="AK68" s="18">
        <f t="shared" si="79"/>
        <v>0</v>
      </c>
      <c r="AL68" s="18">
        <f t="shared" si="80"/>
        <v>0</v>
      </c>
      <c r="AM68" s="18">
        <f t="shared" si="81"/>
        <v>0</v>
      </c>
      <c r="AN68" s="18">
        <f t="shared" si="82"/>
        <v>0</v>
      </c>
      <c r="AO68" s="18">
        <f t="shared" si="83"/>
        <v>0</v>
      </c>
      <c r="AP68" s="18">
        <f t="shared" si="84"/>
        <v>0</v>
      </c>
      <c r="AQ68" s="9"/>
      <c r="AR68" s="18">
        <f t="shared" si="85"/>
        <v>0</v>
      </c>
      <c r="AS68" s="18">
        <f t="shared" si="86"/>
        <v>0</v>
      </c>
      <c r="AT68" s="18">
        <f t="shared" si="87"/>
        <v>0</v>
      </c>
      <c r="AU68" s="18">
        <f t="shared" si="88"/>
        <v>0</v>
      </c>
      <c r="AV68" s="18">
        <f>P68*AD68</f>
        <v>0</v>
      </c>
      <c r="AW68" s="18">
        <f t="shared" si="90"/>
        <v>0</v>
      </c>
      <c r="AX68" s="18">
        <f t="shared" si="91"/>
        <v>0</v>
      </c>
      <c r="AY68" s="18">
        <f t="shared" si="92"/>
        <v>0</v>
      </c>
      <c r="BA68" s="27">
        <f>(AI68-AR68)</f>
        <v>0</v>
      </c>
      <c r="BB68" s="27">
        <f t="shared" si="93"/>
        <v>0</v>
      </c>
      <c r="BC68" s="27">
        <f t="shared" si="94"/>
        <v>0</v>
      </c>
      <c r="BD68" s="27">
        <f t="shared" si="95"/>
        <v>0</v>
      </c>
      <c r="BE68" s="27">
        <f t="shared" si="96"/>
        <v>0</v>
      </c>
      <c r="BF68" s="27">
        <f t="shared" si="97"/>
        <v>0</v>
      </c>
      <c r="BG68" s="27">
        <f t="shared" si="98"/>
        <v>0</v>
      </c>
      <c r="BH68" s="27">
        <f t="shared" si="99"/>
        <v>0</v>
      </c>
      <c r="BI68" s="27">
        <f t="shared" si="104"/>
        <v>0</v>
      </c>
      <c r="BJ68" s="27">
        <f t="shared" si="105"/>
        <v>0</v>
      </c>
    </row>
    <row r="69" spans="1:62">
      <c r="B69" t="s">
        <v>31</v>
      </c>
      <c r="C69" s="30"/>
      <c r="D69" s="30"/>
      <c r="E69" s="30"/>
      <c r="F69" s="30"/>
      <c r="G69" s="30"/>
      <c r="H69" s="30"/>
      <c r="I69" s="30"/>
      <c r="J69" s="30"/>
      <c r="K69" t="s">
        <v>47</v>
      </c>
      <c r="AI69" s="11">
        <f t="shared" si="77"/>
        <v>0</v>
      </c>
      <c r="AJ69" s="11">
        <f t="shared" si="78"/>
        <v>0</v>
      </c>
      <c r="AK69" s="11">
        <f t="shared" si="79"/>
        <v>0</v>
      </c>
      <c r="AL69" s="11">
        <f t="shared" si="80"/>
        <v>0</v>
      </c>
      <c r="AM69" s="11">
        <f t="shared" si="81"/>
        <v>0</v>
      </c>
      <c r="AN69" s="11">
        <f t="shared" si="82"/>
        <v>0</v>
      </c>
    </row>
    <row r="70" spans="1:62" ht="22.5">
      <c r="A70" s="6" t="s">
        <v>10</v>
      </c>
      <c r="B70" s="7"/>
      <c r="C70" s="25">
        <v>0</v>
      </c>
      <c r="D70" s="28">
        <v>1</v>
      </c>
      <c r="E70" s="28"/>
      <c r="F70" s="28"/>
      <c r="G70" s="28"/>
      <c r="H70" s="28"/>
      <c r="I70" s="28"/>
      <c r="J70" s="28"/>
      <c r="K70" s="29"/>
      <c r="L70" s="25">
        <v>0</v>
      </c>
      <c r="M70" s="28">
        <v>1</v>
      </c>
      <c r="N70" s="28"/>
      <c r="O70" s="28"/>
      <c r="P70" s="28"/>
      <c r="Q70" s="28"/>
      <c r="R70" s="28"/>
      <c r="S70" s="28"/>
      <c r="U70" s="9">
        <f t="shared" ref="U70:U83" si="109">IF(MATCH(1,C70:J70,0)=MATCH(1,L70:S70,0),1,0)</f>
        <v>1</v>
      </c>
      <c r="V70" s="1">
        <f>(1-W70)*Y70</f>
        <v>2.564102564102564E-2</v>
      </c>
      <c r="W70" s="11">
        <f>BI70</f>
        <v>0</v>
      </c>
      <c r="X70" s="9">
        <v>1</v>
      </c>
      <c r="Y70" s="10">
        <f>X70/SUM($X$2:$X$17)</f>
        <v>2.564102564102564E-2</v>
      </c>
      <c r="Z70" s="18">
        <v>0</v>
      </c>
      <c r="AA70" s="18">
        <v>1</v>
      </c>
      <c r="AB70" s="18"/>
      <c r="AC70" s="18"/>
      <c r="AD70" s="18"/>
      <c r="AE70" s="18"/>
      <c r="AF70" s="18"/>
      <c r="AG70" s="18"/>
      <c r="AH70" s="12"/>
      <c r="AI70" s="18">
        <f t="shared" ref="AI70:AI86" si="110">C70*Z70</f>
        <v>0</v>
      </c>
      <c r="AJ70" s="18">
        <f t="shared" ref="AJ70:AJ86" si="111">D70*AA70</f>
        <v>1</v>
      </c>
      <c r="AK70" s="18">
        <f t="shared" ref="AK70:AK86" si="112">E70*AB70</f>
        <v>0</v>
      </c>
      <c r="AL70" s="18">
        <f t="shared" ref="AL70:AL86" si="113">F70*AC70</f>
        <v>0</v>
      </c>
      <c r="AM70" s="18">
        <f t="shared" ref="AM70:AM86" si="114">G70*AD70</f>
        <v>0</v>
      </c>
      <c r="AN70" s="18">
        <f t="shared" ref="AN70:AN86" si="115">H70*AE70</f>
        <v>0</v>
      </c>
      <c r="AO70" s="18">
        <f t="shared" ref="AO70:AO85" si="116">I70*AF70</f>
        <v>0</v>
      </c>
      <c r="AP70" s="18">
        <f t="shared" ref="AP70:AP85" si="117">J70*AG70</f>
        <v>0</v>
      </c>
      <c r="AQ70" s="9"/>
      <c r="AR70" s="18">
        <f t="shared" ref="AR70:AR85" si="118">L70*Z70</f>
        <v>0</v>
      </c>
      <c r="AS70" s="18">
        <f t="shared" ref="AS70:AS85" si="119">M70*AA70</f>
        <v>1</v>
      </c>
      <c r="AT70" s="18">
        <f t="shared" ref="AT70:AT85" si="120">N70*AB70</f>
        <v>0</v>
      </c>
      <c r="AU70" s="18">
        <f t="shared" ref="AU70:AU85" si="121">O70*AC70</f>
        <v>0</v>
      </c>
      <c r="AV70" s="18">
        <f t="shared" ref="AV70:AV83" si="122">P70*AD70</f>
        <v>0</v>
      </c>
      <c r="AW70" s="18">
        <f t="shared" ref="AW70:AW85" si="123">Q70*AE70</f>
        <v>0</v>
      </c>
      <c r="AX70" s="18">
        <f t="shared" ref="AX70:AX85" si="124">R70*AF70</f>
        <v>0</v>
      </c>
      <c r="AY70" s="18">
        <f t="shared" ref="AY70:AY85" si="125">S70*AG70</f>
        <v>0</v>
      </c>
      <c r="BA70" s="27">
        <f>(AI70-AR70)</f>
        <v>0</v>
      </c>
      <c r="BB70" s="27">
        <f t="shared" ref="BB70:BB85" si="126">(AJ70-AS70)</f>
        <v>0</v>
      </c>
      <c r="BC70" s="27">
        <f t="shared" ref="BC70:BC85" si="127">(AK70-AT70)</f>
        <v>0</v>
      </c>
      <c r="BD70" s="27">
        <f t="shared" ref="BD70:BD85" si="128">(AL70-AU70)</f>
        <v>0</v>
      </c>
      <c r="BE70" s="27">
        <f t="shared" ref="BE70:BE85" si="129">(AM70-AV70)</f>
        <v>0</v>
      </c>
      <c r="BF70" s="27">
        <f t="shared" ref="BF70:BF85" si="130">(AN70-AW70)</f>
        <v>0</v>
      </c>
      <c r="BG70" s="27">
        <f t="shared" ref="BG70:BG85" si="131">(AO70-AX70)</f>
        <v>0</v>
      </c>
      <c r="BH70" s="27">
        <f t="shared" ref="BH70:BH85" si="132">(AP70-AY70)</f>
        <v>0</v>
      </c>
      <c r="BI70" s="27">
        <f>ABS(SUM(BA70:BH70))</f>
        <v>0</v>
      </c>
      <c r="BJ70" s="27">
        <f>BI70*Y70</f>
        <v>0</v>
      </c>
    </row>
    <row r="71" spans="1:62" ht="22.5">
      <c r="A71" s="6" t="s">
        <v>11</v>
      </c>
      <c r="B71" s="7"/>
      <c r="C71" s="25">
        <v>0</v>
      </c>
      <c r="D71" s="28">
        <v>1</v>
      </c>
      <c r="E71" s="28"/>
      <c r="F71" s="28"/>
      <c r="G71" s="28"/>
      <c r="H71" s="28"/>
      <c r="I71" s="28"/>
      <c r="J71" s="28"/>
      <c r="K71" s="29"/>
      <c r="L71" s="25">
        <v>0</v>
      </c>
      <c r="M71" s="28">
        <v>1</v>
      </c>
      <c r="N71" s="28"/>
      <c r="O71" s="28"/>
      <c r="P71" s="28"/>
      <c r="Q71" s="28"/>
      <c r="R71" s="28"/>
      <c r="S71" s="28"/>
      <c r="U71" s="9">
        <f t="shared" si="109"/>
        <v>1</v>
      </c>
      <c r="V71" s="1">
        <f t="shared" ref="V71:V80" si="133">(1-W71)*Y71</f>
        <v>2.564102564102564E-2</v>
      </c>
      <c r="W71" s="11">
        <f t="shared" ref="W71:W83" si="134">BI71</f>
        <v>0</v>
      </c>
      <c r="X71" s="9">
        <v>1</v>
      </c>
      <c r="Y71" s="10">
        <f t="shared" ref="Y71:Y85" si="135">X71/SUM($X$2:$X$17)</f>
        <v>2.564102564102564E-2</v>
      </c>
      <c r="Z71" s="18">
        <v>0</v>
      </c>
      <c r="AA71" s="18">
        <v>1</v>
      </c>
      <c r="AB71" s="18"/>
      <c r="AC71" s="18"/>
      <c r="AD71" s="18"/>
      <c r="AE71" s="18"/>
      <c r="AF71" s="18"/>
      <c r="AG71" s="18"/>
      <c r="AH71" s="12"/>
      <c r="AI71" s="18">
        <f t="shared" si="110"/>
        <v>0</v>
      </c>
      <c r="AJ71" s="18">
        <f t="shared" si="111"/>
        <v>1</v>
      </c>
      <c r="AK71" s="18">
        <f t="shared" si="112"/>
        <v>0</v>
      </c>
      <c r="AL71" s="18">
        <f t="shared" si="113"/>
        <v>0</v>
      </c>
      <c r="AM71" s="18">
        <f t="shared" si="114"/>
        <v>0</v>
      </c>
      <c r="AN71" s="18">
        <f t="shared" si="115"/>
        <v>0</v>
      </c>
      <c r="AO71" s="18">
        <f t="shared" si="116"/>
        <v>0</v>
      </c>
      <c r="AP71" s="18">
        <f t="shared" si="117"/>
        <v>0</v>
      </c>
      <c r="AQ71" s="9"/>
      <c r="AR71" s="18">
        <f t="shared" si="118"/>
        <v>0</v>
      </c>
      <c r="AS71" s="18">
        <f t="shared" si="119"/>
        <v>1</v>
      </c>
      <c r="AT71" s="18">
        <f t="shared" si="120"/>
        <v>0</v>
      </c>
      <c r="AU71" s="18">
        <f t="shared" si="121"/>
        <v>0</v>
      </c>
      <c r="AV71" s="18">
        <f t="shared" si="122"/>
        <v>0</v>
      </c>
      <c r="AW71" s="18">
        <f t="shared" si="123"/>
        <v>0</v>
      </c>
      <c r="AX71" s="18">
        <f t="shared" si="124"/>
        <v>0</v>
      </c>
      <c r="AY71" s="18">
        <f t="shared" si="125"/>
        <v>0</v>
      </c>
      <c r="BA71" s="27">
        <f t="shared" ref="BA71:BA84" si="136">(AI71-AR71)</f>
        <v>0</v>
      </c>
      <c r="BB71" s="27">
        <f t="shared" si="126"/>
        <v>0</v>
      </c>
      <c r="BC71" s="27">
        <f t="shared" si="127"/>
        <v>0</v>
      </c>
      <c r="BD71" s="27">
        <f t="shared" si="128"/>
        <v>0</v>
      </c>
      <c r="BE71" s="27">
        <f t="shared" si="129"/>
        <v>0</v>
      </c>
      <c r="BF71" s="27">
        <f t="shared" si="130"/>
        <v>0</v>
      </c>
      <c r="BG71" s="27">
        <f t="shared" si="131"/>
        <v>0</v>
      </c>
      <c r="BH71" s="27">
        <f t="shared" si="132"/>
        <v>0</v>
      </c>
      <c r="BI71" s="27">
        <f t="shared" ref="BI71:BI85" si="137">ABS(SUM(BA71:BH71))</f>
        <v>0</v>
      </c>
      <c r="BJ71" s="27">
        <f t="shared" ref="BJ71:BJ85" si="138">BI71*Y71</f>
        <v>0</v>
      </c>
    </row>
    <row r="72" spans="1:62" s="22" customFormat="1" ht="22.5">
      <c r="A72" s="8" t="s">
        <v>12</v>
      </c>
      <c r="B72" s="21"/>
      <c r="C72" s="25">
        <v>0</v>
      </c>
      <c r="D72" s="25">
        <v>1</v>
      </c>
      <c r="E72" s="25">
        <v>0</v>
      </c>
      <c r="F72" s="28">
        <v>0</v>
      </c>
      <c r="G72" s="28"/>
      <c r="H72" s="28"/>
      <c r="I72" s="28"/>
      <c r="J72" s="28"/>
      <c r="K72" s="29"/>
      <c r="L72" s="25">
        <v>0</v>
      </c>
      <c r="M72" s="25">
        <v>1</v>
      </c>
      <c r="N72" s="25">
        <v>0</v>
      </c>
      <c r="O72" s="28">
        <v>0</v>
      </c>
      <c r="P72" s="28"/>
      <c r="Q72" s="28"/>
      <c r="R72" s="28"/>
      <c r="S72" s="28"/>
      <c r="T72"/>
      <c r="U72" s="23">
        <f t="shared" si="109"/>
        <v>1</v>
      </c>
      <c r="V72" s="1">
        <f t="shared" si="133"/>
        <v>2.564102564102564E-2</v>
      </c>
      <c r="W72" s="11">
        <f t="shared" si="134"/>
        <v>0</v>
      </c>
      <c r="X72" s="23">
        <v>1</v>
      </c>
      <c r="Y72" s="24">
        <f t="shared" si="135"/>
        <v>2.564102564102564E-2</v>
      </c>
      <c r="Z72" s="18">
        <v>0</v>
      </c>
      <c r="AA72" s="18">
        <v>0.3</v>
      </c>
      <c r="AB72" s="18">
        <v>0.8</v>
      </c>
      <c r="AC72" s="18">
        <v>1</v>
      </c>
      <c r="AD72" s="18"/>
      <c r="AE72" s="18"/>
      <c r="AF72" s="18"/>
      <c r="AG72" s="18"/>
      <c r="AH72" s="12"/>
      <c r="AI72" s="18">
        <f t="shared" si="110"/>
        <v>0</v>
      </c>
      <c r="AJ72" s="18">
        <f t="shared" si="111"/>
        <v>0.3</v>
      </c>
      <c r="AK72" s="18">
        <f t="shared" si="112"/>
        <v>0</v>
      </c>
      <c r="AL72" s="18">
        <f t="shared" si="113"/>
        <v>0</v>
      </c>
      <c r="AM72" s="18">
        <f t="shared" si="114"/>
        <v>0</v>
      </c>
      <c r="AN72" s="18">
        <f t="shared" si="115"/>
        <v>0</v>
      </c>
      <c r="AO72" s="18">
        <f t="shared" si="116"/>
        <v>0</v>
      </c>
      <c r="AP72" s="18">
        <f t="shared" si="117"/>
        <v>0</v>
      </c>
      <c r="AQ72" s="23"/>
      <c r="AR72" s="18">
        <f t="shared" si="118"/>
        <v>0</v>
      </c>
      <c r="AS72" s="18">
        <f t="shared" si="119"/>
        <v>0.3</v>
      </c>
      <c r="AT72" s="18">
        <f t="shared" si="120"/>
        <v>0</v>
      </c>
      <c r="AU72" s="18">
        <f t="shared" si="121"/>
        <v>0</v>
      </c>
      <c r="AV72" s="18">
        <f t="shared" si="122"/>
        <v>0</v>
      </c>
      <c r="AW72" s="18">
        <f t="shared" si="123"/>
        <v>0</v>
      </c>
      <c r="AX72" s="18">
        <f t="shared" si="124"/>
        <v>0</v>
      </c>
      <c r="AY72" s="18">
        <f t="shared" si="125"/>
        <v>0</v>
      </c>
      <c r="BA72" s="27">
        <f t="shared" si="136"/>
        <v>0</v>
      </c>
      <c r="BB72" s="27">
        <f t="shared" si="126"/>
        <v>0</v>
      </c>
      <c r="BC72" s="27">
        <f t="shared" si="127"/>
        <v>0</v>
      </c>
      <c r="BD72" s="27">
        <f t="shared" si="128"/>
        <v>0</v>
      </c>
      <c r="BE72" s="27">
        <f t="shared" si="129"/>
        <v>0</v>
      </c>
      <c r="BF72" s="27">
        <f t="shared" si="130"/>
        <v>0</v>
      </c>
      <c r="BG72" s="27">
        <f t="shared" si="131"/>
        <v>0</v>
      </c>
      <c r="BH72" s="27">
        <f t="shared" si="132"/>
        <v>0</v>
      </c>
      <c r="BI72" s="27">
        <f t="shared" si="137"/>
        <v>0</v>
      </c>
      <c r="BJ72" s="27">
        <f t="shared" si="138"/>
        <v>0</v>
      </c>
    </row>
    <row r="73" spans="1:62" s="22" customFormat="1" ht="22.5">
      <c r="A73" s="8" t="s">
        <v>13</v>
      </c>
      <c r="B73" s="21"/>
      <c r="C73" s="25">
        <v>1</v>
      </c>
      <c r="D73" s="25">
        <v>0</v>
      </c>
      <c r="E73" s="25">
        <v>0</v>
      </c>
      <c r="F73" s="28">
        <v>0</v>
      </c>
      <c r="G73" s="28"/>
      <c r="H73" s="28"/>
      <c r="I73" s="28"/>
      <c r="J73" s="28"/>
      <c r="K73" s="29"/>
      <c r="L73" s="25">
        <v>0</v>
      </c>
      <c r="M73" s="25">
        <v>0</v>
      </c>
      <c r="N73" s="25">
        <v>0</v>
      </c>
      <c r="O73" s="28">
        <v>1</v>
      </c>
      <c r="P73" s="28"/>
      <c r="Q73" s="28"/>
      <c r="R73" s="28"/>
      <c r="S73" s="28"/>
      <c r="T73"/>
      <c r="U73" s="23">
        <f t="shared" si="109"/>
        <v>0</v>
      </c>
      <c r="V73" s="1">
        <f t="shared" si="133"/>
        <v>0</v>
      </c>
      <c r="W73" s="11">
        <f t="shared" si="134"/>
        <v>1</v>
      </c>
      <c r="X73" s="23">
        <v>5</v>
      </c>
      <c r="Y73" s="24">
        <f t="shared" si="135"/>
        <v>0.12820512820512819</v>
      </c>
      <c r="Z73" s="18">
        <v>0</v>
      </c>
      <c r="AA73" s="18">
        <v>0.3</v>
      </c>
      <c r="AB73" s="18">
        <v>0.8</v>
      </c>
      <c r="AC73" s="18">
        <v>1</v>
      </c>
      <c r="AD73" s="18"/>
      <c r="AE73" s="18"/>
      <c r="AF73" s="18"/>
      <c r="AG73" s="18"/>
      <c r="AH73" s="12"/>
      <c r="AI73" s="18">
        <f t="shared" si="110"/>
        <v>0</v>
      </c>
      <c r="AJ73" s="18">
        <f t="shared" si="111"/>
        <v>0</v>
      </c>
      <c r="AK73" s="18">
        <f t="shared" si="112"/>
        <v>0</v>
      </c>
      <c r="AL73" s="18">
        <f t="shared" si="113"/>
        <v>0</v>
      </c>
      <c r="AM73" s="18">
        <f t="shared" si="114"/>
        <v>0</v>
      </c>
      <c r="AN73" s="18">
        <f t="shared" si="115"/>
        <v>0</v>
      </c>
      <c r="AO73" s="18">
        <f t="shared" si="116"/>
        <v>0</v>
      </c>
      <c r="AP73" s="18">
        <f t="shared" si="117"/>
        <v>0</v>
      </c>
      <c r="AQ73" s="23"/>
      <c r="AR73" s="18">
        <f t="shared" si="118"/>
        <v>0</v>
      </c>
      <c r="AS73" s="18">
        <f t="shared" si="119"/>
        <v>0</v>
      </c>
      <c r="AT73" s="18">
        <f t="shared" si="120"/>
        <v>0</v>
      </c>
      <c r="AU73" s="18">
        <f t="shared" si="121"/>
        <v>1</v>
      </c>
      <c r="AV73" s="18">
        <f t="shared" si="122"/>
        <v>0</v>
      </c>
      <c r="AW73" s="18">
        <f t="shared" si="123"/>
        <v>0</v>
      </c>
      <c r="AX73" s="18">
        <f t="shared" si="124"/>
        <v>0</v>
      </c>
      <c r="AY73" s="18">
        <f t="shared" si="125"/>
        <v>0</v>
      </c>
      <c r="BA73" s="27">
        <f t="shared" si="136"/>
        <v>0</v>
      </c>
      <c r="BB73" s="27">
        <f t="shared" si="126"/>
        <v>0</v>
      </c>
      <c r="BC73" s="27">
        <f t="shared" si="127"/>
        <v>0</v>
      </c>
      <c r="BD73" s="27">
        <f t="shared" si="128"/>
        <v>-1</v>
      </c>
      <c r="BE73" s="27">
        <f t="shared" si="129"/>
        <v>0</v>
      </c>
      <c r="BF73" s="27">
        <f t="shared" si="130"/>
        <v>0</v>
      </c>
      <c r="BG73" s="27">
        <f t="shared" si="131"/>
        <v>0</v>
      </c>
      <c r="BH73" s="27">
        <f t="shared" si="132"/>
        <v>0</v>
      </c>
      <c r="BI73" s="27">
        <f t="shared" si="137"/>
        <v>1</v>
      </c>
      <c r="BJ73" s="27">
        <f t="shared" si="138"/>
        <v>0.12820512820512819</v>
      </c>
    </row>
    <row r="74" spans="1:62" s="22" customFormat="1" ht="22.5">
      <c r="A74" s="8" t="s">
        <v>14</v>
      </c>
      <c r="B74" s="21"/>
      <c r="C74" s="25">
        <v>0</v>
      </c>
      <c r="D74" s="25">
        <v>0</v>
      </c>
      <c r="E74" s="25">
        <v>1</v>
      </c>
      <c r="F74" s="28">
        <v>0</v>
      </c>
      <c r="G74" s="28"/>
      <c r="H74" s="28"/>
      <c r="I74" s="28"/>
      <c r="J74" s="28"/>
      <c r="K74" s="29"/>
      <c r="L74" s="25">
        <v>0</v>
      </c>
      <c r="M74" s="25">
        <v>0</v>
      </c>
      <c r="N74" s="25">
        <v>1</v>
      </c>
      <c r="O74" s="28">
        <v>0</v>
      </c>
      <c r="P74" s="28"/>
      <c r="Q74" s="28"/>
      <c r="R74" s="28"/>
      <c r="S74" s="28"/>
      <c r="T74"/>
      <c r="U74" s="23">
        <f t="shared" si="109"/>
        <v>1</v>
      </c>
      <c r="V74" s="1">
        <f t="shared" si="133"/>
        <v>5.128205128205128E-2</v>
      </c>
      <c r="W74" s="11">
        <f t="shared" si="134"/>
        <v>0</v>
      </c>
      <c r="X74" s="23">
        <v>2</v>
      </c>
      <c r="Y74" s="24">
        <f t="shared" si="135"/>
        <v>5.128205128205128E-2</v>
      </c>
      <c r="Z74" s="18">
        <v>0</v>
      </c>
      <c r="AA74" s="18">
        <v>0.3</v>
      </c>
      <c r="AB74" s="18">
        <v>0.8</v>
      </c>
      <c r="AC74" s="18">
        <v>1</v>
      </c>
      <c r="AD74" s="18"/>
      <c r="AE74" s="18"/>
      <c r="AF74" s="18"/>
      <c r="AG74" s="18"/>
      <c r="AH74" s="12"/>
      <c r="AI74" s="18">
        <f t="shared" si="110"/>
        <v>0</v>
      </c>
      <c r="AJ74" s="18">
        <f t="shared" si="111"/>
        <v>0</v>
      </c>
      <c r="AK74" s="18">
        <f t="shared" si="112"/>
        <v>0.8</v>
      </c>
      <c r="AL74" s="18">
        <f t="shared" si="113"/>
        <v>0</v>
      </c>
      <c r="AM74" s="18">
        <f t="shared" si="114"/>
        <v>0</v>
      </c>
      <c r="AN74" s="18">
        <f t="shared" si="115"/>
        <v>0</v>
      </c>
      <c r="AO74" s="18">
        <f t="shared" si="116"/>
        <v>0</v>
      </c>
      <c r="AP74" s="18">
        <f t="shared" si="117"/>
        <v>0</v>
      </c>
      <c r="AQ74" s="23"/>
      <c r="AR74" s="18">
        <f t="shared" si="118"/>
        <v>0</v>
      </c>
      <c r="AS74" s="18">
        <f t="shared" si="119"/>
        <v>0</v>
      </c>
      <c r="AT74" s="18">
        <f t="shared" si="120"/>
        <v>0.8</v>
      </c>
      <c r="AU74" s="18">
        <f t="shared" si="121"/>
        <v>0</v>
      </c>
      <c r="AV74" s="18">
        <f t="shared" si="122"/>
        <v>0</v>
      </c>
      <c r="AW74" s="18">
        <f t="shared" si="123"/>
        <v>0</v>
      </c>
      <c r="AX74" s="18">
        <f t="shared" si="124"/>
        <v>0</v>
      </c>
      <c r="AY74" s="18">
        <f t="shared" si="125"/>
        <v>0</v>
      </c>
      <c r="BA74" s="27">
        <f t="shared" si="136"/>
        <v>0</v>
      </c>
      <c r="BB74" s="27">
        <f t="shared" si="126"/>
        <v>0</v>
      </c>
      <c r="BC74" s="27">
        <f t="shared" si="127"/>
        <v>0</v>
      </c>
      <c r="BD74" s="27">
        <f t="shared" si="128"/>
        <v>0</v>
      </c>
      <c r="BE74" s="27">
        <f t="shared" si="129"/>
        <v>0</v>
      </c>
      <c r="BF74" s="27">
        <f t="shared" si="130"/>
        <v>0</v>
      </c>
      <c r="BG74" s="27">
        <f t="shared" si="131"/>
        <v>0</v>
      </c>
      <c r="BH74" s="27">
        <f t="shared" si="132"/>
        <v>0</v>
      </c>
      <c r="BI74" s="27">
        <f t="shared" si="137"/>
        <v>0</v>
      </c>
      <c r="BJ74" s="27">
        <f t="shared" si="138"/>
        <v>0</v>
      </c>
    </row>
    <row r="75" spans="1:62" s="22" customFormat="1" ht="22.5">
      <c r="A75" s="8" t="s">
        <v>15</v>
      </c>
      <c r="B75" s="21"/>
      <c r="C75" s="25">
        <v>0</v>
      </c>
      <c r="D75" s="25">
        <v>1</v>
      </c>
      <c r="E75" s="25">
        <v>0</v>
      </c>
      <c r="F75" s="28">
        <v>0</v>
      </c>
      <c r="G75" s="28"/>
      <c r="H75" s="28"/>
      <c r="I75" s="28"/>
      <c r="J75" s="28"/>
      <c r="K75" s="29"/>
      <c r="L75" s="25">
        <v>0</v>
      </c>
      <c r="M75" s="25">
        <v>1</v>
      </c>
      <c r="N75" s="25">
        <v>0</v>
      </c>
      <c r="O75" s="28">
        <v>0</v>
      </c>
      <c r="P75" s="28"/>
      <c r="Q75" s="28"/>
      <c r="R75" s="28"/>
      <c r="S75" s="28"/>
      <c r="T75"/>
      <c r="U75" s="23">
        <f t="shared" si="109"/>
        <v>1</v>
      </c>
      <c r="V75" s="1">
        <f t="shared" si="133"/>
        <v>7.6923076923076927E-2</v>
      </c>
      <c r="W75" s="11">
        <f t="shared" si="134"/>
        <v>0</v>
      </c>
      <c r="X75" s="23">
        <v>3</v>
      </c>
      <c r="Y75" s="24">
        <f t="shared" si="135"/>
        <v>7.6923076923076927E-2</v>
      </c>
      <c r="Z75" s="18">
        <v>0</v>
      </c>
      <c r="AA75" s="18">
        <v>0.3</v>
      </c>
      <c r="AB75" s="18">
        <v>0.8</v>
      </c>
      <c r="AC75" s="18">
        <v>1</v>
      </c>
      <c r="AD75" s="18"/>
      <c r="AE75" s="18"/>
      <c r="AF75" s="18"/>
      <c r="AG75" s="18"/>
      <c r="AH75" s="12"/>
      <c r="AI75" s="18">
        <f t="shared" si="110"/>
        <v>0</v>
      </c>
      <c r="AJ75" s="18">
        <f t="shared" si="111"/>
        <v>0.3</v>
      </c>
      <c r="AK75" s="18">
        <f t="shared" si="112"/>
        <v>0</v>
      </c>
      <c r="AL75" s="18">
        <f t="shared" si="113"/>
        <v>0</v>
      </c>
      <c r="AM75" s="18">
        <f t="shared" si="114"/>
        <v>0</v>
      </c>
      <c r="AN75" s="18">
        <f t="shared" si="115"/>
        <v>0</v>
      </c>
      <c r="AO75" s="18">
        <f t="shared" si="116"/>
        <v>0</v>
      </c>
      <c r="AP75" s="18">
        <f t="shared" si="117"/>
        <v>0</v>
      </c>
      <c r="AQ75" s="23"/>
      <c r="AR75" s="18">
        <f t="shared" si="118"/>
        <v>0</v>
      </c>
      <c r="AS75" s="18">
        <f t="shared" si="119"/>
        <v>0.3</v>
      </c>
      <c r="AT75" s="18">
        <f t="shared" si="120"/>
        <v>0</v>
      </c>
      <c r="AU75" s="18">
        <f t="shared" si="121"/>
        <v>0</v>
      </c>
      <c r="AV75" s="18">
        <f t="shared" si="122"/>
        <v>0</v>
      </c>
      <c r="AW75" s="18">
        <f t="shared" si="123"/>
        <v>0</v>
      </c>
      <c r="AX75" s="18">
        <f t="shared" si="124"/>
        <v>0</v>
      </c>
      <c r="AY75" s="18">
        <f t="shared" si="125"/>
        <v>0</v>
      </c>
      <c r="BA75" s="27">
        <f t="shared" si="136"/>
        <v>0</v>
      </c>
      <c r="BB75" s="27">
        <f t="shared" si="126"/>
        <v>0</v>
      </c>
      <c r="BC75" s="27">
        <f t="shared" si="127"/>
        <v>0</v>
      </c>
      <c r="BD75" s="27">
        <f t="shared" si="128"/>
        <v>0</v>
      </c>
      <c r="BE75" s="27">
        <f t="shared" si="129"/>
        <v>0</v>
      </c>
      <c r="BF75" s="27">
        <f t="shared" si="130"/>
        <v>0</v>
      </c>
      <c r="BG75" s="27">
        <f t="shared" si="131"/>
        <v>0</v>
      </c>
      <c r="BH75" s="27">
        <f t="shared" si="132"/>
        <v>0</v>
      </c>
      <c r="BI75" s="27">
        <f t="shared" si="137"/>
        <v>0</v>
      </c>
      <c r="BJ75" s="27">
        <f t="shared" si="138"/>
        <v>0</v>
      </c>
    </row>
    <row r="76" spans="1:62" s="22" customFormat="1" ht="22.5">
      <c r="A76" s="8" t="s">
        <v>16</v>
      </c>
      <c r="B76" s="21"/>
      <c r="C76" s="25">
        <v>0</v>
      </c>
      <c r="D76" s="25">
        <v>0</v>
      </c>
      <c r="E76" s="25">
        <v>1</v>
      </c>
      <c r="F76" s="28">
        <v>0</v>
      </c>
      <c r="G76" s="28"/>
      <c r="H76" s="28"/>
      <c r="I76" s="28"/>
      <c r="J76" s="28"/>
      <c r="K76" s="29"/>
      <c r="L76" s="25">
        <v>1</v>
      </c>
      <c r="M76" s="25">
        <v>0</v>
      </c>
      <c r="N76" s="25">
        <v>0</v>
      </c>
      <c r="O76" s="28">
        <v>0</v>
      </c>
      <c r="P76" s="28"/>
      <c r="Q76" s="28"/>
      <c r="R76" s="28"/>
      <c r="S76" s="28"/>
      <c r="T76"/>
      <c r="U76" s="23">
        <f t="shared" si="109"/>
        <v>0</v>
      </c>
      <c r="V76" s="1">
        <f t="shared" si="133"/>
        <v>1.0256410256410253E-2</v>
      </c>
      <c r="W76" s="11">
        <f t="shared" si="134"/>
        <v>0.8</v>
      </c>
      <c r="X76" s="23">
        <v>2</v>
      </c>
      <c r="Y76" s="24">
        <f t="shared" si="135"/>
        <v>5.128205128205128E-2</v>
      </c>
      <c r="Z76" s="18">
        <v>0</v>
      </c>
      <c r="AA76" s="18">
        <v>0.3</v>
      </c>
      <c r="AB76" s="18">
        <v>0.8</v>
      </c>
      <c r="AC76" s="18">
        <v>1</v>
      </c>
      <c r="AD76" s="18"/>
      <c r="AE76" s="18"/>
      <c r="AF76" s="18"/>
      <c r="AG76" s="18"/>
      <c r="AH76" s="12"/>
      <c r="AI76" s="18">
        <f t="shared" si="110"/>
        <v>0</v>
      </c>
      <c r="AJ76" s="18">
        <f t="shared" si="111"/>
        <v>0</v>
      </c>
      <c r="AK76" s="18">
        <f t="shared" si="112"/>
        <v>0.8</v>
      </c>
      <c r="AL76" s="18">
        <f t="shared" si="113"/>
        <v>0</v>
      </c>
      <c r="AM76" s="18">
        <f t="shared" si="114"/>
        <v>0</v>
      </c>
      <c r="AN76" s="18">
        <f t="shared" si="115"/>
        <v>0</v>
      </c>
      <c r="AO76" s="18">
        <f t="shared" si="116"/>
        <v>0</v>
      </c>
      <c r="AP76" s="18">
        <f t="shared" si="117"/>
        <v>0</v>
      </c>
      <c r="AQ76" s="23"/>
      <c r="AR76" s="18">
        <f t="shared" si="118"/>
        <v>0</v>
      </c>
      <c r="AS76" s="18">
        <f t="shared" si="119"/>
        <v>0</v>
      </c>
      <c r="AT76" s="18">
        <f t="shared" si="120"/>
        <v>0</v>
      </c>
      <c r="AU76" s="18">
        <f t="shared" si="121"/>
        <v>0</v>
      </c>
      <c r="AV76" s="18">
        <f t="shared" si="122"/>
        <v>0</v>
      </c>
      <c r="AW76" s="18">
        <f t="shared" si="123"/>
        <v>0</v>
      </c>
      <c r="AX76" s="18">
        <f t="shared" si="124"/>
        <v>0</v>
      </c>
      <c r="AY76" s="18">
        <f t="shared" si="125"/>
        <v>0</v>
      </c>
      <c r="BA76" s="27">
        <f t="shared" si="136"/>
        <v>0</v>
      </c>
      <c r="BB76" s="27">
        <f t="shared" si="126"/>
        <v>0</v>
      </c>
      <c r="BC76" s="27">
        <f t="shared" si="127"/>
        <v>0.8</v>
      </c>
      <c r="BD76" s="27">
        <f t="shared" si="128"/>
        <v>0</v>
      </c>
      <c r="BE76" s="27">
        <f t="shared" si="129"/>
        <v>0</v>
      </c>
      <c r="BF76" s="27">
        <f t="shared" si="130"/>
        <v>0</v>
      </c>
      <c r="BG76" s="27">
        <f t="shared" si="131"/>
        <v>0</v>
      </c>
      <c r="BH76" s="27">
        <f t="shared" si="132"/>
        <v>0</v>
      </c>
      <c r="BI76" s="27">
        <f t="shared" si="137"/>
        <v>0.8</v>
      </c>
      <c r="BJ76" s="27">
        <f t="shared" si="138"/>
        <v>4.1025641025641026E-2</v>
      </c>
    </row>
    <row r="77" spans="1:62" ht="22.5">
      <c r="A77" s="4" t="s">
        <v>0</v>
      </c>
      <c r="B77" s="7"/>
      <c r="C77" s="25">
        <v>1</v>
      </c>
      <c r="D77" s="25">
        <v>0</v>
      </c>
      <c r="E77" s="25"/>
      <c r="F77" s="28"/>
      <c r="G77" s="28"/>
      <c r="H77" s="28"/>
      <c r="I77" s="28"/>
      <c r="J77" s="28"/>
      <c r="K77" s="29"/>
      <c r="L77" s="25">
        <v>0</v>
      </c>
      <c r="M77" s="25">
        <v>1</v>
      </c>
      <c r="N77" s="25"/>
      <c r="O77" s="28"/>
      <c r="P77" s="28"/>
      <c r="Q77" s="28"/>
      <c r="R77" s="28"/>
      <c r="S77" s="28"/>
      <c r="U77" s="9">
        <f t="shared" si="109"/>
        <v>0</v>
      </c>
      <c r="V77" s="1">
        <f t="shared" si="133"/>
        <v>0</v>
      </c>
      <c r="W77" s="11">
        <f t="shared" si="134"/>
        <v>1</v>
      </c>
      <c r="X77" s="12">
        <v>5</v>
      </c>
      <c r="Y77" s="10">
        <f t="shared" si="135"/>
        <v>0.12820512820512819</v>
      </c>
      <c r="Z77" s="18">
        <v>0</v>
      </c>
      <c r="AA77" s="18">
        <f>IF(M77=1,1,0)</f>
        <v>1</v>
      </c>
      <c r="AB77" s="18">
        <v>0</v>
      </c>
      <c r="AC77" s="18">
        <v>0</v>
      </c>
      <c r="AD77" s="18"/>
      <c r="AE77" s="18"/>
      <c r="AF77" s="18"/>
      <c r="AG77" s="18"/>
      <c r="AH77" s="12"/>
      <c r="AI77" s="18">
        <f t="shared" si="110"/>
        <v>0</v>
      </c>
      <c r="AJ77" s="18">
        <f t="shared" si="111"/>
        <v>0</v>
      </c>
      <c r="AK77" s="18">
        <f t="shared" si="112"/>
        <v>0</v>
      </c>
      <c r="AL77" s="18">
        <f t="shared" si="113"/>
        <v>0</v>
      </c>
      <c r="AM77" s="18">
        <f t="shared" si="114"/>
        <v>0</v>
      </c>
      <c r="AN77" s="18">
        <f t="shared" si="115"/>
        <v>0</v>
      </c>
      <c r="AO77" s="18">
        <f t="shared" si="116"/>
        <v>0</v>
      </c>
      <c r="AP77" s="18">
        <f t="shared" si="117"/>
        <v>0</v>
      </c>
      <c r="AQ77" s="9"/>
      <c r="AR77" s="18">
        <f t="shared" si="118"/>
        <v>0</v>
      </c>
      <c r="AS77" s="18">
        <f t="shared" si="119"/>
        <v>1</v>
      </c>
      <c r="AT77" s="18">
        <f t="shared" si="120"/>
        <v>0</v>
      </c>
      <c r="AU77" s="18">
        <f t="shared" si="121"/>
        <v>0</v>
      </c>
      <c r="AV77" s="18">
        <f t="shared" si="122"/>
        <v>0</v>
      </c>
      <c r="AW77" s="18">
        <f t="shared" si="123"/>
        <v>0</v>
      </c>
      <c r="AX77" s="18">
        <f t="shared" si="124"/>
        <v>0</v>
      </c>
      <c r="AY77" s="18">
        <f t="shared" si="125"/>
        <v>0</v>
      </c>
      <c r="BA77" s="27">
        <f t="shared" si="136"/>
        <v>0</v>
      </c>
      <c r="BB77" s="27">
        <f t="shared" si="126"/>
        <v>-1</v>
      </c>
      <c r="BC77" s="27">
        <f t="shared" si="127"/>
        <v>0</v>
      </c>
      <c r="BD77" s="27">
        <f t="shared" si="128"/>
        <v>0</v>
      </c>
      <c r="BE77" s="27">
        <f t="shared" si="129"/>
        <v>0</v>
      </c>
      <c r="BF77" s="27">
        <f t="shared" si="130"/>
        <v>0</v>
      </c>
      <c r="BG77" s="27">
        <f t="shared" si="131"/>
        <v>0</v>
      </c>
      <c r="BH77" s="27">
        <f t="shared" si="132"/>
        <v>0</v>
      </c>
      <c r="BI77" s="27">
        <f t="shared" si="137"/>
        <v>1</v>
      </c>
      <c r="BJ77" s="27">
        <f t="shared" si="138"/>
        <v>0.12820512820512819</v>
      </c>
    </row>
    <row r="78" spans="1:62" ht="22.5">
      <c r="A78" s="5" t="s">
        <v>1</v>
      </c>
      <c r="B78" s="7"/>
      <c r="C78" s="25"/>
      <c r="D78" s="25"/>
      <c r="E78" s="25"/>
      <c r="F78" s="25"/>
      <c r="G78" s="25">
        <v>0</v>
      </c>
      <c r="H78" s="25">
        <v>1</v>
      </c>
      <c r="I78" s="28"/>
      <c r="J78" s="28"/>
      <c r="K78" s="29"/>
      <c r="L78" s="25"/>
      <c r="M78" s="25"/>
      <c r="N78" s="25"/>
      <c r="O78" s="25"/>
      <c r="P78" s="25">
        <v>0</v>
      </c>
      <c r="Q78" s="25">
        <v>1</v>
      </c>
      <c r="R78" s="28"/>
      <c r="S78" s="28"/>
      <c r="U78" s="9">
        <f t="shared" si="109"/>
        <v>1</v>
      </c>
      <c r="V78" s="1">
        <f t="shared" si="133"/>
        <v>7.6923076923076927E-2</v>
      </c>
      <c r="W78" s="11">
        <f t="shared" si="134"/>
        <v>0</v>
      </c>
      <c r="X78" s="12">
        <v>3</v>
      </c>
      <c r="Y78" s="10">
        <f t="shared" si="135"/>
        <v>7.6923076923076927E-2</v>
      </c>
      <c r="Z78" s="18"/>
      <c r="AA78" s="18"/>
      <c r="AB78" s="18"/>
      <c r="AC78" s="18"/>
      <c r="AD78" s="18">
        <v>0</v>
      </c>
      <c r="AE78" s="18">
        <v>1</v>
      </c>
      <c r="AF78" s="18"/>
      <c r="AG78" s="18"/>
      <c r="AH78" s="12"/>
      <c r="AI78" s="18">
        <f t="shared" si="110"/>
        <v>0</v>
      </c>
      <c r="AJ78" s="18">
        <f t="shared" si="111"/>
        <v>0</v>
      </c>
      <c r="AK78" s="18">
        <f t="shared" si="112"/>
        <v>0</v>
      </c>
      <c r="AL78" s="18">
        <f t="shared" si="113"/>
        <v>0</v>
      </c>
      <c r="AM78" s="18">
        <f t="shared" si="114"/>
        <v>0</v>
      </c>
      <c r="AN78" s="18">
        <f t="shared" si="115"/>
        <v>1</v>
      </c>
      <c r="AO78" s="18">
        <f t="shared" si="116"/>
        <v>0</v>
      </c>
      <c r="AP78" s="18">
        <f t="shared" si="117"/>
        <v>0</v>
      </c>
      <c r="AQ78" s="9"/>
      <c r="AR78" s="18">
        <f t="shared" si="118"/>
        <v>0</v>
      </c>
      <c r="AS78" s="18">
        <f t="shared" si="119"/>
        <v>0</v>
      </c>
      <c r="AT78" s="18">
        <f t="shared" si="120"/>
        <v>0</v>
      </c>
      <c r="AU78" s="18">
        <f t="shared" si="121"/>
        <v>0</v>
      </c>
      <c r="AV78" s="18">
        <f t="shared" si="122"/>
        <v>0</v>
      </c>
      <c r="AW78" s="18">
        <f t="shared" si="123"/>
        <v>1</v>
      </c>
      <c r="AX78" s="18">
        <f t="shared" si="124"/>
        <v>0</v>
      </c>
      <c r="AY78" s="18">
        <f t="shared" si="125"/>
        <v>0</v>
      </c>
      <c r="BA78" s="27">
        <f t="shared" si="136"/>
        <v>0</v>
      </c>
      <c r="BB78" s="27">
        <f t="shared" si="126"/>
        <v>0</v>
      </c>
      <c r="BC78" s="27">
        <f t="shared" si="127"/>
        <v>0</v>
      </c>
      <c r="BD78" s="27">
        <f t="shared" si="128"/>
        <v>0</v>
      </c>
      <c r="BE78" s="27">
        <f t="shared" si="129"/>
        <v>0</v>
      </c>
      <c r="BF78" s="27">
        <f t="shared" si="130"/>
        <v>0</v>
      </c>
      <c r="BG78" s="27">
        <f t="shared" si="131"/>
        <v>0</v>
      </c>
      <c r="BH78" s="27">
        <f t="shared" si="132"/>
        <v>0</v>
      </c>
      <c r="BI78" s="27">
        <f t="shared" si="137"/>
        <v>0</v>
      </c>
      <c r="BJ78" s="27">
        <f t="shared" si="138"/>
        <v>0</v>
      </c>
    </row>
    <row r="79" spans="1:62" ht="22.5">
      <c r="A79" s="5" t="s">
        <v>21</v>
      </c>
      <c r="B79" s="7"/>
      <c r="C79" s="25"/>
      <c r="D79" s="25"/>
      <c r="E79" s="25"/>
      <c r="F79" s="25"/>
      <c r="G79" s="25">
        <v>0</v>
      </c>
      <c r="H79" s="25">
        <v>1</v>
      </c>
      <c r="I79" s="28"/>
      <c r="J79" s="28"/>
      <c r="K79" s="29"/>
      <c r="L79" s="25"/>
      <c r="M79" s="25"/>
      <c r="N79" s="25"/>
      <c r="O79" s="25"/>
      <c r="P79" s="25">
        <v>0</v>
      </c>
      <c r="Q79" s="25">
        <v>1</v>
      </c>
      <c r="R79" s="28"/>
      <c r="S79" s="28"/>
      <c r="U79" s="9">
        <f t="shared" si="109"/>
        <v>1</v>
      </c>
      <c r="V79" s="1">
        <f t="shared" si="133"/>
        <v>2.564102564102564E-2</v>
      </c>
      <c r="W79" s="11">
        <f t="shared" si="134"/>
        <v>0</v>
      </c>
      <c r="X79" s="12">
        <v>1</v>
      </c>
      <c r="Y79" s="10">
        <f t="shared" si="135"/>
        <v>2.564102564102564E-2</v>
      </c>
      <c r="Z79" s="18"/>
      <c r="AA79" s="18"/>
      <c r="AB79" s="18"/>
      <c r="AC79" s="18"/>
      <c r="AD79" s="18">
        <v>0</v>
      </c>
      <c r="AE79" s="18">
        <v>1</v>
      </c>
      <c r="AF79" s="18"/>
      <c r="AG79" s="18"/>
      <c r="AH79" s="12"/>
      <c r="AI79" s="18">
        <f t="shared" si="110"/>
        <v>0</v>
      </c>
      <c r="AJ79" s="18">
        <f t="shared" si="111"/>
        <v>0</v>
      </c>
      <c r="AK79" s="18">
        <f t="shared" si="112"/>
        <v>0</v>
      </c>
      <c r="AL79" s="18">
        <f t="shared" si="113"/>
        <v>0</v>
      </c>
      <c r="AM79" s="18">
        <f t="shared" si="114"/>
        <v>0</v>
      </c>
      <c r="AN79" s="18">
        <f t="shared" si="115"/>
        <v>1</v>
      </c>
      <c r="AO79" s="18">
        <f t="shared" si="116"/>
        <v>0</v>
      </c>
      <c r="AP79" s="18">
        <f t="shared" si="117"/>
        <v>0</v>
      </c>
      <c r="AQ79" s="9"/>
      <c r="AR79" s="18">
        <f t="shared" si="118"/>
        <v>0</v>
      </c>
      <c r="AS79" s="18">
        <f t="shared" si="119"/>
        <v>0</v>
      </c>
      <c r="AT79" s="18">
        <f t="shared" si="120"/>
        <v>0</v>
      </c>
      <c r="AU79" s="18">
        <f t="shared" si="121"/>
        <v>0</v>
      </c>
      <c r="AV79" s="18">
        <f t="shared" si="122"/>
        <v>0</v>
      </c>
      <c r="AW79" s="18">
        <f t="shared" si="123"/>
        <v>1</v>
      </c>
      <c r="AX79" s="18">
        <f t="shared" si="124"/>
        <v>0</v>
      </c>
      <c r="AY79" s="18">
        <f t="shared" si="125"/>
        <v>0</v>
      </c>
      <c r="BA79" s="27">
        <f t="shared" si="136"/>
        <v>0</v>
      </c>
      <c r="BB79" s="27">
        <f t="shared" si="126"/>
        <v>0</v>
      </c>
      <c r="BC79" s="27">
        <f t="shared" si="127"/>
        <v>0</v>
      </c>
      <c r="BD79" s="27">
        <f t="shared" si="128"/>
        <v>0</v>
      </c>
      <c r="BE79" s="27">
        <f t="shared" si="129"/>
        <v>0</v>
      </c>
      <c r="BF79" s="27">
        <f t="shared" si="130"/>
        <v>0</v>
      </c>
      <c r="BG79" s="27">
        <f t="shared" si="131"/>
        <v>0</v>
      </c>
      <c r="BH79" s="27">
        <f t="shared" si="132"/>
        <v>0</v>
      </c>
      <c r="BI79" s="27">
        <f t="shared" si="137"/>
        <v>0</v>
      </c>
      <c r="BJ79" s="27">
        <f t="shared" si="138"/>
        <v>0</v>
      </c>
    </row>
    <row r="80" spans="1:62" ht="22.5">
      <c r="A80" s="5" t="s">
        <v>2</v>
      </c>
      <c r="B80" s="7"/>
      <c r="C80" s="25"/>
      <c r="D80" s="25"/>
      <c r="E80" s="25"/>
      <c r="F80" s="25"/>
      <c r="G80" s="25">
        <v>0</v>
      </c>
      <c r="H80" s="25">
        <v>1</v>
      </c>
      <c r="I80" s="28"/>
      <c r="J80" s="28"/>
      <c r="K80" s="29"/>
      <c r="L80" s="25"/>
      <c r="M80" s="25"/>
      <c r="N80" s="25"/>
      <c r="O80" s="25"/>
      <c r="P80" s="25">
        <v>0</v>
      </c>
      <c r="Q80" s="25">
        <v>1</v>
      </c>
      <c r="R80" s="28"/>
      <c r="S80" s="28"/>
      <c r="U80" s="9">
        <f t="shared" si="109"/>
        <v>1</v>
      </c>
      <c r="V80" s="1">
        <f t="shared" si="133"/>
        <v>2.564102564102564E-2</v>
      </c>
      <c r="W80" s="11">
        <f t="shared" si="134"/>
        <v>0</v>
      </c>
      <c r="X80" s="12">
        <v>1</v>
      </c>
      <c r="Y80" s="10">
        <f t="shared" si="135"/>
        <v>2.564102564102564E-2</v>
      </c>
      <c r="Z80" s="18"/>
      <c r="AA80" s="18"/>
      <c r="AB80" s="18"/>
      <c r="AC80" s="18"/>
      <c r="AD80" s="18">
        <v>0</v>
      </c>
      <c r="AE80" s="18">
        <v>1</v>
      </c>
      <c r="AF80" s="18"/>
      <c r="AG80" s="18"/>
      <c r="AH80" s="12"/>
      <c r="AI80" s="18">
        <f t="shared" si="110"/>
        <v>0</v>
      </c>
      <c r="AJ80" s="18">
        <f t="shared" si="111"/>
        <v>0</v>
      </c>
      <c r="AK80" s="18">
        <f t="shared" si="112"/>
        <v>0</v>
      </c>
      <c r="AL80" s="18">
        <f t="shared" si="113"/>
        <v>0</v>
      </c>
      <c r="AM80" s="18">
        <f t="shared" si="114"/>
        <v>0</v>
      </c>
      <c r="AN80" s="18">
        <f t="shared" si="115"/>
        <v>1</v>
      </c>
      <c r="AO80" s="18">
        <f t="shared" si="116"/>
        <v>0</v>
      </c>
      <c r="AP80" s="18">
        <f t="shared" si="117"/>
        <v>0</v>
      </c>
      <c r="AQ80" s="9"/>
      <c r="AR80" s="18">
        <f t="shared" si="118"/>
        <v>0</v>
      </c>
      <c r="AS80" s="18">
        <f t="shared" si="119"/>
        <v>0</v>
      </c>
      <c r="AT80" s="18">
        <f t="shared" si="120"/>
        <v>0</v>
      </c>
      <c r="AU80" s="18">
        <f t="shared" si="121"/>
        <v>0</v>
      </c>
      <c r="AV80" s="18">
        <f t="shared" si="122"/>
        <v>0</v>
      </c>
      <c r="AW80" s="18">
        <f t="shared" si="123"/>
        <v>1</v>
      </c>
      <c r="AX80" s="18">
        <f t="shared" si="124"/>
        <v>0</v>
      </c>
      <c r="AY80" s="18">
        <f t="shared" si="125"/>
        <v>0</v>
      </c>
      <c r="BA80" s="27">
        <f t="shared" si="136"/>
        <v>0</v>
      </c>
      <c r="BB80" s="27">
        <f t="shared" si="126"/>
        <v>0</v>
      </c>
      <c r="BC80" s="27">
        <f t="shared" si="127"/>
        <v>0</v>
      </c>
      <c r="BD80" s="27">
        <f t="shared" si="128"/>
        <v>0</v>
      </c>
      <c r="BE80" s="27">
        <f t="shared" si="129"/>
        <v>0</v>
      </c>
      <c r="BF80" s="27">
        <f t="shared" si="130"/>
        <v>0</v>
      </c>
      <c r="BG80" s="27">
        <f t="shared" si="131"/>
        <v>0</v>
      </c>
      <c r="BH80" s="27">
        <f t="shared" si="132"/>
        <v>0</v>
      </c>
      <c r="BI80" s="27">
        <f t="shared" si="137"/>
        <v>0</v>
      </c>
      <c r="BJ80" s="27">
        <f t="shared" si="138"/>
        <v>0</v>
      </c>
    </row>
    <row r="81" spans="1:62" ht="22.5">
      <c r="A81" s="5" t="s">
        <v>3</v>
      </c>
      <c r="B81" s="7"/>
      <c r="C81" s="25"/>
      <c r="D81" s="25"/>
      <c r="E81" s="25"/>
      <c r="F81" s="25"/>
      <c r="G81" s="25">
        <v>1</v>
      </c>
      <c r="H81" s="25">
        <v>0</v>
      </c>
      <c r="I81" s="28"/>
      <c r="J81" s="28"/>
      <c r="K81" s="29"/>
      <c r="L81" s="25"/>
      <c r="M81" s="25"/>
      <c r="N81" s="25"/>
      <c r="O81" s="25"/>
      <c r="P81" s="25">
        <v>0</v>
      </c>
      <c r="Q81" s="25">
        <v>1</v>
      </c>
      <c r="R81" s="28"/>
      <c r="S81" s="28"/>
      <c r="U81" s="9">
        <f t="shared" si="109"/>
        <v>0</v>
      </c>
      <c r="V81" s="1">
        <f>(1-W81)*Y81</f>
        <v>0</v>
      </c>
      <c r="W81" s="11">
        <f t="shared" si="134"/>
        <v>1</v>
      </c>
      <c r="X81" s="12">
        <v>5</v>
      </c>
      <c r="Y81" s="10">
        <f t="shared" si="135"/>
        <v>0.12820512820512819</v>
      </c>
      <c r="Z81" s="18"/>
      <c r="AA81" s="18"/>
      <c r="AB81" s="18"/>
      <c r="AC81" s="18"/>
      <c r="AD81" s="18">
        <v>0</v>
      </c>
      <c r="AE81" s="18">
        <v>1</v>
      </c>
      <c r="AF81" s="18"/>
      <c r="AG81" s="18"/>
      <c r="AH81" s="12"/>
      <c r="AI81" s="18">
        <f t="shared" si="110"/>
        <v>0</v>
      </c>
      <c r="AJ81" s="18">
        <f t="shared" si="111"/>
        <v>0</v>
      </c>
      <c r="AK81" s="18">
        <f t="shared" si="112"/>
        <v>0</v>
      </c>
      <c r="AL81" s="18">
        <f t="shared" si="113"/>
        <v>0</v>
      </c>
      <c r="AM81" s="18">
        <f t="shared" si="114"/>
        <v>0</v>
      </c>
      <c r="AN81" s="18">
        <f t="shared" si="115"/>
        <v>0</v>
      </c>
      <c r="AO81" s="18">
        <f t="shared" si="116"/>
        <v>0</v>
      </c>
      <c r="AP81" s="18">
        <f t="shared" si="117"/>
        <v>0</v>
      </c>
      <c r="AQ81" s="9"/>
      <c r="AR81" s="18">
        <f t="shared" si="118"/>
        <v>0</v>
      </c>
      <c r="AS81" s="18">
        <f t="shared" si="119"/>
        <v>0</v>
      </c>
      <c r="AT81" s="18">
        <f t="shared" si="120"/>
        <v>0</v>
      </c>
      <c r="AU81" s="18">
        <f t="shared" si="121"/>
        <v>0</v>
      </c>
      <c r="AV81" s="18">
        <f t="shared" si="122"/>
        <v>0</v>
      </c>
      <c r="AW81" s="18">
        <f t="shared" si="123"/>
        <v>1</v>
      </c>
      <c r="AX81" s="18">
        <f t="shared" si="124"/>
        <v>0</v>
      </c>
      <c r="AY81" s="18">
        <f t="shared" si="125"/>
        <v>0</v>
      </c>
      <c r="BA81" s="27">
        <f t="shared" si="136"/>
        <v>0</v>
      </c>
      <c r="BB81" s="27">
        <f t="shared" si="126"/>
        <v>0</v>
      </c>
      <c r="BC81" s="27">
        <f t="shared" si="127"/>
        <v>0</v>
      </c>
      <c r="BD81" s="27">
        <f t="shared" si="128"/>
        <v>0</v>
      </c>
      <c r="BE81" s="27">
        <f t="shared" si="129"/>
        <v>0</v>
      </c>
      <c r="BF81" s="27">
        <f t="shared" si="130"/>
        <v>-1</v>
      </c>
      <c r="BG81" s="27">
        <f t="shared" si="131"/>
        <v>0</v>
      </c>
      <c r="BH81" s="27">
        <f t="shared" si="132"/>
        <v>0</v>
      </c>
      <c r="BI81" s="27">
        <f t="shared" si="137"/>
        <v>1</v>
      </c>
      <c r="BJ81" s="27">
        <f t="shared" si="138"/>
        <v>0.12820512820512819</v>
      </c>
    </row>
    <row r="82" spans="1:62" ht="22.5">
      <c r="A82" s="8" t="s">
        <v>4</v>
      </c>
      <c r="B82" s="7"/>
      <c r="C82" s="25"/>
      <c r="D82" s="25"/>
      <c r="E82" s="25"/>
      <c r="F82" s="25"/>
      <c r="G82" s="25"/>
      <c r="H82" s="25"/>
      <c r="I82" s="25">
        <v>0</v>
      </c>
      <c r="J82" s="25">
        <v>1</v>
      </c>
      <c r="K82" s="29"/>
      <c r="L82" s="25"/>
      <c r="M82" s="25"/>
      <c r="N82" s="25"/>
      <c r="O82" s="25"/>
      <c r="P82" s="25"/>
      <c r="Q82" s="25"/>
      <c r="R82" s="25">
        <v>0</v>
      </c>
      <c r="S82" s="25">
        <v>1</v>
      </c>
      <c r="U82" s="9">
        <f t="shared" si="109"/>
        <v>1</v>
      </c>
      <c r="V82" s="1">
        <f t="shared" ref="V82:V85" si="139">(1-W82)*Y82</f>
        <v>2.564102564102564E-2</v>
      </c>
      <c r="W82" s="11">
        <f t="shared" si="134"/>
        <v>0</v>
      </c>
      <c r="X82" s="12">
        <v>1</v>
      </c>
      <c r="Y82" s="10">
        <f t="shared" si="135"/>
        <v>2.564102564102564E-2</v>
      </c>
      <c r="Z82" s="18"/>
      <c r="AA82" s="18"/>
      <c r="AB82" s="18"/>
      <c r="AC82" s="18"/>
      <c r="AD82" s="18"/>
      <c r="AE82" s="18"/>
      <c r="AF82" s="18">
        <v>0</v>
      </c>
      <c r="AG82" s="18">
        <v>1</v>
      </c>
      <c r="AH82" s="12"/>
      <c r="AI82" s="18">
        <f t="shared" si="110"/>
        <v>0</v>
      </c>
      <c r="AJ82" s="18">
        <f t="shared" si="111"/>
        <v>0</v>
      </c>
      <c r="AK82" s="18">
        <f t="shared" si="112"/>
        <v>0</v>
      </c>
      <c r="AL82" s="18">
        <f t="shared" si="113"/>
        <v>0</v>
      </c>
      <c r="AM82" s="18">
        <f t="shared" si="114"/>
        <v>0</v>
      </c>
      <c r="AN82" s="18">
        <f t="shared" si="115"/>
        <v>0</v>
      </c>
      <c r="AO82" s="18">
        <f t="shared" si="116"/>
        <v>0</v>
      </c>
      <c r="AP82" s="18">
        <f t="shared" si="117"/>
        <v>1</v>
      </c>
      <c r="AQ82" s="9"/>
      <c r="AR82" s="18">
        <f t="shared" si="118"/>
        <v>0</v>
      </c>
      <c r="AS82" s="18">
        <f t="shared" si="119"/>
        <v>0</v>
      </c>
      <c r="AT82" s="18">
        <f t="shared" si="120"/>
        <v>0</v>
      </c>
      <c r="AU82" s="18">
        <f t="shared" si="121"/>
        <v>0</v>
      </c>
      <c r="AV82" s="18">
        <f t="shared" si="122"/>
        <v>0</v>
      </c>
      <c r="AW82" s="18">
        <f t="shared" si="123"/>
        <v>0</v>
      </c>
      <c r="AX82" s="18">
        <f t="shared" si="124"/>
        <v>0</v>
      </c>
      <c r="AY82" s="18">
        <f t="shared" si="125"/>
        <v>1</v>
      </c>
      <c r="BA82" s="27">
        <f t="shared" si="136"/>
        <v>0</v>
      </c>
      <c r="BB82" s="27">
        <f t="shared" si="126"/>
        <v>0</v>
      </c>
      <c r="BC82" s="27">
        <f t="shared" si="127"/>
        <v>0</v>
      </c>
      <c r="BD82" s="27">
        <f t="shared" si="128"/>
        <v>0</v>
      </c>
      <c r="BE82" s="27">
        <f t="shared" si="129"/>
        <v>0</v>
      </c>
      <c r="BF82" s="27">
        <f t="shared" si="130"/>
        <v>0</v>
      </c>
      <c r="BG82" s="27">
        <f t="shared" si="131"/>
        <v>0</v>
      </c>
      <c r="BH82" s="27">
        <f t="shared" si="132"/>
        <v>0</v>
      </c>
      <c r="BI82" s="27">
        <f t="shared" si="137"/>
        <v>0</v>
      </c>
      <c r="BJ82" s="27">
        <f t="shared" si="138"/>
        <v>0</v>
      </c>
    </row>
    <row r="83" spans="1:62" ht="22.5">
      <c r="A83" s="8" t="s">
        <v>22</v>
      </c>
      <c r="B83" s="7"/>
      <c r="C83" s="25"/>
      <c r="D83" s="25"/>
      <c r="E83" s="25"/>
      <c r="F83" s="25"/>
      <c r="G83" s="25"/>
      <c r="H83" s="25"/>
      <c r="I83" s="25">
        <v>0</v>
      </c>
      <c r="J83" s="25">
        <v>1</v>
      </c>
      <c r="K83" s="29"/>
      <c r="L83" s="25"/>
      <c r="M83" s="25"/>
      <c r="N83" s="25"/>
      <c r="O83" s="25"/>
      <c r="P83" s="25"/>
      <c r="Q83" s="25"/>
      <c r="R83" s="25">
        <v>0</v>
      </c>
      <c r="S83" s="25">
        <v>1</v>
      </c>
      <c r="U83" s="9">
        <f t="shared" si="109"/>
        <v>1</v>
      </c>
      <c r="V83" s="1">
        <f t="shared" si="139"/>
        <v>2.564102564102564E-2</v>
      </c>
      <c r="W83" s="11">
        <f t="shared" si="134"/>
        <v>0</v>
      </c>
      <c r="X83" s="12">
        <v>1</v>
      </c>
      <c r="Y83" s="10">
        <f t="shared" si="135"/>
        <v>2.564102564102564E-2</v>
      </c>
      <c r="Z83" s="18"/>
      <c r="AA83" s="18"/>
      <c r="AB83" s="18"/>
      <c r="AC83" s="18"/>
      <c r="AD83" s="18"/>
      <c r="AE83" s="18"/>
      <c r="AF83" s="18">
        <v>0</v>
      </c>
      <c r="AG83" s="18">
        <v>1</v>
      </c>
      <c r="AH83" s="12"/>
      <c r="AI83" s="18">
        <f t="shared" si="110"/>
        <v>0</v>
      </c>
      <c r="AJ83" s="18">
        <f t="shared" si="111"/>
        <v>0</v>
      </c>
      <c r="AK83" s="18">
        <f t="shared" si="112"/>
        <v>0</v>
      </c>
      <c r="AL83" s="18">
        <f t="shared" si="113"/>
        <v>0</v>
      </c>
      <c r="AM83" s="18">
        <f t="shared" si="114"/>
        <v>0</v>
      </c>
      <c r="AN83" s="18">
        <f t="shared" si="115"/>
        <v>0</v>
      </c>
      <c r="AO83" s="18">
        <f t="shared" si="116"/>
        <v>0</v>
      </c>
      <c r="AP83" s="18">
        <f t="shared" si="117"/>
        <v>1</v>
      </c>
      <c r="AQ83" s="9"/>
      <c r="AR83" s="18">
        <f t="shared" si="118"/>
        <v>0</v>
      </c>
      <c r="AS83" s="18">
        <f t="shared" si="119"/>
        <v>0</v>
      </c>
      <c r="AT83" s="18">
        <f t="shared" si="120"/>
        <v>0</v>
      </c>
      <c r="AU83" s="18">
        <f t="shared" si="121"/>
        <v>0</v>
      </c>
      <c r="AV83" s="18">
        <f t="shared" si="122"/>
        <v>0</v>
      </c>
      <c r="AW83" s="18">
        <f t="shared" si="123"/>
        <v>0</v>
      </c>
      <c r="AX83" s="18">
        <f t="shared" si="124"/>
        <v>0</v>
      </c>
      <c r="AY83" s="18">
        <f t="shared" si="125"/>
        <v>1</v>
      </c>
      <c r="BA83" s="27">
        <f t="shared" si="136"/>
        <v>0</v>
      </c>
      <c r="BB83" s="27">
        <f t="shared" si="126"/>
        <v>0</v>
      </c>
      <c r="BC83" s="27">
        <f t="shared" si="127"/>
        <v>0</v>
      </c>
      <c r="BD83" s="27">
        <f t="shared" si="128"/>
        <v>0</v>
      </c>
      <c r="BE83" s="27">
        <f t="shared" si="129"/>
        <v>0</v>
      </c>
      <c r="BF83" s="27">
        <f t="shared" si="130"/>
        <v>0</v>
      </c>
      <c r="BG83" s="27">
        <f t="shared" si="131"/>
        <v>0</v>
      </c>
      <c r="BH83" s="27">
        <f t="shared" si="132"/>
        <v>0</v>
      </c>
      <c r="BI83" s="27">
        <f t="shared" si="137"/>
        <v>0</v>
      </c>
      <c r="BJ83" s="27">
        <f t="shared" si="138"/>
        <v>0</v>
      </c>
    </row>
    <row r="84" spans="1:62" ht="22.5">
      <c r="A84" s="8" t="s">
        <v>23</v>
      </c>
      <c r="B84" s="7"/>
      <c r="C84" s="25"/>
      <c r="D84" s="25"/>
      <c r="E84" s="25"/>
      <c r="F84" s="25"/>
      <c r="G84" s="25"/>
      <c r="H84" s="25"/>
      <c r="I84" s="25">
        <v>0</v>
      </c>
      <c r="J84" s="25">
        <v>1</v>
      </c>
      <c r="K84" s="29"/>
      <c r="L84" s="25"/>
      <c r="M84" s="25"/>
      <c r="N84" s="25"/>
      <c r="O84" s="25"/>
      <c r="P84" s="25"/>
      <c r="Q84" s="25"/>
      <c r="R84" s="25">
        <v>0</v>
      </c>
      <c r="S84" s="25">
        <v>1</v>
      </c>
      <c r="U84" s="9">
        <f>IF(MATCH(1,C84:J84,0)=MATCH(1,L84:S84,0),1,0)</f>
        <v>1</v>
      </c>
      <c r="V84" s="1">
        <f t="shared" si="139"/>
        <v>2.564102564102564E-2</v>
      </c>
      <c r="W84" s="11">
        <f>BI84</f>
        <v>0</v>
      </c>
      <c r="X84" s="12">
        <v>1</v>
      </c>
      <c r="Y84" s="10">
        <f t="shared" si="135"/>
        <v>2.564102564102564E-2</v>
      </c>
      <c r="Z84" s="18"/>
      <c r="AA84" s="18"/>
      <c r="AB84" s="18"/>
      <c r="AC84" s="18"/>
      <c r="AD84" s="18"/>
      <c r="AE84" s="18"/>
      <c r="AF84" s="18">
        <v>0</v>
      </c>
      <c r="AG84" s="18">
        <v>1</v>
      </c>
      <c r="AI84" s="18">
        <f t="shared" si="110"/>
        <v>0</v>
      </c>
      <c r="AJ84" s="18">
        <f t="shared" si="111"/>
        <v>0</v>
      </c>
      <c r="AK84" s="18">
        <f t="shared" si="112"/>
        <v>0</v>
      </c>
      <c r="AL84" s="18">
        <f t="shared" si="113"/>
        <v>0</v>
      </c>
      <c r="AM84" s="18">
        <f t="shared" si="114"/>
        <v>0</v>
      </c>
      <c r="AN84" s="18">
        <f t="shared" si="115"/>
        <v>0</v>
      </c>
      <c r="AO84" s="18">
        <f t="shared" si="116"/>
        <v>0</v>
      </c>
      <c r="AP84" s="18">
        <f t="shared" si="117"/>
        <v>1</v>
      </c>
      <c r="AQ84" s="9" t="s">
        <v>24</v>
      </c>
      <c r="AR84" s="18">
        <f t="shared" si="118"/>
        <v>0</v>
      </c>
      <c r="AS84" s="18">
        <f t="shared" si="119"/>
        <v>0</v>
      </c>
      <c r="AT84" s="18">
        <f t="shared" si="120"/>
        <v>0</v>
      </c>
      <c r="AU84" s="18">
        <f t="shared" si="121"/>
        <v>0</v>
      </c>
      <c r="AV84" s="18"/>
      <c r="AW84" s="18">
        <f t="shared" si="123"/>
        <v>0</v>
      </c>
      <c r="AX84" s="18">
        <f t="shared" si="124"/>
        <v>0</v>
      </c>
      <c r="AY84" s="18">
        <f t="shared" si="125"/>
        <v>1</v>
      </c>
      <c r="BA84" s="27">
        <f t="shared" si="136"/>
        <v>0</v>
      </c>
      <c r="BB84" s="27">
        <f t="shared" si="126"/>
        <v>0</v>
      </c>
      <c r="BC84" s="27">
        <f t="shared" si="127"/>
        <v>0</v>
      </c>
      <c r="BD84" s="27">
        <f t="shared" si="128"/>
        <v>0</v>
      </c>
      <c r="BE84" s="27">
        <f t="shared" si="129"/>
        <v>0</v>
      </c>
      <c r="BF84" s="27">
        <f t="shared" si="130"/>
        <v>0</v>
      </c>
      <c r="BG84" s="27">
        <f t="shared" si="131"/>
        <v>0</v>
      </c>
      <c r="BH84" s="27">
        <f t="shared" si="132"/>
        <v>0</v>
      </c>
      <c r="BI84" s="27">
        <f t="shared" si="137"/>
        <v>0</v>
      </c>
      <c r="BJ84" s="27">
        <f t="shared" si="138"/>
        <v>0</v>
      </c>
    </row>
    <row r="85" spans="1:62" ht="22.5">
      <c r="A85" s="14" t="s">
        <v>5</v>
      </c>
      <c r="B85" s="7"/>
      <c r="C85" s="25"/>
      <c r="D85" s="25"/>
      <c r="E85" s="25"/>
      <c r="F85" s="25"/>
      <c r="G85" s="25"/>
      <c r="H85" s="25"/>
      <c r="I85" s="25">
        <v>1</v>
      </c>
      <c r="J85" s="25">
        <v>0</v>
      </c>
      <c r="K85" s="29"/>
      <c r="L85" s="25"/>
      <c r="M85" s="25"/>
      <c r="N85" s="25"/>
      <c r="O85" s="25"/>
      <c r="P85" s="25"/>
      <c r="Q85" s="25"/>
      <c r="R85" s="25">
        <v>1</v>
      </c>
      <c r="S85" s="25">
        <v>0</v>
      </c>
      <c r="U85" s="9">
        <f t="shared" ref="U85" si="140">IF(MATCH(1,C85:J85,0)=MATCH(1,L85:S85,0),1,0)</f>
        <v>1</v>
      </c>
      <c r="V85" s="1">
        <f t="shared" si="139"/>
        <v>0.12820512820512819</v>
      </c>
      <c r="W85" s="11">
        <f t="shared" ref="W85" si="141">BI85</f>
        <v>0</v>
      </c>
      <c r="X85" s="12">
        <v>5</v>
      </c>
      <c r="Y85" s="10">
        <f t="shared" si="135"/>
        <v>0.12820512820512819</v>
      </c>
      <c r="Z85" s="18"/>
      <c r="AA85" s="18"/>
      <c r="AB85" s="18"/>
      <c r="AC85" s="18"/>
      <c r="AD85" s="18"/>
      <c r="AE85" s="18"/>
      <c r="AF85" s="18">
        <v>0</v>
      </c>
      <c r="AG85" s="18">
        <v>1</v>
      </c>
      <c r="AH85" s="20"/>
      <c r="AI85" s="18">
        <f t="shared" si="110"/>
        <v>0</v>
      </c>
      <c r="AJ85" s="18">
        <f t="shared" si="111"/>
        <v>0</v>
      </c>
      <c r="AK85" s="18">
        <f t="shared" si="112"/>
        <v>0</v>
      </c>
      <c r="AL85" s="18">
        <f t="shared" si="113"/>
        <v>0</v>
      </c>
      <c r="AM85" s="18">
        <f t="shared" si="114"/>
        <v>0</v>
      </c>
      <c r="AN85" s="18">
        <f t="shared" si="115"/>
        <v>0</v>
      </c>
      <c r="AO85" s="18">
        <f t="shared" si="116"/>
        <v>0</v>
      </c>
      <c r="AP85" s="18">
        <f t="shared" si="117"/>
        <v>0</v>
      </c>
      <c r="AQ85" s="9"/>
      <c r="AR85" s="18">
        <f t="shared" si="118"/>
        <v>0</v>
      </c>
      <c r="AS85" s="18">
        <f t="shared" si="119"/>
        <v>0</v>
      </c>
      <c r="AT85" s="18">
        <f t="shared" si="120"/>
        <v>0</v>
      </c>
      <c r="AU85" s="18">
        <f t="shared" si="121"/>
        <v>0</v>
      </c>
      <c r="AV85" s="18">
        <f>P85*AD85</f>
        <v>0</v>
      </c>
      <c r="AW85" s="18">
        <f t="shared" si="123"/>
        <v>0</v>
      </c>
      <c r="AX85" s="18">
        <f t="shared" si="124"/>
        <v>0</v>
      </c>
      <c r="AY85" s="18">
        <f t="shared" si="125"/>
        <v>0</v>
      </c>
      <c r="BA85" s="27">
        <f>(AI85-AR85)</f>
        <v>0</v>
      </c>
      <c r="BB85" s="27">
        <f t="shared" si="126"/>
        <v>0</v>
      </c>
      <c r="BC85" s="27">
        <f t="shared" si="127"/>
        <v>0</v>
      </c>
      <c r="BD85" s="27">
        <f t="shared" si="128"/>
        <v>0</v>
      </c>
      <c r="BE85" s="27">
        <f t="shared" si="129"/>
        <v>0</v>
      </c>
      <c r="BF85" s="27">
        <f t="shared" si="130"/>
        <v>0</v>
      </c>
      <c r="BG85" s="27">
        <f t="shared" si="131"/>
        <v>0</v>
      </c>
      <c r="BH85" s="27">
        <f t="shared" si="132"/>
        <v>0</v>
      </c>
      <c r="BI85" s="27">
        <f t="shared" si="137"/>
        <v>0</v>
      </c>
      <c r="BJ85" s="27">
        <f t="shared" si="138"/>
        <v>0</v>
      </c>
    </row>
    <row r="86" spans="1:62">
      <c r="B86" t="s">
        <v>32</v>
      </c>
      <c r="C86" s="30"/>
      <c r="D86" s="30"/>
      <c r="E86" s="30"/>
      <c r="F86" s="30"/>
      <c r="G86" s="30"/>
      <c r="H86" s="30"/>
      <c r="I86" s="30"/>
      <c r="J86" s="30"/>
      <c r="K86" t="s">
        <v>48</v>
      </c>
      <c r="AI86" s="11">
        <f t="shared" si="110"/>
        <v>0</v>
      </c>
      <c r="AJ86" s="11">
        <f t="shared" si="111"/>
        <v>0</v>
      </c>
      <c r="AK86" s="11">
        <f t="shared" si="112"/>
        <v>0</v>
      </c>
      <c r="AL86" s="11">
        <f t="shared" si="113"/>
        <v>0</v>
      </c>
      <c r="AM86" s="11">
        <f t="shared" si="114"/>
        <v>0</v>
      </c>
      <c r="AN86" s="11">
        <f t="shared" si="115"/>
        <v>0</v>
      </c>
    </row>
    <row r="87" spans="1:62" ht="22.5">
      <c r="A87" s="6" t="s">
        <v>10</v>
      </c>
      <c r="B87" s="7"/>
      <c r="C87" s="25">
        <v>1</v>
      </c>
      <c r="D87" s="28">
        <v>0</v>
      </c>
      <c r="E87" s="28"/>
      <c r="F87" s="28"/>
      <c r="G87" s="28"/>
      <c r="H87" s="28"/>
      <c r="I87" s="28"/>
      <c r="J87" s="28"/>
      <c r="K87" s="29"/>
      <c r="L87" s="25">
        <v>0</v>
      </c>
      <c r="M87" s="28">
        <v>1</v>
      </c>
      <c r="N87" s="28"/>
      <c r="O87" s="28"/>
      <c r="P87" s="28"/>
      <c r="Q87" s="28"/>
      <c r="R87" s="28"/>
      <c r="S87" s="28"/>
      <c r="U87" s="9">
        <f t="shared" ref="U87:U100" si="142">IF(MATCH(1,C87:J87,0)=MATCH(1,L87:S87,0),1,0)</f>
        <v>0</v>
      </c>
      <c r="V87" s="1">
        <f>(1-W87)*Y87</f>
        <v>0</v>
      </c>
      <c r="W87" s="11">
        <f>BI87</f>
        <v>1</v>
      </c>
      <c r="X87" s="9">
        <v>1</v>
      </c>
      <c r="Y87" s="10">
        <f>X87/SUM($X$2:$X$17)</f>
        <v>2.564102564102564E-2</v>
      </c>
      <c r="Z87" s="18">
        <v>0</v>
      </c>
      <c r="AA87" s="18">
        <v>1</v>
      </c>
      <c r="AB87" s="18"/>
      <c r="AC87" s="18"/>
      <c r="AD87" s="18"/>
      <c r="AE87" s="18"/>
      <c r="AF87" s="18"/>
      <c r="AG87" s="18"/>
      <c r="AH87" s="12"/>
      <c r="AI87" s="18">
        <f t="shared" ref="AI87:AI103" si="143">C87*Z87</f>
        <v>0</v>
      </c>
      <c r="AJ87" s="18">
        <f t="shared" ref="AJ87:AJ103" si="144">D87*AA87</f>
        <v>0</v>
      </c>
      <c r="AK87" s="18">
        <f t="shared" ref="AK87:AK103" si="145">E87*AB87</f>
        <v>0</v>
      </c>
      <c r="AL87" s="18">
        <f t="shared" ref="AL87:AL103" si="146">F87*AC87</f>
        <v>0</v>
      </c>
      <c r="AM87" s="18">
        <f t="shared" ref="AM87:AM103" si="147">G87*AD87</f>
        <v>0</v>
      </c>
      <c r="AN87" s="18">
        <f t="shared" ref="AN87:AN103" si="148">H87*AE87</f>
        <v>0</v>
      </c>
      <c r="AO87" s="18">
        <f t="shared" ref="AO87:AO102" si="149">I87*AF87</f>
        <v>0</v>
      </c>
      <c r="AP87" s="18">
        <f t="shared" ref="AP87:AP102" si="150">J87*AG87</f>
        <v>0</v>
      </c>
      <c r="AQ87" s="9"/>
      <c r="AR87" s="18">
        <f t="shared" ref="AR87:AR102" si="151">L87*Z87</f>
        <v>0</v>
      </c>
      <c r="AS87" s="18">
        <f t="shared" ref="AS87:AS102" si="152">M87*AA87</f>
        <v>1</v>
      </c>
      <c r="AT87" s="18">
        <f t="shared" ref="AT87:AT102" si="153">N87*AB87</f>
        <v>0</v>
      </c>
      <c r="AU87" s="18">
        <f t="shared" ref="AU87:AU102" si="154">O87*AC87</f>
        <v>0</v>
      </c>
      <c r="AV87" s="18">
        <f t="shared" ref="AV87:AV100" si="155">P87*AD87</f>
        <v>0</v>
      </c>
      <c r="AW87" s="18">
        <f t="shared" ref="AW87:AW102" si="156">Q87*AE87</f>
        <v>0</v>
      </c>
      <c r="AX87" s="18">
        <f t="shared" ref="AX87:AX102" si="157">R87*AF87</f>
        <v>0</v>
      </c>
      <c r="AY87" s="18">
        <f t="shared" ref="AY87:AY102" si="158">S87*AG87</f>
        <v>0</v>
      </c>
      <c r="BA87" s="27">
        <f>(AI87-AR87)</f>
        <v>0</v>
      </c>
      <c r="BB87" s="27">
        <f t="shared" ref="BB87:BB102" si="159">(AJ87-AS87)</f>
        <v>-1</v>
      </c>
      <c r="BC87" s="27">
        <f t="shared" ref="BC87:BC102" si="160">(AK87-AT87)</f>
        <v>0</v>
      </c>
      <c r="BD87" s="27">
        <f t="shared" ref="BD87:BD102" si="161">(AL87-AU87)</f>
        <v>0</v>
      </c>
      <c r="BE87" s="27">
        <f t="shared" ref="BE87:BE102" si="162">(AM87-AV87)</f>
        <v>0</v>
      </c>
      <c r="BF87" s="27">
        <f t="shared" ref="BF87:BF102" si="163">(AN87-AW87)</f>
        <v>0</v>
      </c>
      <c r="BG87" s="27">
        <f t="shared" ref="BG87:BG102" si="164">(AO87-AX87)</f>
        <v>0</v>
      </c>
      <c r="BH87" s="27">
        <f t="shared" ref="BH87:BH102" si="165">(AP87-AY87)</f>
        <v>0</v>
      </c>
      <c r="BI87" s="27">
        <f>ABS(SUM(BA87:BH87))</f>
        <v>1</v>
      </c>
      <c r="BJ87" s="27">
        <f>BI87*Y87</f>
        <v>2.564102564102564E-2</v>
      </c>
    </row>
    <row r="88" spans="1:62" ht="22.5">
      <c r="A88" s="6" t="s">
        <v>11</v>
      </c>
      <c r="B88" s="7"/>
      <c r="C88" s="25">
        <v>1</v>
      </c>
      <c r="D88" s="28">
        <v>0</v>
      </c>
      <c r="E88" s="28"/>
      <c r="F88" s="28"/>
      <c r="G88" s="28"/>
      <c r="H88" s="28"/>
      <c r="I88" s="28"/>
      <c r="J88" s="28"/>
      <c r="K88" s="29"/>
      <c r="L88" s="25">
        <v>0</v>
      </c>
      <c r="M88" s="28">
        <v>1</v>
      </c>
      <c r="N88" s="28"/>
      <c r="O88" s="28"/>
      <c r="P88" s="28"/>
      <c r="Q88" s="28"/>
      <c r="R88" s="28"/>
      <c r="S88" s="28"/>
      <c r="U88" s="9">
        <f t="shared" si="142"/>
        <v>0</v>
      </c>
      <c r="V88" s="1">
        <f t="shared" ref="V88:V97" si="166">(1-W88)*Y88</f>
        <v>0</v>
      </c>
      <c r="W88" s="11">
        <f t="shared" ref="W88:W100" si="167">BI88</f>
        <v>1</v>
      </c>
      <c r="X88" s="9">
        <v>1</v>
      </c>
      <c r="Y88" s="10">
        <f t="shared" ref="Y88:Y102" si="168">X88/SUM($X$2:$X$17)</f>
        <v>2.564102564102564E-2</v>
      </c>
      <c r="Z88" s="18">
        <v>0</v>
      </c>
      <c r="AA88" s="18">
        <v>1</v>
      </c>
      <c r="AB88" s="18"/>
      <c r="AC88" s="18"/>
      <c r="AD88" s="18"/>
      <c r="AE88" s="18"/>
      <c r="AF88" s="18"/>
      <c r="AG88" s="18"/>
      <c r="AH88" s="12"/>
      <c r="AI88" s="18">
        <f t="shared" si="143"/>
        <v>0</v>
      </c>
      <c r="AJ88" s="18">
        <f t="shared" si="144"/>
        <v>0</v>
      </c>
      <c r="AK88" s="18">
        <f t="shared" si="145"/>
        <v>0</v>
      </c>
      <c r="AL88" s="18">
        <f t="shared" si="146"/>
        <v>0</v>
      </c>
      <c r="AM88" s="18">
        <f t="shared" si="147"/>
        <v>0</v>
      </c>
      <c r="AN88" s="18">
        <f t="shared" si="148"/>
        <v>0</v>
      </c>
      <c r="AO88" s="18">
        <f t="shared" si="149"/>
        <v>0</v>
      </c>
      <c r="AP88" s="18">
        <f t="shared" si="150"/>
        <v>0</v>
      </c>
      <c r="AQ88" s="9"/>
      <c r="AR88" s="18">
        <f t="shared" si="151"/>
        <v>0</v>
      </c>
      <c r="AS88" s="18">
        <f t="shared" si="152"/>
        <v>1</v>
      </c>
      <c r="AT88" s="18">
        <f t="shared" si="153"/>
        <v>0</v>
      </c>
      <c r="AU88" s="18">
        <f t="shared" si="154"/>
        <v>0</v>
      </c>
      <c r="AV88" s="18">
        <f t="shared" si="155"/>
        <v>0</v>
      </c>
      <c r="AW88" s="18">
        <f t="shared" si="156"/>
        <v>0</v>
      </c>
      <c r="AX88" s="18">
        <f t="shared" si="157"/>
        <v>0</v>
      </c>
      <c r="AY88" s="18">
        <f t="shared" si="158"/>
        <v>0</v>
      </c>
      <c r="BA88" s="27">
        <f t="shared" ref="BA88:BA101" si="169">(AI88-AR88)</f>
        <v>0</v>
      </c>
      <c r="BB88" s="27">
        <f t="shared" si="159"/>
        <v>-1</v>
      </c>
      <c r="BC88" s="27">
        <f t="shared" si="160"/>
        <v>0</v>
      </c>
      <c r="BD88" s="27">
        <f t="shared" si="161"/>
        <v>0</v>
      </c>
      <c r="BE88" s="27">
        <f t="shared" si="162"/>
        <v>0</v>
      </c>
      <c r="BF88" s="27">
        <f t="shared" si="163"/>
        <v>0</v>
      </c>
      <c r="BG88" s="27">
        <f t="shared" si="164"/>
        <v>0</v>
      </c>
      <c r="BH88" s="27">
        <f t="shared" si="165"/>
        <v>0</v>
      </c>
      <c r="BI88" s="27">
        <f t="shared" ref="BI88:BI102" si="170">ABS(SUM(BA88:BH88))</f>
        <v>1</v>
      </c>
      <c r="BJ88" s="27">
        <f t="shared" ref="BJ88:BJ102" si="171">BI88*Y88</f>
        <v>2.564102564102564E-2</v>
      </c>
    </row>
    <row r="89" spans="1:62" s="22" customFormat="1" ht="22.5">
      <c r="A89" s="8" t="s">
        <v>12</v>
      </c>
      <c r="B89" s="21"/>
      <c r="C89" s="25">
        <v>0</v>
      </c>
      <c r="D89" s="25">
        <v>1</v>
      </c>
      <c r="E89" s="25">
        <v>0</v>
      </c>
      <c r="F89" s="28">
        <v>0</v>
      </c>
      <c r="G89" s="28"/>
      <c r="H89" s="28"/>
      <c r="I89" s="28"/>
      <c r="J89" s="28"/>
      <c r="K89" s="29"/>
      <c r="L89" s="25">
        <v>0</v>
      </c>
      <c r="M89" s="25">
        <v>1</v>
      </c>
      <c r="N89" s="25">
        <v>0</v>
      </c>
      <c r="O89" s="28">
        <v>0</v>
      </c>
      <c r="P89" s="28"/>
      <c r="Q89" s="28"/>
      <c r="R89" s="28"/>
      <c r="S89" s="28"/>
      <c r="T89"/>
      <c r="U89" s="23">
        <f t="shared" si="142"/>
        <v>1</v>
      </c>
      <c r="V89" s="1">
        <f t="shared" si="166"/>
        <v>7.6923076923076927E-2</v>
      </c>
      <c r="W89" s="11">
        <f t="shared" si="167"/>
        <v>0</v>
      </c>
      <c r="X89" s="23">
        <v>3</v>
      </c>
      <c r="Y89" s="24">
        <f t="shared" si="168"/>
        <v>7.6923076923076927E-2</v>
      </c>
      <c r="Z89" s="18">
        <v>0</v>
      </c>
      <c r="AA89" s="18">
        <v>0.3</v>
      </c>
      <c r="AB89" s="18">
        <v>0.8</v>
      </c>
      <c r="AC89" s="18">
        <v>1</v>
      </c>
      <c r="AD89" s="18"/>
      <c r="AE89" s="18"/>
      <c r="AF89" s="18"/>
      <c r="AG89" s="18"/>
      <c r="AH89" s="12"/>
      <c r="AI89" s="18">
        <f t="shared" si="143"/>
        <v>0</v>
      </c>
      <c r="AJ89" s="18">
        <f t="shared" si="144"/>
        <v>0.3</v>
      </c>
      <c r="AK89" s="18">
        <f t="shared" si="145"/>
        <v>0</v>
      </c>
      <c r="AL89" s="18">
        <f t="shared" si="146"/>
        <v>0</v>
      </c>
      <c r="AM89" s="18">
        <f t="shared" si="147"/>
        <v>0</v>
      </c>
      <c r="AN89" s="18">
        <f t="shared" si="148"/>
        <v>0</v>
      </c>
      <c r="AO89" s="18">
        <f t="shared" si="149"/>
        <v>0</v>
      </c>
      <c r="AP89" s="18">
        <f t="shared" si="150"/>
        <v>0</v>
      </c>
      <c r="AQ89" s="23"/>
      <c r="AR89" s="18">
        <f t="shared" si="151"/>
        <v>0</v>
      </c>
      <c r="AS89" s="18">
        <f t="shared" si="152"/>
        <v>0.3</v>
      </c>
      <c r="AT89" s="18">
        <f t="shared" si="153"/>
        <v>0</v>
      </c>
      <c r="AU89" s="18">
        <f t="shared" si="154"/>
        <v>0</v>
      </c>
      <c r="AV89" s="18">
        <f t="shared" si="155"/>
        <v>0</v>
      </c>
      <c r="AW89" s="18">
        <f t="shared" si="156"/>
        <v>0</v>
      </c>
      <c r="AX89" s="18">
        <f t="shared" si="157"/>
        <v>0</v>
      </c>
      <c r="AY89" s="18">
        <f t="shared" si="158"/>
        <v>0</v>
      </c>
      <c r="BA89" s="27">
        <f t="shared" si="169"/>
        <v>0</v>
      </c>
      <c r="BB89" s="27">
        <f t="shared" si="159"/>
        <v>0</v>
      </c>
      <c r="BC89" s="27">
        <f t="shared" si="160"/>
        <v>0</v>
      </c>
      <c r="BD89" s="27">
        <f t="shared" si="161"/>
        <v>0</v>
      </c>
      <c r="BE89" s="27">
        <f t="shared" si="162"/>
        <v>0</v>
      </c>
      <c r="BF89" s="27">
        <f t="shared" si="163"/>
        <v>0</v>
      </c>
      <c r="BG89" s="27">
        <f t="shared" si="164"/>
        <v>0</v>
      </c>
      <c r="BH89" s="27">
        <f t="shared" si="165"/>
        <v>0</v>
      </c>
      <c r="BI89" s="27">
        <f t="shared" si="170"/>
        <v>0</v>
      </c>
      <c r="BJ89" s="27">
        <f t="shared" si="171"/>
        <v>0</v>
      </c>
    </row>
    <row r="90" spans="1:62" s="22" customFormat="1" ht="22.5">
      <c r="A90" s="8" t="s">
        <v>13</v>
      </c>
      <c r="B90" s="21"/>
      <c r="C90" s="25">
        <v>0</v>
      </c>
      <c r="D90" s="25">
        <v>1</v>
      </c>
      <c r="E90" s="25">
        <v>0</v>
      </c>
      <c r="F90" s="28">
        <v>0</v>
      </c>
      <c r="G90" s="28"/>
      <c r="H90" s="28"/>
      <c r="I90" s="28"/>
      <c r="J90" s="28"/>
      <c r="K90" s="29"/>
      <c r="L90" s="25">
        <v>0</v>
      </c>
      <c r="M90" s="25">
        <v>0</v>
      </c>
      <c r="N90" s="25">
        <v>0</v>
      </c>
      <c r="O90" s="28">
        <v>1</v>
      </c>
      <c r="P90" s="28"/>
      <c r="Q90" s="28"/>
      <c r="R90" s="28"/>
      <c r="S90" s="28"/>
      <c r="T90"/>
      <c r="U90" s="23">
        <f t="shared" si="142"/>
        <v>0</v>
      </c>
      <c r="V90" s="1">
        <f t="shared" si="166"/>
        <v>2.3076923076923082E-2</v>
      </c>
      <c r="W90" s="11">
        <f t="shared" si="167"/>
        <v>0.7</v>
      </c>
      <c r="X90" s="23">
        <v>3</v>
      </c>
      <c r="Y90" s="24">
        <f t="shared" si="168"/>
        <v>7.6923076923076927E-2</v>
      </c>
      <c r="Z90" s="18">
        <v>0</v>
      </c>
      <c r="AA90" s="18">
        <v>0.3</v>
      </c>
      <c r="AB90" s="18">
        <v>0.8</v>
      </c>
      <c r="AC90" s="18">
        <v>1</v>
      </c>
      <c r="AD90" s="18"/>
      <c r="AE90" s="18"/>
      <c r="AF90" s="18"/>
      <c r="AG90" s="18"/>
      <c r="AH90" s="12"/>
      <c r="AI90" s="18">
        <f t="shared" si="143"/>
        <v>0</v>
      </c>
      <c r="AJ90" s="18">
        <f t="shared" si="144"/>
        <v>0.3</v>
      </c>
      <c r="AK90" s="18">
        <f t="shared" si="145"/>
        <v>0</v>
      </c>
      <c r="AL90" s="18">
        <f t="shared" si="146"/>
        <v>0</v>
      </c>
      <c r="AM90" s="18">
        <f t="shared" si="147"/>
        <v>0</v>
      </c>
      <c r="AN90" s="18">
        <f t="shared" si="148"/>
        <v>0</v>
      </c>
      <c r="AO90" s="18">
        <f t="shared" si="149"/>
        <v>0</v>
      </c>
      <c r="AP90" s="18">
        <f t="shared" si="150"/>
        <v>0</v>
      </c>
      <c r="AQ90" s="23"/>
      <c r="AR90" s="18">
        <f t="shared" si="151"/>
        <v>0</v>
      </c>
      <c r="AS90" s="18">
        <f t="shared" si="152"/>
        <v>0</v>
      </c>
      <c r="AT90" s="18">
        <f t="shared" si="153"/>
        <v>0</v>
      </c>
      <c r="AU90" s="18">
        <f t="shared" si="154"/>
        <v>1</v>
      </c>
      <c r="AV90" s="18">
        <f t="shared" si="155"/>
        <v>0</v>
      </c>
      <c r="AW90" s="18">
        <f t="shared" si="156"/>
        <v>0</v>
      </c>
      <c r="AX90" s="18">
        <f t="shared" si="157"/>
        <v>0</v>
      </c>
      <c r="AY90" s="18">
        <f t="shared" si="158"/>
        <v>0</v>
      </c>
      <c r="BA90" s="27">
        <f t="shared" si="169"/>
        <v>0</v>
      </c>
      <c r="BB90" s="27">
        <f t="shared" si="159"/>
        <v>0.3</v>
      </c>
      <c r="BC90" s="27">
        <f t="shared" si="160"/>
        <v>0</v>
      </c>
      <c r="BD90" s="27">
        <f t="shared" si="161"/>
        <v>-1</v>
      </c>
      <c r="BE90" s="27">
        <f t="shared" si="162"/>
        <v>0</v>
      </c>
      <c r="BF90" s="27">
        <f t="shared" si="163"/>
        <v>0</v>
      </c>
      <c r="BG90" s="27">
        <f t="shared" si="164"/>
        <v>0</v>
      </c>
      <c r="BH90" s="27">
        <f t="shared" si="165"/>
        <v>0</v>
      </c>
      <c r="BI90" s="27">
        <f t="shared" si="170"/>
        <v>0.7</v>
      </c>
      <c r="BJ90" s="27">
        <f t="shared" si="171"/>
        <v>5.3846153846153849E-2</v>
      </c>
    </row>
    <row r="91" spans="1:62" s="22" customFormat="1" ht="22.5">
      <c r="A91" s="8" t="s">
        <v>14</v>
      </c>
      <c r="B91" s="21"/>
      <c r="C91" s="25">
        <v>0</v>
      </c>
      <c r="D91" s="25">
        <v>1</v>
      </c>
      <c r="E91" s="25">
        <v>0</v>
      </c>
      <c r="F91" s="28">
        <v>0</v>
      </c>
      <c r="G91" s="28"/>
      <c r="H91" s="28"/>
      <c r="I91" s="28"/>
      <c r="J91" s="28"/>
      <c r="K91" s="29"/>
      <c r="L91" s="25">
        <v>0</v>
      </c>
      <c r="M91" s="25">
        <v>0</v>
      </c>
      <c r="N91" s="25">
        <v>1</v>
      </c>
      <c r="O91" s="28">
        <v>0</v>
      </c>
      <c r="P91" s="28"/>
      <c r="Q91" s="28"/>
      <c r="R91" s="28"/>
      <c r="S91" s="28"/>
      <c r="T91"/>
      <c r="U91" s="23">
        <f t="shared" si="142"/>
        <v>0</v>
      </c>
      <c r="V91" s="1">
        <f t="shared" si="166"/>
        <v>3.8461538461538464E-2</v>
      </c>
      <c r="W91" s="11">
        <f t="shared" si="167"/>
        <v>0.5</v>
      </c>
      <c r="X91" s="23">
        <v>3</v>
      </c>
      <c r="Y91" s="24">
        <f t="shared" si="168"/>
        <v>7.6923076923076927E-2</v>
      </c>
      <c r="Z91" s="18">
        <v>0</v>
      </c>
      <c r="AA91" s="18">
        <v>0.3</v>
      </c>
      <c r="AB91" s="18">
        <v>0.8</v>
      </c>
      <c r="AC91" s="18">
        <v>1</v>
      </c>
      <c r="AD91" s="18"/>
      <c r="AE91" s="18"/>
      <c r="AF91" s="18"/>
      <c r="AG91" s="18"/>
      <c r="AH91" s="12"/>
      <c r="AI91" s="18">
        <f t="shared" si="143"/>
        <v>0</v>
      </c>
      <c r="AJ91" s="18">
        <f t="shared" si="144"/>
        <v>0.3</v>
      </c>
      <c r="AK91" s="18">
        <f t="shared" si="145"/>
        <v>0</v>
      </c>
      <c r="AL91" s="18">
        <f t="shared" si="146"/>
        <v>0</v>
      </c>
      <c r="AM91" s="18">
        <f t="shared" si="147"/>
        <v>0</v>
      </c>
      <c r="AN91" s="18">
        <f t="shared" si="148"/>
        <v>0</v>
      </c>
      <c r="AO91" s="18">
        <f t="shared" si="149"/>
        <v>0</v>
      </c>
      <c r="AP91" s="18">
        <f t="shared" si="150"/>
        <v>0</v>
      </c>
      <c r="AQ91" s="23"/>
      <c r="AR91" s="18">
        <f t="shared" si="151"/>
        <v>0</v>
      </c>
      <c r="AS91" s="18">
        <f t="shared" si="152"/>
        <v>0</v>
      </c>
      <c r="AT91" s="18">
        <f t="shared" si="153"/>
        <v>0.8</v>
      </c>
      <c r="AU91" s="18">
        <f t="shared" si="154"/>
        <v>0</v>
      </c>
      <c r="AV91" s="18">
        <f t="shared" si="155"/>
        <v>0</v>
      </c>
      <c r="AW91" s="18">
        <f t="shared" si="156"/>
        <v>0</v>
      </c>
      <c r="AX91" s="18">
        <f t="shared" si="157"/>
        <v>0</v>
      </c>
      <c r="AY91" s="18">
        <f t="shared" si="158"/>
        <v>0</v>
      </c>
      <c r="BA91" s="27">
        <f t="shared" si="169"/>
        <v>0</v>
      </c>
      <c r="BB91" s="27">
        <f t="shared" si="159"/>
        <v>0.3</v>
      </c>
      <c r="BC91" s="27">
        <f t="shared" si="160"/>
        <v>-0.8</v>
      </c>
      <c r="BD91" s="27">
        <f t="shared" si="161"/>
        <v>0</v>
      </c>
      <c r="BE91" s="27">
        <f t="shared" si="162"/>
        <v>0</v>
      </c>
      <c r="BF91" s="27">
        <f t="shared" si="163"/>
        <v>0</v>
      </c>
      <c r="BG91" s="27">
        <f t="shared" si="164"/>
        <v>0</v>
      </c>
      <c r="BH91" s="27">
        <f t="shared" si="165"/>
        <v>0</v>
      </c>
      <c r="BI91" s="27">
        <f t="shared" si="170"/>
        <v>0.5</v>
      </c>
      <c r="BJ91" s="27">
        <f t="shared" si="171"/>
        <v>3.8461538461538464E-2</v>
      </c>
    </row>
    <row r="92" spans="1:62" s="22" customFormat="1" ht="22.5">
      <c r="A92" s="8" t="s">
        <v>15</v>
      </c>
      <c r="B92" s="21"/>
      <c r="C92" s="25">
        <v>0</v>
      </c>
      <c r="D92" s="25">
        <v>1</v>
      </c>
      <c r="E92" s="25">
        <v>0</v>
      </c>
      <c r="F92" s="28">
        <v>0</v>
      </c>
      <c r="G92" s="28"/>
      <c r="H92" s="28"/>
      <c r="I92" s="28"/>
      <c r="J92" s="28"/>
      <c r="K92" s="29"/>
      <c r="L92" s="25">
        <v>0</v>
      </c>
      <c r="M92" s="25">
        <v>1</v>
      </c>
      <c r="N92" s="25">
        <v>0</v>
      </c>
      <c r="O92" s="28">
        <v>0</v>
      </c>
      <c r="P92" s="28"/>
      <c r="Q92" s="28"/>
      <c r="R92" s="28"/>
      <c r="S92" s="28"/>
      <c r="T92"/>
      <c r="U92" s="23">
        <f t="shared" si="142"/>
        <v>1</v>
      </c>
      <c r="V92" s="1">
        <f t="shared" si="166"/>
        <v>7.6923076923076927E-2</v>
      </c>
      <c r="W92" s="11">
        <f t="shared" si="167"/>
        <v>0</v>
      </c>
      <c r="X92" s="23">
        <v>3</v>
      </c>
      <c r="Y92" s="24">
        <f t="shared" si="168"/>
        <v>7.6923076923076927E-2</v>
      </c>
      <c r="Z92" s="18">
        <v>0</v>
      </c>
      <c r="AA92" s="18">
        <v>0.3</v>
      </c>
      <c r="AB92" s="18">
        <v>0.8</v>
      </c>
      <c r="AC92" s="18">
        <v>1</v>
      </c>
      <c r="AD92" s="18"/>
      <c r="AE92" s="18"/>
      <c r="AF92" s="18"/>
      <c r="AG92" s="18"/>
      <c r="AH92" s="12"/>
      <c r="AI92" s="18">
        <f t="shared" si="143"/>
        <v>0</v>
      </c>
      <c r="AJ92" s="18">
        <f t="shared" si="144"/>
        <v>0.3</v>
      </c>
      <c r="AK92" s="18">
        <f t="shared" si="145"/>
        <v>0</v>
      </c>
      <c r="AL92" s="18">
        <f t="shared" si="146"/>
        <v>0</v>
      </c>
      <c r="AM92" s="18">
        <f t="shared" si="147"/>
        <v>0</v>
      </c>
      <c r="AN92" s="18">
        <f t="shared" si="148"/>
        <v>0</v>
      </c>
      <c r="AO92" s="18">
        <f t="shared" si="149"/>
        <v>0</v>
      </c>
      <c r="AP92" s="18">
        <f t="shared" si="150"/>
        <v>0</v>
      </c>
      <c r="AQ92" s="23"/>
      <c r="AR92" s="18">
        <f t="shared" si="151"/>
        <v>0</v>
      </c>
      <c r="AS92" s="18">
        <f t="shared" si="152"/>
        <v>0.3</v>
      </c>
      <c r="AT92" s="18">
        <f t="shared" si="153"/>
        <v>0</v>
      </c>
      <c r="AU92" s="18">
        <f t="shared" si="154"/>
        <v>0</v>
      </c>
      <c r="AV92" s="18">
        <f t="shared" si="155"/>
        <v>0</v>
      </c>
      <c r="AW92" s="18">
        <f t="shared" si="156"/>
        <v>0</v>
      </c>
      <c r="AX92" s="18">
        <f t="shared" si="157"/>
        <v>0</v>
      </c>
      <c r="AY92" s="18">
        <f t="shared" si="158"/>
        <v>0</v>
      </c>
      <c r="BA92" s="27">
        <f t="shared" si="169"/>
        <v>0</v>
      </c>
      <c r="BB92" s="27">
        <f t="shared" si="159"/>
        <v>0</v>
      </c>
      <c r="BC92" s="27">
        <f t="shared" si="160"/>
        <v>0</v>
      </c>
      <c r="BD92" s="27">
        <f t="shared" si="161"/>
        <v>0</v>
      </c>
      <c r="BE92" s="27">
        <f t="shared" si="162"/>
        <v>0</v>
      </c>
      <c r="BF92" s="27">
        <f t="shared" si="163"/>
        <v>0</v>
      </c>
      <c r="BG92" s="27">
        <f t="shared" si="164"/>
        <v>0</v>
      </c>
      <c r="BH92" s="27">
        <f t="shared" si="165"/>
        <v>0</v>
      </c>
      <c r="BI92" s="27">
        <f t="shared" si="170"/>
        <v>0</v>
      </c>
      <c r="BJ92" s="27">
        <f t="shared" si="171"/>
        <v>0</v>
      </c>
    </row>
    <row r="93" spans="1:62" s="22" customFormat="1" ht="22.5">
      <c r="A93" s="8" t="s">
        <v>16</v>
      </c>
      <c r="B93" s="21"/>
      <c r="C93" s="25">
        <v>0</v>
      </c>
      <c r="D93" s="25">
        <v>1</v>
      </c>
      <c r="E93" s="25">
        <v>0</v>
      </c>
      <c r="F93" s="28">
        <v>0</v>
      </c>
      <c r="G93" s="28"/>
      <c r="H93" s="28"/>
      <c r="I93" s="28"/>
      <c r="J93" s="28"/>
      <c r="K93" s="29"/>
      <c r="L93" s="25">
        <v>1</v>
      </c>
      <c r="M93" s="25">
        <v>0</v>
      </c>
      <c r="N93" s="25">
        <v>0</v>
      </c>
      <c r="O93" s="28">
        <v>0</v>
      </c>
      <c r="P93" s="28"/>
      <c r="Q93" s="28"/>
      <c r="R93" s="28"/>
      <c r="S93" s="28"/>
      <c r="T93"/>
      <c r="U93" s="23">
        <f t="shared" si="142"/>
        <v>0</v>
      </c>
      <c r="V93" s="1">
        <f t="shared" si="166"/>
        <v>5.3846153846153849E-2</v>
      </c>
      <c r="W93" s="11">
        <f t="shared" si="167"/>
        <v>0.3</v>
      </c>
      <c r="X93" s="23">
        <v>3</v>
      </c>
      <c r="Y93" s="24">
        <f t="shared" si="168"/>
        <v>7.6923076923076927E-2</v>
      </c>
      <c r="Z93" s="18">
        <v>0</v>
      </c>
      <c r="AA93" s="18">
        <v>0.3</v>
      </c>
      <c r="AB93" s="18">
        <v>0.8</v>
      </c>
      <c r="AC93" s="18">
        <v>1</v>
      </c>
      <c r="AD93" s="18"/>
      <c r="AE93" s="18"/>
      <c r="AF93" s="18"/>
      <c r="AG93" s="18"/>
      <c r="AH93" s="12"/>
      <c r="AI93" s="18">
        <f t="shared" si="143"/>
        <v>0</v>
      </c>
      <c r="AJ93" s="18">
        <f t="shared" si="144"/>
        <v>0.3</v>
      </c>
      <c r="AK93" s="18">
        <f t="shared" si="145"/>
        <v>0</v>
      </c>
      <c r="AL93" s="18">
        <f t="shared" si="146"/>
        <v>0</v>
      </c>
      <c r="AM93" s="18">
        <f t="shared" si="147"/>
        <v>0</v>
      </c>
      <c r="AN93" s="18">
        <f t="shared" si="148"/>
        <v>0</v>
      </c>
      <c r="AO93" s="18">
        <f t="shared" si="149"/>
        <v>0</v>
      </c>
      <c r="AP93" s="18">
        <f t="shared" si="150"/>
        <v>0</v>
      </c>
      <c r="AQ93" s="23"/>
      <c r="AR93" s="18">
        <f t="shared" si="151"/>
        <v>0</v>
      </c>
      <c r="AS93" s="18">
        <f t="shared" si="152"/>
        <v>0</v>
      </c>
      <c r="AT93" s="18">
        <f t="shared" si="153"/>
        <v>0</v>
      </c>
      <c r="AU93" s="18">
        <f t="shared" si="154"/>
        <v>0</v>
      </c>
      <c r="AV93" s="18">
        <f t="shared" si="155"/>
        <v>0</v>
      </c>
      <c r="AW93" s="18">
        <f t="shared" si="156"/>
        <v>0</v>
      </c>
      <c r="AX93" s="18">
        <f t="shared" si="157"/>
        <v>0</v>
      </c>
      <c r="AY93" s="18">
        <f t="shared" si="158"/>
        <v>0</v>
      </c>
      <c r="BA93" s="27">
        <f t="shared" si="169"/>
        <v>0</v>
      </c>
      <c r="BB93" s="27">
        <f t="shared" si="159"/>
        <v>0.3</v>
      </c>
      <c r="BC93" s="27">
        <f t="shared" si="160"/>
        <v>0</v>
      </c>
      <c r="BD93" s="27">
        <f t="shared" si="161"/>
        <v>0</v>
      </c>
      <c r="BE93" s="27">
        <f t="shared" si="162"/>
        <v>0</v>
      </c>
      <c r="BF93" s="27">
        <f t="shared" si="163"/>
        <v>0</v>
      </c>
      <c r="BG93" s="27">
        <f t="shared" si="164"/>
        <v>0</v>
      </c>
      <c r="BH93" s="27">
        <f t="shared" si="165"/>
        <v>0</v>
      </c>
      <c r="BI93" s="27">
        <f t="shared" si="170"/>
        <v>0.3</v>
      </c>
      <c r="BJ93" s="27">
        <f t="shared" si="171"/>
        <v>2.3076923076923078E-2</v>
      </c>
    </row>
    <row r="94" spans="1:62" ht="22.5">
      <c r="A94" s="4" t="s">
        <v>0</v>
      </c>
      <c r="B94" s="7"/>
      <c r="C94" s="25">
        <v>0</v>
      </c>
      <c r="D94" s="25">
        <v>1</v>
      </c>
      <c r="E94" s="25"/>
      <c r="F94" s="28"/>
      <c r="G94" s="28"/>
      <c r="H94" s="28"/>
      <c r="I94" s="28"/>
      <c r="J94" s="28"/>
      <c r="K94" s="29"/>
      <c r="L94" s="25">
        <v>0</v>
      </c>
      <c r="M94" s="25">
        <v>1</v>
      </c>
      <c r="N94" s="25"/>
      <c r="O94" s="28"/>
      <c r="P94" s="28"/>
      <c r="Q94" s="28"/>
      <c r="R94" s="28"/>
      <c r="S94" s="28"/>
      <c r="U94" s="9">
        <f t="shared" si="142"/>
        <v>1</v>
      </c>
      <c r="V94" s="1">
        <f t="shared" si="166"/>
        <v>5.128205128205128E-2</v>
      </c>
      <c r="W94" s="11">
        <f t="shared" si="167"/>
        <v>0</v>
      </c>
      <c r="X94" s="12">
        <v>2</v>
      </c>
      <c r="Y94" s="10">
        <f t="shared" si="168"/>
        <v>5.128205128205128E-2</v>
      </c>
      <c r="Z94" s="18">
        <v>0</v>
      </c>
      <c r="AA94" s="18">
        <f>IF(M94=1,1,0)</f>
        <v>1</v>
      </c>
      <c r="AB94" s="18">
        <v>0</v>
      </c>
      <c r="AC94" s="18">
        <v>0</v>
      </c>
      <c r="AD94" s="18"/>
      <c r="AE94" s="18"/>
      <c r="AF94" s="18"/>
      <c r="AG94" s="18"/>
      <c r="AH94" s="12"/>
      <c r="AI94" s="18">
        <f t="shared" si="143"/>
        <v>0</v>
      </c>
      <c r="AJ94" s="18">
        <f t="shared" si="144"/>
        <v>1</v>
      </c>
      <c r="AK94" s="18">
        <f t="shared" si="145"/>
        <v>0</v>
      </c>
      <c r="AL94" s="18">
        <f t="shared" si="146"/>
        <v>0</v>
      </c>
      <c r="AM94" s="18">
        <f t="shared" si="147"/>
        <v>0</v>
      </c>
      <c r="AN94" s="18">
        <f t="shared" si="148"/>
        <v>0</v>
      </c>
      <c r="AO94" s="18">
        <f t="shared" si="149"/>
        <v>0</v>
      </c>
      <c r="AP94" s="18">
        <f t="shared" si="150"/>
        <v>0</v>
      </c>
      <c r="AQ94" s="9"/>
      <c r="AR94" s="18">
        <f t="shared" si="151"/>
        <v>0</v>
      </c>
      <c r="AS94" s="18">
        <f t="shared" si="152"/>
        <v>1</v>
      </c>
      <c r="AT94" s="18">
        <f t="shared" si="153"/>
        <v>0</v>
      </c>
      <c r="AU94" s="18">
        <f t="shared" si="154"/>
        <v>0</v>
      </c>
      <c r="AV94" s="18">
        <f t="shared" si="155"/>
        <v>0</v>
      </c>
      <c r="AW94" s="18">
        <f t="shared" si="156"/>
        <v>0</v>
      </c>
      <c r="AX94" s="18">
        <f t="shared" si="157"/>
        <v>0</v>
      </c>
      <c r="AY94" s="18">
        <f t="shared" si="158"/>
        <v>0</v>
      </c>
      <c r="BA94" s="27">
        <f t="shared" si="169"/>
        <v>0</v>
      </c>
      <c r="BB94" s="27">
        <f t="shared" si="159"/>
        <v>0</v>
      </c>
      <c r="BC94" s="27">
        <f t="shared" si="160"/>
        <v>0</v>
      </c>
      <c r="BD94" s="27">
        <f t="shared" si="161"/>
        <v>0</v>
      </c>
      <c r="BE94" s="27">
        <f t="shared" si="162"/>
        <v>0</v>
      </c>
      <c r="BF94" s="27">
        <f t="shared" si="163"/>
        <v>0</v>
      </c>
      <c r="BG94" s="27">
        <f t="shared" si="164"/>
        <v>0</v>
      </c>
      <c r="BH94" s="27">
        <f t="shared" si="165"/>
        <v>0</v>
      </c>
      <c r="BI94" s="27">
        <f t="shared" si="170"/>
        <v>0</v>
      </c>
      <c r="BJ94" s="27">
        <f t="shared" si="171"/>
        <v>0</v>
      </c>
    </row>
    <row r="95" spans="1:62" ht="22.5">
      <c r="A95" s="5" t="s">
        <v>1</v>
      </c>
      <c r="B95" s="7"/>
      <c r="C95" s="25"/>
      <c r="D95" s="25"/>
      <c r="E95" s="25"/>
      <c r="F95" s="25"/>
      <c r="G95" s="25">
        <v>0</v>
      </c>
      <c r="H95" s="25">
        <v>1</v>
      </c>
      <c r="I95" s="28"/>
      <c r="J95" s="28"/>
      <c r="K95" s="29"/>
      <c r="L95" s="25"/>
      <c r="M95" s="25"/>
      <c r="N95" s="25"/>
      <c r="O95" s="25"/>
      <c r="P95" s="25">
        <v>0</v>
      </c>
      <c r="Q95" s="25">
        <v>1</v>
      </c>
      <c r="R95" s="28"/>
      <c r="S95" s="28"/>
      <c r="U95" s="9">
        <f t="shared" si="142"/>
        <v>1</v>
      </c>
      <c r="V95" s="1">
        <f t="shared" si="166"/>
        <v>2.564102564102564E-2</v>
      </c>
      <c r="W95" s="11">
        <f t="shared" si="167"/>
        <v>0</v>
      </c>
      <c r="X95" s="12">
        <v>1</v>
      </c>
      <c r="Y95" s="10">
        <f t="shared" si="168"/>
        <v>2.564102564102564E-2</v>
      </c>
      <c r="Z95" s="18"/>
      <c r="AA95" s="18"/>
      <c r="AB95" s="18"/>
      <c r="AC95" s="18"/>
      <c r="AD95" s="18">
        <v>0</v>
      </c>
      <c r="AE95" s="18">
        <v>1</v>
      </c>
      <c r="AF95" s="18"/>
      <c r="AG95" s="18"/>
      <c r="AH95" s="12"/>
      <c r="AI95" s="18">
        <f t="shared" si="143"/>
        <v>0</v>
      </c>
      <c r="AJ95" s="18">
        <f t="shared" si="144"/>
        <v>0</v>
      </c>
      <c r="AK95" s="18">
        <f t="shared" si="145"/>
        <v>0</v>
      </c>
      <c r="AL95" s="18">
        <f t="shared" si="146"/>
        <v>0</v>
      </c>
      <c r="AM95" s="18">
        <f t="shared" si="147"/>
        <v>0</v>
      </c>
      <c r="AN95" s="18">
        <f t="shared" si="148"/>
        <v>1</v>
      </c>
      <c r="AO95" s="18">
        <f t="shared" si="149"/>
        <v>0</v>
      </c>
      <c r="AP95" s="18">
        <f t="shared" si="150"/>
        <v>0</v>
      </c>
      <c r="AQ95" s="9"/>
      <c r="AR95" s="18">
        <f t="shared" si="151"/>
        <v>0</v>
      </c>
      <c r="AS95" s="18">
        <f t="shared" si="152"/>
        <v>0</v>
      </c>
      <c r="AT95" s="18">
        <f t="shared" si="153"/>
        <v>0</v>
      </c>
      <c r="AU95" s="18">
        <f t="shared" si="154"/>
        <v>0</v>
      </c>
      <c r="AV95" s="18">
        <f t="shared" si="155"/>
        <v>0</v>
      </c>
      <c r="AW95" s="18">
        <f t="shared" si="156"/>
        <v>1</v>
      </c>
      <c r="AX95" s="18">
        <f t="shared" si="157"/>
        <v>0</v>
      </c>
      <c r="AY95" s="18">
        <f t="shared" si="158"/>
        <v>0</v>
      </c>
      <c r="BA95" s="27">
        <f t="shared" si="169"/>
        <v>0</v>
      </c>
      <c r="BB95" s="27">
        <f t="shared" si="159"/>
        <v>0</v>
      </c>
      <c r="BC95" s="27">
        <f t="shared" si="160"/>
        <v>0</v>
      </c>
      <c r="BD95" s="27">
        <f t="shared" si="161"/>
        <v>0</v>
      </c>
      <c r="BE95" s="27">
        <f t="shared" si="162"/>
        <v>0</v>
      </c>
      <c r="BF95" s="27">
        <f t="shared" si="163"/>
        <v>0</v>
      </c>
      <c r="BG95" s="27">
        <f t="shared" si="164"/>
        <v>0</v>
      </c>
      <c r="BH95" s="27">
        <f t="shared" si="165"/>
        <v>0</v>
      </c>
      <c r="BI95" s="27">
        <f t="shared" si="170"/>
        <v>0</v>
      </c>
      <c r="BJ95" s="27">
        <f t="shared" si="171"/>
        <v>0</v>
      </c>
    </row>
    <row r="96" spans="1:62" ht="22.5">
      <c r="A96" s="5" t="s">
        <v>21</v>
      </c>
      <c r="B96" s="7"/>
      <c r="C96" s="25"/>
      <c r="D96" s="25"/>
      <c r="E96" s="25"/>
      <c r="F96" s="25"/>
      <c r="G96" s="25">
        <v>0</v>
      </c>
      <c r="H96" s="25">
        <v>1</v>
      </c>
      <c r="I96" s="28"/>
      <c r="J96" s="28"/>
      <c r="K96" s="29"/>
      <c r="L96" s="25"/>
      <c r="M96" s="25"/>
      <c r="N96" s="25"/>
      <c r="O96" s="25"/>
      <c r="P96" s="25">
        <v>0</v>
      </c>
      <c r="Q96" s="25">
        <v>1</v>
      </c>
      <c r="R96" s="28"/>
      <c r="S96" s="28"/>
      <c r="U96" s="9">
        <f t="shared" si="142"/>
        <v>1</v>
      </c>
      <c r="V96" s="1">
        <f t="shared" si="166"/>
        <v>2.564102564102564E-2</v>
      </c>
      <c r="W96" s="11">
        <f t="shared" si="167"/>
        <v>0</v>
      </c>
      <c r="X96" s="12">
        <v>1</v>
      </c>
      <c r="Y96" s="10">
        <f t="shared" si="168"/>
        <v>2.564102564102564E-2</v>
      </c>
      <c r="Z96" s="18"/>
      <c r="AA96" s="18"/>
      <c r="AB96" s="18"/>
      <c r="AC96" s="18"/>
      <c r="AD96" s="18">
        <v>0</v>
      </c>
      <c r="AE96" s="18">
        <v>1</v>
      </c>
      <c r="AF96" s="18"/>
      <c r="AG96" s="18"/>
      <c r="AH96" s="12"/>
      <c r="AI96" s="18">
        <f t="shared" si="143"/>
        <v>0</v>
      </c>
      <c r="AJ96" s="18">
        <f t="shared" si="144"/>
        <v>0</v>
      </c>
      <c r="AK96" s="18">
        <f t="shared" si="145"/>
        <v>0</v>
      </c>
      <c r="AL96" s="18">
        <f t="shared" si="146"/>
        <v>0</v>
      </c>
      <c r="AM96" s="18">
        <f t="shared" si="147"/>
        <v>0</v>
      </c>
      <c r="AN96" s="18">
        <f t="shared" si="148"/>
        <v>1</v>
      </c>
      <c r="AO96" s="18">
        <f t="shared" si="149"/>
        <v>0</v>
      </c>
      <c r="AP96" s="18">
        <f t="shared" si="150"/>
        <v>0</v>
      </c>
      <c r="AQ96" s="9"/>
      <c r="AR96" s="18">
        <f t="shared" si="151"/>
        <v>0</v>
      </c>
      <c r="AS96" s="18">
        <f t="shared" si="152"/>
        <v>0</v>
      </c>
      <c r="AT96" s="18">
        <f t="shared" si="153"/>
        <v>0</v>
      </c>
      <c r="AU96" s="18">
        <f t="shared" si="154"/>
        <v>0</v>
      </c>
      <c r="AV96" s="18">
        <f t="shared" si="155"/>
        <v>0</v>
      </c>
      <c r="AW96" s="18">
        <f t="shared" si="156"/>
        <v>1</v>
      </c>
      <c r="AX96" s="18">
        <f t="shared" si="157"/>
        <v>0</v>
      </c>
      <c r="AY96" s="18">
        <f t="shared" si="158"/>
        <v>0</v>
      </c>
      <c r="BA96" s="27">
        <f t="shared" si="169"/>
        <v>0</v>
      </c>
      <c r="BB96" s="27">
        <f t="shared" si="159"/>
        <v>0</v>
      </c>
      <c r="BC96" s="27">
        <f t="shared" si="160"/>
        <v>0</v>
      </c>
      <c r="BD96" s="27">
        <f t="shared" si="161"/>
        <v>0</v>
      </c>
      <c r="BE96" s="27">
        <f t="shared" si="162"/>
        <v>0</v>
      </c>
      <c r="BF96" s="27">
        <f t="shared" si="163"/>
        <v>0</v>
      </c>
      <c r="BG96" s="27">
        <f t="shared" si="164"/>
        <v>0</v>
      </c>
      <c r="BH96" s="27">
        <f t="shared" si="165"/>
        <v>0</v>
      </c>
      <c r="BI96" s="27">
        <f t="shared" si="170"/>
        <v>0</v>
      </c>
      <c r="BJ96" s="27">
        <f t="shared" si="171"/>
        <v>0</v>
      </c>
    </row>
    <row r="97" spans="1:62" ht="22.5">
      <c r="A97" s="5" t="s">
        <v>2</v>
      </c>
      <c r="B97" s="7"/>
      <c r="C97" s="25"/>
      <c r="D97" s="25"/>
      <c r="E97" s="25"/>
      <c r="F97" s="25"/>
      <c r="G97" s="25">
        <v>0</v>
      </c>
      <c r="H97" s="25">
        <v>1</v>
      </c>
      <c r="I97" s="28"/>
      <c r="J97" s="28"/>
      <c r="K97" s="29"/>
      <c r="L97" s="25"/>
      <c r="M97" s="25"/>
      <c r="N97" s="25"/>
      <c r="O97" s="25"/>
      <c r="P97" s="25">
        <v>0</v>
      </c>
      <c r="Q97" s="25">
        <v>1</v>
      </c>
      <c r="R97" s="28"/>
      <c r="S97" s="28"/>
      <c r="U97" s="9">
        <f t="shared" si="142"/>
        <v>1</v>
      </c>
      <c r="V97" s="1">
        <f t="shared" si="166"/>
        <v>2.564102564102564E-2</v>
      </c>
      <c r="W97" s="11">
        <f t="shared" si="167"/>
        <v>0</v>
      </c>
      <c r="X97" s="12">
        <v>1</v>
      </c>
      <c r="Y97" s="10">
        <f t="shared" si="168"/>
        <v>2.564102564102564E-2</v>
      </c>
      <c r="Z97" s="18"/>
      <c r="AA97" s="18"/>
      <c r="AB97" s="18"/>
      <c r="AC97" s="18"/>
      <c r="AD97" s="18">
        <v>0</v>
      </c>
      <c r="AE97" s="18">
        <v>1</v>
      </c>
      <c r="AF97" s="18"/>
      <c r="AG97" s="18"/>
      <c r="AH97" s="12"/>
      <c r="AI97" s="18">
        <f t="shared" si="143"/>
        <v>0</v>
      </c>
      <c r="AJ97" s="18">
        <f t="shared" si="144"/>
        <v>0</v>
      </c>
      <c r="AK97" s="18">
        <f t="shared" si="145"/>
        <v>0</v>
      </c>
      <c r="AL97" s="18">
        <f t="shared" si="146"/>
        <v>0</v>
      </c>
      <c r="AM97" s="18">
        <f t="shared" si="147"/>
        <v>0</v>
      </c>
      <c r="AN97" s="18">
        <f t="shared" si="148"/>
        <v>1</v>
      </c>
      <c r="AO97" s="18">
        <f t="shared" si="149"/>
        <v>0</v>
      </c>
      <c r="AP97" s="18">
        <f t="shared" si="150"/>
        <v>0</v>
      </c>
      <c r="AQ97" s="9"/>
      <c r="AR97" s="18">
        <f t="shared" si="151"/>
        <v>0</v>
      </c>
      <c r="AS97" s="18">
        <f t="shared" si="152"/>
        <v>0</v>
      </c>
      <c r="AT97" s="18">
        <f t="shared" si="153"/>
        <v>0</v>
      </c>
      <c r="AU97" s="18">
        <f t="shared" si="154"/>
        <v>0</v>
      </c>
      <c r="AV97" s="18">
        <f t="shared" si="155"/>
        <v>0</v>
      </c>
      <c r="AW97" s="18">
        <f t="shared" si="156"/>
        <v>1</v>
      </c>
      <c r="AX97" s="18">
        <f t="shared" si="157"/>
        <v>0</v>
      </c>
      <c r="AY97" s="18">
        <f t="shared" si="158"/>
        <v>0</v>
      </c>
      <c r="BA97" s="27">
        <f t="shared" si="169"/>
        <v>0</v>
      </c>
      <c r="BB97" s="27">
        <f t="shared" si="159"/>
        <v>0</v>
      </c>
      <c r="BC97" s="27">
        <f t="shared" si="160"/>
        <v>0</v>
      </c>
      <c r="BD97" s="27">
        <f t="shared" si="161"/>
        <v>0</v>
      </c>
      <c r="BE97" s="27">
        <f t="shared" si="162"/>
        <v>0</v>
      </c>
      <c r="BF97" s="27">
        <f t="shared" si="163"/>
        <v>0</v>
      </c>
      <c r="BG97" s="27">
        <f t="shared" si="164"/>
        <v>0</v>
      </c>
      <c r="BH97" s="27">
        <f t="shared" si="165"/>
        <v>0</v>
      </c>
      <c r="BI97" s="27">
        <f t="shared" si="170"/>
        <v>0</v>
      </c>
      <c r="BJ97" s="27">
        <f t="shared" si="171"/>
        <v>0</v>
      </c>
    </row>
    <row r="98" spans="1:62" ht="22.5">
      <c r="A98" s="5" t="s">
        <v>3</v>
      </c>
      <c r="B98" s="7"/>
      <c r="C98" s="25"/>
      <c r="D98" s="25"/>
      <c r="E98" s="25"/>
      <c r="F98" s="25"/>
      <c r="G98" s="25">
        <v>0</v>
      </c>
      <c r="H98" s="25">
        <v>1</v>
      </c>
      <c r="I98" s="28"/>
      <c r="J98" s="28"/>
      <c r="K98" s="29"/>
      <c r="L98" s="25"/>
      <c r="M98" s="25"/>
      <c r="N98" s="25"/>
      <c r="O98" s="25"/>
      <c r="P98" s="25">
        <v>0</v>
      </c>
      <c r="Q98" s="25">
        <v>1</v>
      </c>
      <c r="R98" s="28"/>
      <c r="S98" s="28"/>
      <c r="U98" s="9">
        <f t="shared" si="142"/>
        <v>1</v>
      </c>
      <c r="V98" s="1">
        <f>(1-W98)*Y98</f>
        <v>2.564102564102564E-2</v>
      </c>
      <c r="W98" s="11">
        <f t="shared" si="167"/>
        <v>0</v>
      </c>
      <c r="X98" s="12">
        <v>1</v>
      </c>
      <c r="Y98" s="10">
        <f t="shared" si="168"/>
        <v>2.564102564102564E-2</v>
      </c>
      <c r="Z98" s="18"/>
      <c r="AA98" s="18"/>
      <c r="AB98" s="18"/>
      <c r="AC98" s="18"/>
      <c r="AD98" s="18">
        <v>0</v>
      </c>
      <c r="AE98" s="18">
        <v>1</v>
      </c>
      <c r="AF98" s="18"/>
      <c r="AG98" s="18"/>
      <c r="AH98" s="12"/>
      <c r="AI98" s="18">
        <f t="shared" si="143"/>
        <v>0</v>
      </c>
      <c r="AJ98" s="18">
        <f t="shared" si="144"/>
        <v>0</v>
      </c>
      <c r="AK98" s="18">
        <f t="shared" si="145"/>
        <v>0</v>
      </c>
      <c r="AL98" s="18">
        <f t="shared" si="146"/>
        <v>0</v>
      </c>
      <c r="AM98" s="18">
        <f t="shared" si="147"/>
        <v>0</v>
      </c>
      <c r="AN98" s="18">
        <f t="shared" si="148"/>
        <v>1</v>
      </c>
      <c r="AO98" s="18">
        <f t="shared" si="149"/>
        <v>0</v>
      </c>
      <c r="AP98" s="18">
        <f t="shared" si="150"/>
        <v>0</v>
      </c>
      <c r="AQ98" s="9"/>
      <c r="AR98" s="18">
        <f t="shared" si="151"/>
        <v>0</v>
      </c>
      <c r="AS98" s="18">
        <f t="shared" si="152"/>
        <v>0</v>
      </c>
      <c r="AT98" s="18">
        <f t="shared" si="153"/>
        <v>0</v>
      </c>
      <c r="AU98" s="18">
        <f t="shared" si="154"/>
        <v>0</v>
      </c>
      <c r="AV98" s="18">
        <f t="shared" si="155"/>
        <v>0</v>
      </c>
      <c r="AW98" s="18">
        <f t="shared" si="156"/>
        <v>1</v>
      </c>
      <c r="AX98" s="18">
        <f t="shared" si="157"/>
        <v>0</v>
      </c>
      <c r="AY98" s="18">
        <f t="shared" si="158"/>
        <v>0</v>
      </c>
      <c r="BA98" s="27">
        <f t="shared" si="169"/>
        <v>0</v>
      </c>
      <c r="BB98" s="27">
        <f t="shared" si="159"/>
        <v>0</v>
      </c>
      <c r="BC98" s="27">
        <f t="shared" si="160"/>
        <v>0</v>
      </c>
      <c r="BD98" s="27">
        <f t="shared" si="161"/>
        <v>0</v>
      </c>
      <c r="BE98" s="27">
        <f t="shared" si="162"/>
        <v>0</v>
      </c>
      <c r="BF98" s="27">
        <f t="shared" si="163"/>
        <v>0</v>
      </c>
      <c r="BG98" s="27">
        <f t="shared" si="164"/>
        <v>0</v>
      </c>
      <c r="BH98" s="27">
        <f t="shared" si="165"/>
        <v>0</v>
      </c>
      <c r="BI98" s="27">
        <f t="shared" si="170"/>
        <v>0</v>
      </c>
      <c r="BJ98" s="27">
        <f t="shared" si="171"/>
        <v>0</v>
      </c>
    </row>
    <row r="99" spans="1:62" ht="22.5">
      <c r="A99" s="8" t="s">
        <v>4</v>
      </c>
      <c r="B99" s="7"/>
      <c r="C99" s="25"/>
      <c r="D99" s="25"/>
      <c r="E99" s="25"/>
      <c r="F99" s="25"/>
      <c r="G99" s="25"/>
      <c r="H99" s="25"/>
      <c r="I99" s="25">
        <v>0</v>
      </c>
      <c r="J99" s="25">
        <v>1</v>
      </c>
      <c r="K99" s="29"/>
      <c r="L99" s="25"/>
      <c r="M99" s="25"/>
      <c r="N99" s="25"/>
      <c r="O99" s="25"/>
      <c r="P99" s="25"/>
      <c r="Q99" s="25"/>
      <c r="R99" s="25">
        <v>0</v>
      </c>
      <c r="S99" s="25">
        <v>1</v>
      </c>
      <c r="U99" s="9">
        <f t="shared" si="142"/>
        <v>1</v>
      </c>
      <c r="V99" s="1">
        <f t="shared" ref="V99:V102" si="172">(1-W99)*Y99</f>
        <v>2.564102564102564E-2</v>
      </c>
      <c r="W99" s="11">
        <f t="shared" si="167"/>
        <v>0</v>
      </c>
      <c r="X99" s="12">
        <v>1</v>
      </c>
      <c r="Y99" s="10">
        <f t="shared" si="168"/>
        <v>2.564102564102564E-2</v>
      </c>
      <c r="Z99" s="18"/>
      <c r="AA99" s="18"/>
      <c r="AB99" s="18"/>
      <c r="AC99" s="18"/>
      <c r="AD99" s="18"/>
      <c r="AE99" s="18"/>
      <c r="AF99" s="18">
        <v>0</v>
      </c>
      <c r="AG99" s="18">
        <v>1</v>
      </c>
      <c r="AH99" s="12"/>
      <c r="AI99" s="18">
        <f t="shared" si="143"/>
        <v>0</v>
      </c>
      <c r="AJ99" s="18">
        <f t="shared" si="144"/>
        <v>0</v>
      </c>
      <c r="AK99" s="18">
        <f t="shared" si="145"/>
        <v>0</v>
      </c>
      <c r="AL99" s="18">
        <f t="shared" si="146"/>
        <v>0</v>
      </c>
      <c r="AM99" s="18">
        <f t="shared" si="147"/>
        <v>0</v>
      </c>
      <c r="AN99" s="18">
        <f t="shared" si="148"/>
        <v>0</v>
      </c>
      <c r="AO99" s="18">
        <f t="shared" si="149"/>
        <v>0</v>
      </c>
      <c r="AP99" s="18">
        <f t="shared" si="150"/>
        <v>1</v>
      </c>
      <c r="AQ99" s="9"/>
      <c r="AR99" s="18">
        <f t="shared" si="151"/>
        <v>0</v>
      </c>
      <c r="AS99" s="18">
        <f t="shared" si="152"/>
        <v>0</v>
      </c>
      <c r="AT99" s="18">
        <f t="shared" si="153"/>
        <v>0</v>
      </c>
      <c r="AU99" s="18">
        <f t="shared" si="154"/>
        <v>0</v>
      </c>
      <c r="AV99" s="18">
        <f t="shared" si="155"/>
        <v>0</v>
      </c>
      <c r="AW99" s="18">
        <f t="shared" si="156"/>
        <v>0</v>
      </c>
      <c r="AX99" s="18">
        <f t="shared" si="157"/>
        <v>0</v>
      </c>
      <c r="AY99" s="18">
        <f t="shared" si="158"/>
        <v>1</v>
      </c>
      <c r="BA99" s="27">
        <f t="shared" si="169"/>
        <v>0</v>
      </c>
      <c r="BB99" s="27">
        <f t="shared" si="159"/>
        <v>0</v>
      </c>
      <c r="BC99" s="27">
        <f t="shared" si="160"/>
        <v>0</v>
      </c>
      <c r="BD99" s="27">
        <f t="shared" si="161"/>
        <v>0</v>
      </c>
      <c r="BE99" s="27">
        <f t="shared" si="162"/>
        <v>0</v>
      </c>
      <c r="BF99" s="27">
        <f t="shared" si="163"/>
        <v>0</v>
      </c>
      <c r="BG99" s="27">
        <f t="shared" si="164"/>
        <v>0</v>
      </c>
      <c r="BH99" s="27">
        <f t="shared" si="165"/>
        <v>0</v>
      </c>
      <c r="BI99" s="27">
        <f t="shared" si="170"/>
        <v>0</v>
      </c>
      <c r="BJ99" s="27">
        <f t="shared" si="171"/>
        <v>0</v>
      </c>
    </row>
    <row r="100" spans="1:62" ht="22.5">
      <c r="A100" s="8" t="s">
        <v>22</v>
      </c>
      <c r="B100" s="7"/>
      <c r="C100" s="25"/>
      <c r="D100" s="25"/>
      <c r="E100" s="25"/>
      <c r="F100" s="25"/>
      <c r="G100" s="25"/>
      <c r="H100" s="25"/>
      <c r="I100" s="25">
        <v>0</v>
      </c>
      <c r="J100" s="25">
        <v>1</v>
      </c>
      <c r="K100" s="29"/>
      <c r="L100" s="25"/>
      <c r="M100" s="25"/>
      <c r="N100" s="25"/>
      <c r="O100" s="25"/>
      <c r="P100" s="25"/>
      <c r="Q100" s="25"/>
      <c r="R100" s="25">
        <v>0</v>
      </c>
      <c r="S100" s="25">
        <v>1</v>
      </c>
      <c r="U100" s="9">
        <f t="shared" si="142"/>
        <v>1</v>
      </c>
      <c r="V100" s="1">
        <f t="shared" si="172"/>
        <v>2.564102564102564E-2</v>
      </c>
      <c r="W100" s="11">
        <f t="shared" si="167"/>
        <v>0</v>
      </c>
      <c r="X100" s="12">
        <v>1</v>
      </c>
      <c r="Y100" s="10">
        <f t="shared" si="168"/>
        <v>2.564102564102564E-2</v>
      </c>
      <c r="Z100" s="18"/>
      <c r="AA100" s="18"/>
      <c r="AB100" s="18"/>
      <c r="AC100" s="18"/>
      <c r="AD100" s="18"/>
      <c r="AE100" s="18"/>
      <c r="AF100" s="18">
        <v>0</v>
      </c>
      <c r="AG100" s="18">
        <v>1</v>
      </c>
      <c r="AH100" s="12"/>
      <c r="AI100" s="18">
        <f t="shared" si="143"/>
        <v>0</v>
      </c>
      <c r="AJ100" s="18">
        <f t="shared" si="144"/>
        <v>0</v>
      </c>
      <c r="AK100" s="18">
        <f t="shared" si="145"/>
        <v>0</v>
      </c>
      <c r="AL100" s="18">
        <f t="shared" si="146"/>
        <v>0</v>
      </c>
      <c r="AM100" s="18">
        <f t="shared" si="147"/>
        <v>0</v>
      </c>
      <c r="AN100" s="18">
        <f t="shared" si="148"/>
        <v>0</v>
      </c>
      <c r="AO100" s="18">
        <f t="shared" si="149"/>
        <v>0</v>
      </c>
      <c r="AP100" s="18">
        <f t="shared" si="150"/>
        <v>1</v>
      </c>
      <c r="AQ100" s="9"/>
      <c r="AR100" s="18">
        <f t="shared" si="151"/>
        <v>0</v>
      </c>
      <c r="AS100" s="18">
        <f t="shared" si="152"/>
        <v>0</v>
      </c>
      <c r="AT100" s="18">
        <f t="shared" si="153"/>
        <v>0</v>
      </c>
      <c r="AU100" s="18">
        <f t="shared" si="154"/>
        <v>0</v>
      </c>
      <c r="AV100" s="18">
        <f t="shared" si="155"/>
        <v>0</v>
      </c>
      <c r="AW100" s="18">
        <f t="shared" si="156"/>
        <v>0</v>
      </c>
      <c r="AX100" s="18">
        <f t="shared" si="157"/>
        <v>0</v>
      </c>
      <c r="AY100" s="18">
        <f t="shared" si="158"/>
        <v>1</v>
      </c>
      <c r="BA100" s="27">
        <f t="shared" si="169"/>
        <v>0</v>
      </c>
      <c r="BB100" s="27">
        <f t="shared" si="159"/>
        <v>0</v>
      </c>
      <c r="BC100" s="27">
        <f t="shared" si="160"/>
        <v>0</v>
      </c>
      <c r="BD100" s="27">
        <f t="shared" si="161"/>
        <v>0</v>
      </c>
      <c r="BE100" s="27">
        <f t="shared" si="162"/>
        <v>0</v>
      </c>
      <c r="BF100" s="27">
        <f t="shared" si="163"/>
        <v>0</v>
      </c>
      <c r="BG100" s="27">
        <f t="shared" si="164"/>
        <v>0</v>
      </c>
      <c r="BH100" s="27">
        <f t="shared" si="165"/>
        <v>0</v>
      </c>
      <c r="BI100" s="27">
        <f t="shared" si="170"/>
        <v>0</v>
      </c>
      <c r="BJ100" s="27">
        <f t="shared" si="171"/>
        <v>0</v>
      </c>
    </row>
    <row r="101" spans="1:62" ht="22.5">
      <c r="A101" s="8" t="s">
        <v>23</v>
      </c>
      <c r="B101" s="7"/>
      <c r="C101" s="25"/>
      <c r="D101" s="25"/>
      <c r="E101" s="25"/>
      <c r="F101" s="25"/>
      <c r="G101" s="25"/>
      <c r="H101" s="25"/>
      <c r="I101" s="25">
        <v>0</v>
      </c>
      <c r="J101" s="25">
        <v>1</v>
      </c>
      <c r="K101" s="29"/>
      <c r="L101" s="25"/>
      <c r="M101" s="25"/>
      <c r="N101" s="25"/>
      <c r="O101" s="25"/>
      <c r="P101" s="25"/>
      <c r="Q101" s="25"/>
      <c r="R101" s="25">
        <v>0</v>
      </c>
      <c r="S101" s="25">
        <v>1</v>
      </c>
      <c r="U101" s="9">
        <f>IF(MATCH(1,C101:J101,0)=MATCH(1,L101:S101,0),1,0)</f>
        <v>1</v>
      </c>
      <c r="V101" s="1">
        <f t="shared" si="172"/>
        <v>2.564102564102564E-2</v>
      </c>
      <c r="W101" s="11">
        <f>BI101</f>
        <v>0</v>
      </c>
      <c r="X101" s="12">
        <v>1</v>
      </c>
      <c r="Y101" s="10">
        <f t="shared" si="168"/>
        <v>2.564102564102564E-2</v>
      </c>
      <c r="Z101" s="18"/>
      <c r="AA101" s="18"/>
      <c r="AB101" s="18"/>
      <c r="AC101" s="18"/>
      <c r="AD101" s="18"/>
      <c r="AE101" s="18"/>
      <c r="AF101" s="18">
        <v>0</v>
      </c>
      <c r="AG101" s="18">
        <v>1</v>
      </c>
      <c r="AI101" s="18">
        <f t="shared" si="143"/>
        <v>0</v>
      </c>
      <c r="AJ101" s="18">
        <f t="shared" si="144"/>
        <v>0</v>
      </c>
      <c r="AK101" s="18">
        <f t="shared" si="145"/>
        <v>0</v>
      </c>
      <c r="AL101" s="18">
        <f t="shared" si="146"/>
        <v>0</v>
      </c>
      <c r="AM101" s="18">
        <f t="shared" si="147"/>
        <v>0</v>
      </c>
      <c r="AN101" s="18">
        <f t="shared" si="148"/>
        <v>0</v>
      </c>
      <c r="AO101" s="18">
        <f t="shared" si="149"/>
        <v>0</v>
      </c>
      <c r="AP101" s="18">
        <f t="shared" si="150"/>
        <v>1</v>
      </c>
      <c r="AQ101" s="9" t="s">
        <v>24</v>
      </c>
      <c r="AR101" s="18">
        <f t="shared" si="151"/>
        <v>0</v>
      </c>
      <c r="AS101" s="18">
        <f t="shared" si="152"/>
        <v>0</v>
      </c>
      <c r="AT101" s="18">
        <f t="shared" si="153"/>
        <v>0</v>
      </c>
      <c r="AU101" s="18">
        <f t="shared" si="154"/>
        <v>0</v>
      </c>
      <c r="AV101" s="18"/>
      <c r="AW101" s="18">
        <f t="shared" si="156"/>
        <v>0</v>
      </c>
      <c r="AX101" s="18">
        <f t="shared" si="157"/>
        <v>0</v>
      </c>
      <c r="AY101" s="18">
        <f t="shared" si="158"/>
        <v>1</v>
      </c>
      <c r="BA101" s="27">
        <f t="shared" si="169"/>
        <v>0</v>
      </c>
      <c r="BB101" s="27">
        <f t="shared" si="159"/>
        <v>0</v>
      </c>
      <c r="BC101" s="27">
        <f t="shared" si="160"/>
        <v>0</v>
      </c>
      <c r="BD101" s="27">
        <f t="shared" si="161"/>
        <v>0</v>
      </c>
      <c r="BE101" s="27">
        <f t="shared" si="162"/>
        <v>0</v>
      </c>
      <c r="BF101" s="27">
        <f t="shared" si="163"/>
        <v>0</v>
      </c>
      <c r="BG101" s="27">
        <f t="shared" si="164"/>
        <v>0</v>
      </c>
      <c r="BH101" s="27">
        <f t="shared" si="165"/>
        <v>0</v>
      </c>
      <c r="BI101" s="27">
        <f t="shared" si="170"/>
        <v>0</v>
      </c>
      <c r="BJ101" s="27">
        <f t="shared" si="171"/>
        <v>0</v>
      </c>
    </row>
    <row r="102" spans="1:62" ht="22.5">
      <c r="A102" s="14" t="s">
        <v>5</v>
      </c>
      <c r="B102" s="7"/>
      <c r="C102" s="25"/>
      <c r="D102" s="25"/>
      <c r="E102" s="25"/>
      <c r="F102" s="25"/>
      <c r="G102" s="25"/>
      <c r="H102" s="25"/>
      <c r="I102" s="25">
        <v>1</v>
      </c>
      <c r="J102" s="25">
        <v>0</v>
      </c>
      <c r="K102" s="29"/>
      <c r="L102" s="25"/>
      <c r="M102" s="25"/>
      <c r="N102" s="25"/>
      <c r="O102" s="25"/>
      <c r="P102" s="25"/>
      <c r="Q102" s="25"/>
      <c r="R102" s="25">
        <v>1</v>
      </c>
      <c r="S102" s="25">
        <v>0</v>
      </c>
      <c r="U102" s="9">
        <f t="shared" ref="U102" si="173">IF(MATCH(1,C102:J102,0)=MATCH(1,L102:S102,0),1,0)</f>
        <v>1</v>
      </c>
      <c r="V102" s="1">
        <f t="shared" si="172"/>
        <v>0.12820512820512819</v>
      </c>
      <c r="W102" s="11">
        <f t="shared" ref="W102" si="174">BI102</f>
        <v>0</v>
      </c>
      <c r="X102" s="12">
        <v>5</v>
      </c>
      <c r="Y102" s="10">
        <f t="shared" si="168"/>
        <v>0.12820512820512819</v>
      </c>
      <c r="Z102" s="18"/>
      <c r="AA102" s="18"/>
      <c r="AB102" s="18"/>
      <c r="AC102" s="18"/>
      <c r="AD102" s="18"/>
      <c r="AE102" s="18"/>
      <c r="AF102" s="18">
        <v>0</v>
      </c>
      <c r="AG102" s="18">
        <v>1</v>
      </c>
      <c r="AH102" s="20"/>
      <c r="AI102" s="18">
        <f t="shared" si="143"/>
        <v>0</v>
      </c>
      <c r="AJ102" s="18">
        <f t="shared" si="144"/>
        <v>0</v>
      </c>
      <c r="AK102" s="18">
        <f t="shared" si="145"/>
        <v>0</v>
      </c>
      <c r="AL102" s="18">
        <f t="shared" si="146"/>
        <v>0</v>
      </c>
      <c r="AM102" s="18">
        <f t="shared" si="147"/>
        <v>0</v>
      </c>
      <c r="AN102" s="18">
        <f t="shared" si="148"/>
        <v>0</v>
      </c>
      <c r="AO102" s="18">
        <f t="shared" si="149"/>
        <v>0</v>
      </c>
      <c r="AP102" s="18">
        <f t="shared" si="150"/>
        <v>0</v>
      </c>
      <c r="AQ102" s="9"/>
      <c r="AR102" s="18">
        <f t="shared" si="151"/>
        <v>0</v>
      </c>
      <c r="AS102" s="18">
        <f t="shared" si="152"/>
        <v>0</v>
      </c>
      <c r="AT102" s="18">
        <f t="shared" si="153"/>
        <v>0</v>
      </c>
      <c r="AU102" s="18">
        <f t="shared" si="154"/>
        <v>0</v>
      </c>
      <c r="AV102" s="18">
        <f>P102*AD102</f>
        <v>0</v>
      </c>
      <c r="AW102" s="18">
        <f t="shared" si="156"/>
        <v>0</v>
      </c>
      <c r="AX102" s="18">
        <f t="shared" si="157"/>
        <v>0</v>
      </c>
      <c r="AY102" s="18">
        <f t="shared" si="158"/>
        <v>0</v>
      </c>
      <c r="BA102" s="27">
        <f>(AI102-AR102)</f>
        <v>0</v>
      </c>
      <c r="BB102" s="27">
        <f t="shared" si="159"/>
        <v>0</v>
      </c>
      <c r="BC102" s="27">
        <f t="shared" si="160"/>
        <v>0</v>
      </c>
      <c r="BD102" s="27">
        <f t="shared" si="161"/>
        <v>0</v>
      </c>
      <c r="BE102" s="27">
        <f t="shared" si="162"/>
        <v>0</v>
      </c>
      <c r="BF102" s="27">
        <f t="shared" si="163"/>
        <v>0</v>
      </c>
      <c r="BG102" s="27">
        <f t="shared" si="164"/>
        <v>0</v>
      </c>
      <c r="BH102" s="27">
        <f t="shared" si="165"/>
        <v>0</v>
      </c>
      <c r="BI102" s="27">
        <f t="shared" si="170"/>
        <v>0</v>
      </c>
      <c r="BJ102" s="27">
        <f t="shared" si="171"/>
        <v>0</v>
      </c>
    </row>
    <row r="103" spans="1:62">
      <c r="B103" t="s">
        <v>33</v>
      </c>
      <c r="C103" s="30"/>
      <c r="D103" s="30"/>
      <c r="E103" s="30"/>
      <c r="F103" s="30"/>
      <c r="G103" s="30"/>
      <c r="H103" s="30"/>
      <c r="I103" s="30"/>
      <c r="J103" s="30"/>
      <c r="K103" t="s">
        <v>49</v>
      </c>
      <c r="AI103" s="11">
        <f t="shared" si="143"/>
        <v>0</v>
      </c>
      <c r="AJ103" s="11">
        <f t="shared" si="144"/>
        <v>0</v>
      </c>
      <c r="AK103" s="11">
        <f t="shared" si="145"/>
        <v>0</v>
      </c>
      <c r="AL103" s="11">
        <f t="shared" si="146"/>
        <v>0</v>
      </c>
      <c r="AM103" s="11">
        <f t="shared" si="147"/>
        <v>0</v>
      </c>
      <c r="AN103" s="11">
        <f t="shared" si="148"/>
        <v>0</v>
      </c>
    </row>
    <row r="104" spans="1:62" ht="22.5">
      <c r="A104" s="6" t="s">
        <v>10</v>
      </c>
      <c r="B104" s="7"/>
      <c r="C104" s="25">
        <v>0</v>
      </c>
      <c r="D104" s="28">
        <v>1</v>
      </c>
      <c r="E104" s="28"/>
      <c r="F104" s="28"/>
      <c r="G104" s="28"/>
      <c r="H104" s="28"/>
      <c r="I104" s="28"/>
      <c r="J104" s="28"/>
      <c r="K104" s="29"/>
      <c r="L104" s="25">
        <v>0</v>
      </c>
      <c r="M104" s="28">
        <v>1</v>
      </c>
      <c r="N104" s="28"/>
      <c r="O104" s="28"/>
      <c r="P104" s="28"/>
      <c r="Q104" s="28"/>
      <c r="R104" s="28"/>
      <c r="S104" s="28"/>
      <c r="U104" s="9">
        <f t="shared" ref="U104:U117" si="175">IF(MATCH(1,C104:J104,0)=MATCH(1,L104:S104,0),1,0)</f>
        <v>1</v>
      </c>
      <c r="V104" s="1">
        <f>(1-W104)*Y104</f>
        <v>2.564102564102564E-2</v>
      </c>
      <c r="W104" s="11">
        <f>BI104</f>
        <v>0</v>
      </c>
      <c r="X104" s="9">
        <v>1</v>
      </c>
      <c r="Y104" s="10">
        <f>X104/SUM($X$2:$X$17)</f>
        <v>2.564102564102564E-2</v>
      </c>
      <c r="Z104" s="18">
        <v>0</v>
      </c>
      <c r="AA104" s="18">
        <v>1</v>
      </c>
      <c r="AB104" s="18"/>
      <c r="AC104" s="18"/>
      <c r="AD104" s="18"/>
      <c r="AE104" s="18"/>
      <c r="AF104" s="18"/>
      <c r="AG104" s="18"/>
      <c r="AH104" s="12"/>
      <c r="AI104" s="18">
        <f t="shared" ref="AI104:AI120" si="176">C104*Z104</f>
        <v>0</v>
      </c>
      <c r="AJ104" s="18">
        <f t="shared" ref="AJ104:AJ120" si="177">D104*AA104</f>
        <v>1</v>
      </c>
      <c r="AK104" s="18">
        <f t="shared" ref="AK104:AK120" si="178">E104*AB104</f>
        <v>0</v>
      </c>
      <c r="AL104" s="18">
        <f t="shared" ref="AL104:AL120" si="179">F104*AC104</f>
        <v>0</v>
      </c>
      <c r="AM104" s="18">
        <f t="shared" ref="AM104:AM120" si="180">G104*AD104</f>
        <v>0</v>
      </c>
      <c r="AN104" s="18">
        <f t="shared" ref="AN104:AN120" si="181">H104*AE104</f>
        <v>0</v>
      </c>
      <c r="AO104" s="18">
        <f t="shared" ref="AO104:AO119" si="182">I104*AF104</f>
        <v>0</v>
      </c>
      <c r="AP104" s="18">
        <f t="shared" ref="AP104:AP119" si="183">J104*AG104</f>
        <v>0</v>
      </c>
      <c r="AQ104" s="9"/>
      <c r="AR104" s="18">
        <f t="shared" ref="AR104:AR119" si="184">L104*Z104</f>
        <v>0</v>
      </c>
      <c r="AS104" s="18">
        <f t="shared" ref="AS104:AS119" si="185">M104*AA104</f>
        <v>1</v>
      </c>
      <c r="AT104" s="18">
        <f t="shared" ref="AT104:AT119" si="186">N104*AB104</f>
        <v>0</v>
      </c>
      <c r="AU104" s="18">
        <f t="shared" ref="AU104:AU119" si="187">O104*AC104</f>
        <v>0</v>
      </c>
      <c r="AV104" s="18">
        <f t="shared" ref="AV104:AV117" si="188">P104*AD104</f>
        <v>0</v>
      </c>
      <c r="AW104" s="18">
        <f t="shared" ref="AW104:AW119" si="189">Q104*AE104</f>
        <v>0</v>
      </c>
      <c r="AX104" s="18">
        <f t="shared" ref="AX104:AX119" si="190">R104*AF104</f>
        <v>0</v>
      </c>
      <c r="AY104" s="18">
        <f t="shared" ref="AY104:AY119" si="191">S104*AG104</f>
        <v>0</v>
      </c>
      <c r="BA104" s="27">
        <f>(AI104-AR104)</f>
        <v>0</v>
      </c>
      <c r="BB104" s="27">
        <f t="shared" ref="BB104:BB119" si="192">(AJ104-AS104)</f>
        <v>0</v>
      </c>
      <c r="BC104" s="27">
        <f t="shared" ref="BC104:BC119" si="193">(AK104-AT104)</f>
        <v>0</v>
      </c>
      <c r="BD104" s="27">
        <f t="shared" ref="BD104:BD119" si="194">(AL104-AU104)</f>
        <v>0</v>
      </c>
      <c r="BE104" s="27">
        <f t="shared" ref="BE104:BE119" si="195">(AM104-AV104)</f>
        <v>0</v>
      </c>
      <c r="BF104" s="27">
        <f t="shared" ref="BF104:BF119" si="196">(AN104-AW104)</f>
        <v>0</v>
      </c>
      <c r="BG104" s="27">
        <f t="shared" ref="BG104:BG119" si="197">(AO104-AX104)</f>
        <v>0</v>
      </c>
      <c r="BH104" s="27">
        <f t="shared" ref="BH104:BH119" si="198">(AP104-AY104)</f>
        <v>0</v>
      </c>
      <c r="BI104" s="27">
        <f>ABS(SUM(BA104:BH104))</f>
        <v>0</v>
      </c>
      <c r="BJ104" s="27">
        <f>BI104*Y104</f>
        <v>0</v>
      </c>
    </row>
    <row r="105" spans="1:62" ht="22.5">
      <c r="A105" s="6" t="s">
        <v>11</v>
      </c>
      <c r="B105" s="7"/>
      <c r="C105" s="25">
        <v>0</v>
      </c>
      <c r="D105" s="28">
        <v>1</v>
      </c>
      <c r="E105" s="28"/>
      <c r="F105" s="28"/>
      <c r="G105" s="28"/>
      <c r="H105" s="28"/>
      <c r="I105" s="28"/>
      <c r="J105" s="28"/>
      <c r="K105" s="29"/>
      <c r="L105" s="25">
        <v>0</v>
      </c>
      <c r="M105" s="28">
        <v>1</v>
      </c>
      <c r="N105" s="28"/>
      <c r="O105" s="28"/>
      <c r="P105" s="28"/>
      <c r="Q105" s="28"/>
      <c r="R105" s="28"/>
      <c r="S105" s="28"/>
      <c r="U105" s="9">
        <f t="shared" si="175"/>
        <v>1</v>
      </c>
      <c r="V105" s="1">
        <f t="shared" ref="V105:V114" si="199">(1-W105)*Y105</f>
        <v>2.564102564102564E-2</v>
      </c>
      <c r="W105" s="11">
        <f t="shared" ref="W105:W117" si="200">BI105</f>
        <v>0</v>
      </c>
      <c r="X105" s="9">
        <v>1</v>
      </c>
      <c r="Y105" s="10">
        <f t="shared" ref="Y105:Y119" si="201">X105/SUM($X$2:$X$17)</f>
        <v>2.564102564102564E-2</v>
      </c>
      <c r="Z105" s="18">
        <v>0</v>
      </c>
      <c r="AA105" s="18">
        <v>1</v>
      </c>
      <c r="AB105" s="18"/>
      <c r="AC105" s="18"/>
      <c r="AD105" s="18"/>
      <c r="AE105" s="18"/>
      <c r="AF105" s="18"/>
      <c r="AG105" s="18"/>
      <c r="AH105" s="12"/>
      <c r="AI105" s="18">
        <f t="shared" si="176"/>
        <v>0</v>
      </c>
      <c r="AJ105" s="18">
        <f t="shared" si="177"/>
        <v>1</v>
      </c>
      <c r="AK105" s="18">
        <f t="shared" si="178"/>
        <v>0</v>
      </c>
      <c r="AL105" s="18">
        <f t="shared" si="179"/>
        <v>0</v>
      </c>
      <c r="AM105" s="18">
        <f t="shared" si="180"/>
        <v>0</v>
      </c>
      <c r="AN105" s="18">
        <f t="shared" si="181"/>
        <v>0</v>
      </c>
      <c r="AO105" s="18">
        <f t="shared" si="182"/>
        <v>0</v>
      </c>
      <c r="AP105" s="18">
        <f t="shared" si="183"/>
        <v>0</v>
      </c>
      <c r="AQ105" s="9"/>
      <c r="AR105" s="18">
        <f t="shared" si="184"/>
        <v>0</v>
      </c>
      <c r="AS105" s="18">
        <f t="shared" si="185"/>
        <v>1</v>
      </c>
      <c r="AT105" s="18">
        <f t="shared" si="186"/>
        <v>0</v>
      </c>
      <c r="AU105" s="18">
        <f t="shared" si="187"/>
        <v>0</v>
      </c>
      <c r="AV105" s="18">
        <f t="shared" si="188"/>
        <v>0</v>
      </c>
      <c r="AW105" s="18">
        <f t="shared" si="189"/>
        <v>0</v>
      </c>
      <c r="AX105" s="18">
        <f t="shared" si="190"/>
        <v>0</v>
      </c>
      <c r="AY105" s="18">
        <f t="shared" si="191"/>
        <v>0</v>
      </c>
      <c r="BA105" s="27">
        <f t="shared" ref="BA105:BA118" si="202">(AI105-AR105)</f>
        <v>0</v>
      </c>
      <c r="BB105" s="27">
        <f t="shared" si="192"/>
        <v>0</v>
      </c>
      <c r="BC105" s="27">
        <f t="shared" si="193"/>
        <v>0</v>
      </c>
      <c r="BD105" s="27">
        <f t="shared" si="194"/>
        <v>0</v>
      </c>
      <c r="BE105" s="27">
        <f t="shared" si="195"/>
        <v>0</v>
      </c>
      <c r="BF105" s="27">
        <f t="shared" si="196"/>
        <v>0</v>
      </c>
      <c r="BG105" s="27">
        <f t="shared" si="197"/>
        <v>0</v>
      </c>
      <c r="BH105" s="27">
        <f t="shared" si="198"/>
        <v>0</v>
      </c>
      <c r="BI105" s="27">
        <f t="shared" ref="BI105:BI119" si="203">ABS(SUM(BA105:BH105))</f>
        <v>0</v>
      </c>
      <c r="BJ105" s="27">
        <f t="shared" ref="BJ105:BJ119" si="204">BI105*Y105</f>
        <v>0</v>
      </c>
    </row>
    <row r="106" spans="1:62" s="22" customFormat="1" ht="22.5">
      <c r="A106" s="8" t="s">
        <v>12</v>
      </c>
      <c r="B106" s="21"/>
      <c r="C106" s="25">
        <v>0</v>
      </c>
      <c r="D106" s="25">
        <v>1</v>
      </c>
      <c r="E106" s="25">
        <v>0</v>
      </c>
      <c r="F106" s="28">
        <v>0</v>
      </c>
      <c r="G106" s="28"/>
      <c r="H106" s="28"/>
      <c r="I106" s="28"/>
      <c r="J106" s="28"/>
      <c r="K106" s="29"/>
      <c r="L106" s="25">
        <v>0</v>
      </c>
      <c r="M106" s="25">
        <v>1</v>
      </c>
      <c r="N106" s="25">
        <v>0</v>
      </c>
      <c r="O106" s="28">
        <v>0</v>
      </c>
      <c r="P106" s="28"/>
      <c r="Q106" s="28"/>
      <c r="R106" s="28"/>
      <c r="S106" s="28"/>
      <c r="T106"/>
      <c r="U106" s="23">
        <f t="shared" si="175"/>
        <v>1</v>
      </c>
      <c r="V106" s="1">
        <f t="shared" si="199"/>
        <v>7.6923076923076927E-2</v>
      </c>
      <c r="W106" s="11">
        <f t="shared" si="200"/>
        <v>0</v>
      </c>
      <c r="X106" s="23">
        <v>3</v>
      </c>
      <c r="Y106" s="24">
        <f t="shared" si="201"/>
        <v>7.6923076923076927E-2</v>
      </c>
      <c r="Z106" s="18">
        <v>0</v>
      </c>
      <c r="AA106" s="18">
        <v>0.3</v>
      </c>
      <c r="AB106" s="18">
        <v>0.8</v>
      </c>
      <c r="AC106" s="18">
        <v>1</v>
      </c>
      <c r="AD106" s="18"/>
      <c r="AE106" s="18"/>
      <c r="AF106" s="18"/>
      <c r="AG106" s="18"/>
      <c r="AH106" s="12"/>
      <c r="AI106" s="18">
        <f t="shared" si="176"/>
        <v>0</v>
      </c>
      <c r="AJ106" s="18">
        <f t="shared" si="177"/>
        <v>0.3</v>
      </c>
      <c r="AK106" s="18">
        <f t="shared" si="178"/>
        <v>0</v>
      </c>
      <c r="AL106" s="18">
        <f t="shared" si="179"/>
        <v>0</v>
      </c>
      <c r="AM106" s="18">
        <f t="shared" si="180"/>
        <v>0</v>
      </c>
      <c r="AN106" s="18">
        <f t="shared" si="181"/>
        <v>0</v>
      </c>
      <c r="AO106" s="18">
        <f t="shared" si="182"/>
        <v>0</v>
      </c>
      <c r="AP106" s="18">
        <f t="shared" si="183"/>
        <v>0</v>
      </c>
      <c r="AQ106" s="23"/>
      <c r="AR106" s="18">
        <f t="shared" si="184"/>
        <v>0</v>
      </c>
      <c r="AS106" s="18">
        <f t="shared" si="185"/>
        <v>0.3</v>
      </c>
      <c r="AT106" s="18">
        <f t="shared" si="186"/>
        <v>0</v>
      </c>
      <c r="AU106" s="18">
        <f t="shared" si="187"/>
        <v>0</v>
      </c>
      <c r="AV106" s="18">
        <f t="shared" si="188"/>
        <v>0</v>
      </c>
      <c r="AW106" s="18">
        <f t="shared" si="189"/>
        <v>0</v>
      </c>
      <c r="AX106" s="18">
        <f t="shared" si="190"/>
        <v>0</v>
      </c>
      <c r="AY106" s="18">
        <f t="shared" si="191"/>
        <v>0</v>
      </c>
      <c r="BA106" s="27">
        <f t="shared" si="202"/>
        <v>0</v>
      </c>
      <c r="BB106" s="27">
        <f t="shared" si="192"/>
        <v>0</v>
      </c>
      <c r="BC106" s="27">
        <f t="shared" si="193"/>
        <v>0</v>
      </c>
      <c r="BD106" s="27">
        <f t="shared" si="194"/>
        <v>0</v>
      </c>
      <c r="BE106" s="27">
        <f t="shared" si="195"/>
        <v>0</v>
      </c>
      <c r="BF106" s="27">
        <f t="shared" si="196"/>
        <v>0</v>
      </c>
      <c r="BG106" s="27">
        <f t="shared" si="197"/>
        <v>0</v>
      </c>
      <c r="BH106" s="27">
        <f t="shared" si="198"/>
        <v>0</v>
      </c>
      <c r="BI106" s="27">
        <f t="shared" si="203"/>
        <v>0</v>
      </c>
      <c r="BJ106" s="27">
        <f t="shared" si="204"/>
        <v>0</v>
      </c>
    </row>
    <row r="107" spans="1:62" s="22" customFormat="1" ht="22.5">
      <c r="A107" s="8" t="s">
        <v>13</v>
      </c>
      <c r="B107" s="21"/>
      <c r="C107" s="25">
        <v>0</v>
      </c>
      <c r="D107" s="25">
        <v>0</v>
      </c>
      <c r="E107" s="25">
        <v>0</v>
      </c>
      <c r="F107" s="28">
        <v>1</v>
      </c>
      <c r="G107" s="28"/>
      <c r="H107" s="28"/>
      <c r="I107" s="28"/>
      <c r="J107" s="28"/>
      <c r="K107" s="29"/>
      <c r="L107" s="25">
        <v>0</v>
      </c>
      <c r="M107" s="25">
        <v>0</v>
      </c>
      <c r="N107" s="25">
        <v>0</v>
      </c>
      <c r="O107" s="28">
        <v>1</v>
      </c>
      <c r="P107" s="28"/>
      <c r="Q107" s="28"/>
      <c r="R107" s="28"/>
      <c r="S107" s="28"/>
      <c r="T107"/>
      <c r="U107" s="23">
        <f t="shared" si="175"/>
        <v>1</v>
      </c>
      <c r="V107" s="1">
        <f t="shared" si="199"/>
        <v>2.564102564102564E-2</v>
      </c>
      <c r="W107" s="11">
        <f t="shared" si="200"/>
        <v>0</v>
      </c>
      <c r="X107" s="23">
        <v>1</v>
      </c>
      <c r="Y107" s="24">
        <f t="shared" si="201"/>
        <v>2.564102564102564E-2</v>
      </c>
      <c r="Z107" s="18">
        <v>0</v>
      </c>
      <c r="AA107" s="18">
        <v>0.3</v>
      </c>
      <c r="AB107" s="18">
        <v>0.8</v>
      </c>
      <c r="AC107" s="18">
        <v>1</v>
      </c>
      <c r="AD107" s="18"/>
      <c r="AE107" s="18"/>
      <c r="AF107" s="18"/>
      <c r="AG107" s="18"/>
      <c r="AH107" s="12"/>
      <c r="AI107" s="18">
        <f t="shared" si="176"/>
        <v>0</v>
      </c>
      <c r="AJ107" s="18">
        <f t="shared" si="177"/>
        <v>0</v>
      </c>
      <c r="AK107" s="18">
        <f t="shared" si="178"/>
        <v>0</v>
      </c>
      <c r="AL107" s="18">
        <f t="shared" si="179"/>
        <v>1</v>
      </c>
      <c r="AM107" s="18">
        <f t="shared" si="180"/>
        <v>0</v>
      </c>
      <c r="AN107" s="18">
        <f t="shared" si="181"/>
        <v>0</v>
      </c>
      <c r="AO107" s="18">
        <f t="shared" si="182"/>
        <v>0</v>
      </c>
      <c r="AP107" s="18">
        <f t="shared" si="183"/>
        <v>0</v>
      </c>
      <c r="AQ107" s="23"/>
      <c r="AR107" s="18">
        <f t="shared" si="184"/>
        <v>0</v>
      </c>
      <c r="AS107" s="18">
        <f t="shared" si="185"/>
        <v>0</v>
      </c>
      <c r="AT107" s="18">
        <f t="shared" si="186"/>
        <v>0</v>
      </c>
      <c r="AU107" s="18">
        <f t="shared" si="187"/>
        <v>1</v>
      </c>
      <c r="AV107" s="18">
        <f t="shared" si="188"/>
        <v>0</v>
      </c>
      <c r="AW107" s="18">
        <f t="shared" si="189"/>
        <v>0</v>
      </c>
      <c r="AX107" s="18">
        <f t="shared" si="190"/>
        <v>0</v>
      </c>
      <c r="AY107" s="18">
        <f t="shared" si="191"/>
        <v>0</v>
      </c>
      <c r="BA107" s="27">
        <f t="shared" si="202"/>
        <v>0</v>
      </c>
      <c r="BB107" s="27">
        <f t="shared" si="192"/>
        <v>0</v>
      </c>
      <c r="BC107" s="27">
        <f t="shared" si="193"/>
        <v>0</v>
      </c>
      <c r="BD107" s="27">
        <f t="shared" si="194"/>
        <v>0</v>
      </c>
      <c r="BE107" s="27">
        <f t="shared" si="195"/>
        <v>0</v>
      </c>
      <c r="BF107" s="27">
        <f t="shared" si="196"/>
        <v>0</v>
      </c>
      <c r="BG107" s="27">
        <f t="shared" si="197"/>
        <v>0</v>
      </c>
      <c r="BH107" s="27">
        <f t="shared" si="198"/>
        <v>0</v>
      </c>
      <c r="BI107" s="27">
        <f t="shared" si="203"/>
        <v>0</v>
      </c>
      <c r="BJ107" s="27">
        <f t="shared" si="204"/>
        <v>0</v>
      </c>
    </row>
    <row r="108" spans="1:62" s="22" customFormat="1" ht="22.5">
      <c r="A108" s="8" t="s">
        <v>14</v>
      </c>
      <c r="B108" s="21"/>
      <c r="C108" s="25">
        <v>0</v>
      </c>
      <c r="D108" s="25">
        <v>0</v>
      </c>
      <c r="E108" s="25">
        <v>1</v>
      </c>
      <c r="F108" s="28">
        <v>0</v>
      </c>
      <c r="G108" s="28"/>
      <c r="H108" s="28"/>
      <c r="I108" s="28"/>
      <c r="J108" s="28"/>
      <c r="K108" s="29"/>
      <c r="L108" s="25">
        <v>0</v>
      </c>
      <c r="M108" s="25">
        <v>0</v>
      </c>
      <c r="N108" s="25">
        <v>1</v>
      </c>
      <c r="O108" s="28">
        <v>0</v>
      </c>
      <c r="P108" s="28"/>
      <c r="Q108" s="28"/>
      <c r="R108" s="28"/>
      <c r="S108" s="28"/>
      <c r="T108"/>
      <c r="U108" s="23">
        <f t="shared" si="175"/>
        <v>1</v>
      </c>
      <c r="V108" s="1">
        <f t="shared" si="199"/>
        <v>2.564102564102564E-2</v>
      </c>
      <c r="W108" s="11">
        <f t="shared" si="200"/>
        <v>0</v>
      </c>
      <c r="X108" s="23">
        <v>1</v>
      </c>
      <c r="Y108" s="24">
        <f t="shared" si="201"/>
        <v>2.564102564102564E-2</v>
      </c>
      <c r="Z108" s="18">
        <v>0</v>
      </c>
      <c r="AA108" s="18">
        <v>0.3</v>
      </c>
      <c r="AB108" s="18">
        <v>0.8</v>
      </c>
      <c r="AC108" s="18">
        <v>1</v>
      </c>
      <c r="AD108" s="18"/>
      <c r="AE108" s="18"/>
      <c r="AF108" s="18"/>
      <c r="AG108" s="18"/>
      <c r="AH108" s="12"/>
      <c r="AI108" s="18">
        <f t="shared" si="176"/>
        <v>0</v>
      </c>
      <c r="AJ108" s="18">
        <f t="shared" si="177"/>
        <v>0</v>
      </c>
      <c r="AK108" s="18">
        <f t="shared" si="178"/>
        <v>0.8</v>
      </c>
      <c r="AL108" s="18">
        <f t="shared" si="179"/>
        <v>0</v>
      </c>
      <c r="AM108" s="18">
        <f t="shared" si="180"/>
        <v>0</v>
      </c>
      <c r="AN108" s="18">
        <f t="shared" si="181"/>
        <v>0</v>
      </c>
      <c r="AO108" s="18">
        <f t="shared" si="182"/>
        <v>0</v>
      </c>
      <c r="AP108" s="18">
        <f t="shared" si="183"/>
        <v>0</v>
      </c>
      <c r="AQ108" s="23"/>
      <c r="AR108" s="18">
        <f t="shared" si="184"/>
        <v>0</v>
      </c>
      <c r="AS108" s="18">
        <f t="shared" si="185"/>
        <v>0</v>
      </c>
      <c r="AT108" s="18">
        <f t="shared" si="186"/>
        <v>0.8</v>
      </c>
      <c r="AU108" s="18">
        <f t="shared" si="187"/>
        <v>0</v>
      </c>
      <c r="AV108" s="18">
        <f t="shared" si="188"/>
        <v>0</v>
      </c>
      <c r="AW108" s="18">
        <f t="shared" si="189"/>
        <v>0</v>
      </c>
      <c r="AX108" s="18">
        <f t="shared" si="190"/>
        <v>0</v>
      </c>
      <c r="AY108" s="18">
        <f t="shared" si="191"/>
        <v>0</v>
      </c>
      <c r="BA108" s="27">
        <f t="shared" si="202"/>
        <v>0</v>
      </c>
      <c r="BB108" s="27">
        <f t="shared" si="192"/>
        <v>0</v>
      </c>
      <c r="BC108" s="27">
        <f t="shared" si="193"/>
        <v>0</v>
      </c>
      <c r="BD108" s="27">
        <f t="shared" si="194"/>
        <v>0</v>
      </c>
      <c r="BE108" s="27">
        <f t="shared" si="195"/>
        <v>0</v>
      </c>
      <c r="BF108" s="27">
        <f t="shared" si="196"/>
        <v>0</v>
      </c>
      <c r="BG108" s="27">
        <f t="shared" si="197"/>
        <v>0</v>
      </c>
      <c r="BH108" s="27">
        <f t="shared" si="198"/>
        <v>0</v>
      </c>
      <c r="BI108" s="27">
        <f t="shared" si="203"/>
        <v>0</v>
      </c>
      <c r="BJ108" s="27">
        <f t="shared" si="204"/>
        <v>0</v>
      </c>
    </row>
    <row r="109" spans="1:62" s="22" customFormat="1" ht="22.5">
      <c r="A109" s="8" t="s">
        <v>15</v>
      </c>
      <c r="B109" s="21"/>
      <c r="C109" s="25">
        <v>0</v>
      </c>
      <c r="D109" s="25">
        <v>1</v>
      </c>
      <c r="E109" s="25">
        <v>0</v>
      </c>
      <c r="F109" s="28">
        <v>0</v>
      </c>
      <c r="G109" s="28"/>
      <c r="H109" s="28"/>
      <c r="I109" s="28"/>
      <c r="J109" s="28"/>
      <c r="K109" s="29"/>
      <c r="L109" s="25">
        <v>0</v>
      </c>
      <c r="M109" s="25">
        <v>1</v>
      </c>
      <c r="N109" s="25">
        <v>0</v>
      </c>
      <c r="O109" s="28">
        <v>0</v>
      </c>
      <c r="P109" s="28"/>
      <c r="Q109" s="28"/>
      <c r="R109" s="28"/>
      <c r="S109" s="28"/>
      <c r="T109"/>
      <c r="U109" s="23">
        <f t="shared" si="175"/>
        <v>1</v>
      </c>
      <c r="V109" s="1">
        <f t="shared" si="199"/>
        <v>7.6923076923076927E-2</v>
      </c>
      <c r="W109" s="11">
        <f t="shared" si="200"/>
        <v>0</v>
      </c>
      <c r="X109" s="23">
        <v>3</v>
      </c>
      <c r="Y109" s="24">
        <f t="shared" si="201"/>
        <v>7.6923076923076927E-2</v>
      </c>
      <c r="Z109" s="18">
        <v>0</v>
      </c>
      <c r="AA109" s="18">
        <v>0.3</v>
      </c>
      <c r="AB109" s="18">
        <v>0.8</v>
      </c>
      <c r="AC109" s="18">
        <v>1</v>
      </c>
      <c r="AD109" s="18"/>
      <c r="AE109" s="18"/>
      <c r="AF109" s="18"/>
      <c r="AG109" s="18"/>
      <c r="AH109" s="12"/>
      <c r="AI109" s="18">
        <f t="shared" si="176"/>
        <v>0</v>
      </c>
      <c r="AJ109" s="18">
        <f t="shared" si="177"/>
        <v>0.3</v>
      </c>
      <c r="AK109" s="18">
        <f t="shared" si="178"/>
        <v>0</v>
      </c>
      <c r="AL109" s="18">
        <f t="shared" si="179"/>
        <v>0</v>
      </c>
      <c r="AM109" s="18">
        <f t="shared" si="180"/>
        <v>0</v>
      </c>
      <c r="AN109" s="18">
        <f t="shared" si="181"/>
        <v>0</v>
      </c>
      <c r="AO109" s="18">
        <f t="shared" si="182"/>
        <v>0</v>
      </c>
      <c r="AP109" s="18">
        <f t="shared" si="183"/>
        <v>0</v>
      </c>
      <c r="AQ109" s="23"/>
      <c r="AR109" s="18">
        <f t="shared" si="184"/>
        <v>0</v>
      </c>
      <c r="AS109" s="18">
        <f t="shared" si="185"/>
        <v>0.3</v>
      </c>
      <c r="AT109" s="18">
        <f t="shared" si="186"/>
        <v>0</v>
      </c>
      <c r="AU109" s="18">
        <f t="shared" si="187"/>
        <v>0</v>
      </c>
      <c r="AV109" s="18">
        <f t="shared" si="188"/>
        <v>0</v>
      </c>
      <c r="AW109" s="18">
        <f t="shared" si="189"/>
        <v>0</v>
      </c>
      <c r="AX109" s="18">
        <f t="shared" si="190"/>
        <v>0</v>
      </c>
      <c r="AY109" s="18">
        <f t="shared" si="191"/>
        <v>0</v>
      </c>
      <c r="BA109" s="27">
        <f t="shared" si="202"/>
        <v>0</v>
      </c>
      <c r="BB109" s="27">
        <f t="shared" si="192"/>
        <v>0</v>
      </c>
      <c r="BC109" s="27">
        <f t="shared" si="193"/>
        <v>0</v>
      </c>
      <c r="BD109" s="27">
        <f t="shared" si="194"/>
        <v>0</v>
      </c>
      <c r="BE109" s="27">
        <f t="shared" si="195"/>
        <v>0</v>
      </c>
      <c r="BF109" s="27">
        <f t="shared" si="196"/>
        <v>0</v>
      </c>
      <c r="BG109" s="27">
        <f t="shared" si="197"/>
        <v>0</v>
      </c>
      <c r="BH109" s="27">
        <f t="shared" si="198"/>
        <v>0</v>
      </c>
      <c r="BI109" s="27">
        <f t="shared" si="203"/>
        <v>0</v>
      </c>
      <c r="BJ109" s="27">
        <f t="shared" si="204"/>
        <v>0</v>
      </c>
    </row>
    <row r="110" spans="1:62" s="22" customFormat="1" ht="22.5">
      <c r="A110" s="8" t="s">
        <v>16</v>
      </c>
      <c r="B110" s="21"/>
      <c r="C110" s="25">
        <v>1</v>
      </c>
      <c r="D110" s="25">
        <v>0</v>
      </c>
      <c r="E110" s="25">
        <v>0</v>
      </c>
      <c r="F110" s="28">
        <v>0</v>
      </c>
      <c r="G110" s="28"/>
      <c r="H110" s="28"/>
      <c r="I110" s="28"/>
      <c r="J110" s="28"/>
      <c r="K110" s="29"/>
      <c r="L110" s="25">
        <v>1</v>
      </c>
      <c r="M110" s="25">
        <v>0</v>
      </c>
      <c r="N110" s="25">
        <v>0</v>
      </c>
      <c r="O110" s="28">
        <v>0</v>
      </c>
      <c r="P110" s="28"/>
      <c r="Q110" s="28"/>
      <c r="R110" s="28"/>
      <c r="S110" s="28"/>
      <c r="T110"/>
      <c r="U110" s="23">
        <f t="shared" si="175"/>
        <v>1</v>
      </c>
      <c r="V110" s="1">
        <f t="shared" si="199"/>
        <v>0.12820512820512819</v>
      </c>
      <c r="W110" s="11">
        <f t="shared" si="200"/>
        <v>0</v>
      </c>
      <c r="X110" s="23">
        <v>5</v>
      </c>
      <c r="Y110" s="24">
        <f t="shared" si="201"/>
        <v>0.12820512820512819</v>
      </c>
      <c r="Z110" s="18">
        <v>0</v>
      </c>
      <c r="AA110" s="18">
        <v>0.3</v>
      </c>
      <c r="AB110" s="18">
        <v>0.8</v>
      </c>
      <c r="AC110" s="18">
        <v>1</v>
      </c>
      <c r="AD110" s="18"/>
      <c r="AE110" s="18"/>
      <c r="AF110" s="18"/>
      <c r="AG110" s="18"/>
      <c r="AH110" s="12"/>
      <c r="AI110" s="18">
        <f t="shared" si="176"/>
        <v>0</v>
      </c>
      <c r="AJ110" s="18">
        <f t="shared" si="177"/>
        <v>0</v>
      </c>
      <c r="AK110" s="18">
        <f t="shared" si="178"/>
        <v>0</v>
      </c>
      <c r="AL110" s="18">
        <f t="shared" si="179"/>
        <v>0</v>
      </c>
      <c r="AM110" s="18">
        <f t="shared" si="180"/>
        <v>0</v>
      </c>
      <c r="AN110" s="18">
        <f t="shared" si="181"/>
        <v>0</v>
      </c>
      <c r="AO110" s="18">
        <f t="shared" si="182"/>
        <v>0</v>
      </c>
      <c r="AP110" s="18">
        <f t="shared" si="183"/>
        <v>0</v>
      </c>
      <c r="AQ110" s="23"/>
      <c r="AR110" s="18">
        <f t="shared" si="184"/>
        <v>0</v>
      </c>
      <c r="AS110" s="18">
        <f t="shared" si="185"/>
        <v>0</v>
      </c>
      <c r="AT110" s="18">
        <f t="shared" si="186"/>
        <v>0</v>
      </c>
      <c r="AU110" s="18">
        <f t="shared" si="187"/>
        <v>0</v>
      </c>
      <c r="AV110" s="18">
        <f t="shared" si="188"/>
        <v>0</v>
      </c>
      <c r="AW110" s="18">
        <f t="shared" si="189"/>
        <v>0</v>
      </c>
      <c r="AX110" s="18">
        <f t="shared" si="190"/>
        <v>0</v>
      </c>
      <c r="AY110" s="18">
        <f t="shared" si="191"/>
        <v>0</v>
      </c>
      <c r="BA110" s="27">
        <f t="shared" si="202"/>
        <v>0</v>
      </c>
      <c r="BB110" s="27">
        <f t="shared" si="192"/>
        <v>0</v>
      </c>
      <c r="BC110" s="27">
        <f t="shared" si="193"/>
        <v>0</v>
      </c>
      <c r="BD110" s="27">
        <f t="shared" si="194"/>
        <v>0</v>
      </c>
      <c r="BE110" s="27">
        <f t="shared" si="195"/>
        <v>0</v>
      </c>
      <c r="BF110" s="27">
        <f t="shared" si="196"/>
        <v>0</v>
      </c>
      <c r="BG110" s="27">
        <f t="shared" si="197"/>
        <v>0</v>
      </c>
      <c r="BH110" s="27">
        <f t="shared" si="198"/>
        <v>0</v>
      </c>
      <c r="BI110" s="27">
        <f t="shared" si="203"/>
        <v>0</v>
      </c>
      <c r="BJ110" s="27">
        <f t="shared" si="204"/>
        <v>0</v>
      </c>
    </row>
    <row r="111" spans="1:62" ht="22.5">
      <c r="A111" s="4" t="s">
        <v>0</v>
      </c>
      <c r="B111" s="7"/>
      <c r="C111" s="25">
        <v>0</v>
      </c>
      <c r="D111" s="25">
        <v>1</v>
      </c>
      <c r="E111" s="25"/>
      <c r="F111" s="28"/>
      <c r="G111" s="28"/>
      <c r="H111" s="28"/>
      <c r="I111" s="28"/>
      <c r="J111" s="28"/>
      <c r="K111" s="29"/>
      <c r="L111" s="25">
        <v>0</v>
      </c>
      <c r="M111" s="25">
        <v>1</v>
      </c>
      <c r="N111" s="25"/>
      <c r="O111" s="28"/>
      <c r="P111" s="28"/>
      <c r="Q111" s="28"/>
      <c r="R111" s="28"/>
      <c r="S111" s="28"/>
      <c r="U111" s="9">
        <f t="shared" si="175"/>
        <v>1</v>
      </c>
      <c r="V111" s="1">
        <f t="shared" si="199"/>
        <v>2.564102564102564E-2</v>
      </c>
      <c r="W111" s="11">
        <f t="shared" si="200"/>
        <v>0</v>
      </c>
      <c r="X111" s="12">
        <v>1</v>
      </c>
      <c r="Y111" s="10">
        <f t="shared" si="201"/>
        <v>2.564102564102564E-2</v>
      </c>
      <c r="Z111" s="18">
        <v>0</v>
      </c>
      <c r="AA111" s="18">
        <f>IF(M111=1,1,0)</f>
        <v>1</v>
      </c>
      <c r="AB111" s="18">
        <v>0</v>
      </c>
      <c r="AC111" s="18">
        <v>0</v>
      </c>
      <c r="AD111" s="18"/>
      <c r="AE111" s="18"/>
      <c r="AF111" s="18"/>
      <c r="AG111" s="18"/>
      <c r="AH111" s="12"/>
      <c r="AI111" s="18">
        <f t="shared" si="176"/>
        <v>0</v>
      </c>
      <c r="AJ111" s="18">
        <f t="shared" si="177"/>
        <v>1</v>
      </c>
      <c r="AK111" s="18">
        <f t="shared" si="178"/>
        <v>0</v>
      </c>
      <c r="AL111" s="18">
        <f t="shared" si="179"/>
        <v>0</v>
      </c>
      <c r="AM111" s="18">
        <f t="shared" si="180"/>
        <v>0</v>
      </c>
      <c r="AN111" s="18">
        <f t="shared" si="181"/>
        <v>0</v>
      </c>
      <c r="AO111" s="18">
        <f t="shared" si="182"/>
        <v>0</v>
      </c>
      <c r="AP111" s="18">
        <f t="shared" si="183"/>
        <v>0</v>
      </c>
      <c r="AQ111" s="9"/>
      <c r="AR111" s="18">
        <f t="shared" si="184"/>
        <v>0</v>
      </c>
      <c r="AS111" s="18">
        <f t="shared" si="185"/>
        <v>1</v>
      </c>
      <c r="AT111" s="18">
        <f t="shared" si="186"/>
        <v>0</v>
      </c>
      <c r="AU111" s="18">
        <f t="shared" si="187"/>
        <v>0</v>
      </c>
      <c r="AV111" s="18">
        <f t="shared" si="188"/>
        <v>0</v>
      </c>
      <c r="AW111" s="18">
        <f t="shared" si="189"/>
        <v>0</v>
      </c>
      <c r="AX111" s="18">
        <f t="shared" si="190"/>
        <v>0</v>
      </c>
      <c r="AY111" s="18">
        <f t="shared" si="191"/>
        <v>0</v>
      </c>
      <c r="BA111" s="27">
        <f t="shared" si="202"/>
        <v>0</v>
      </c>
      <c r="BB111" s="27">
        <f t="shared" si="192"/>
        <v>0</v>
      </c>
      <c r="BC111" s="27">
        <f t="shared" si="193"/>
        <v>0</v>
      </c>
      <c r="BD111" s="27">
        <f t="shared" si="194"/>
        <v>0</v>
      </c>
      <c r="BE111" s="27">
        <f t="shared" si="195"/>
        <v>0</v>
      </c>
      <c r="BF111" s="27">
        <f t="shared" si="196"/>
        <v>0</v>
      </c>
      <c r="BG111" s="27">
        <f t="shared" si="197"/>
        <v>0</v>
      </c>
      <c r="BH111" s="27">
        <f t="shared" si="198"/>
        <v>0</v>
      </c>
      <c r="BI111" s="27">
        <f t="shared" si="203"/>
        <v>0</v>
      </c>
      <c r="BJ111" s="27">
        <f t="shared" si="204"/>
        <v>0</v>
      </c>
    </row>
    <row r="112" spans="1:62" ht="22.5">
      <c r="A112" s="5" t="s">
        <v>1</v>
      </c>
      <c r="B112" s="7"/>
      <c r="C112" s="25"/>
      <c r="D112" s="25"/>
      <c r="E112" s="25"/>
      <c r="F112" s="25"/>
      <c r="G112" s="25">
        <v>0</v>
      </c>
      <c r="H112" s="25">
        <v>1</v>
      </c>
      <c r="I112" s="28"/>
      <c r="J112" s="28"/>
      <c r="K112" s="29"/>
      <c r="L112" s="25"/>
      <c r="M112" s="25"/>
      <c r="N112" s="25"/>
      <c r="O112" s="25"/>
      <c r="P112" s="25">
        <v>0</v>
      </c>
      <c r="Q112" s="25">
        <v>1</v>
      </c>
      <c r="R112" s="28"/>
      <c r="S112" s="28"/>
      <c r="U112" s="9">
        <f t="shared" si="175"/>
        <v>1</v>
      </c>
      <c r="V112" s="1">
        <f t="shared" si="199"/>
        <v>2.564102564102564E-2</v>
      </c>
      <c r="W112" s="11">
        <f t="shared" si="200"/>
        <v>0</v>
      </c>
      <c r="X112" s="12">
        <v>1</v>
      </c>
      <c r="Y112" s="10">
        <f t="shared" si="201"/>
        <v>2.564102564102564E-2</v>
      </c>
      <c r="Z112" s="18"/>
      <c r="AA112" s="18"/>
      <c r="AB112" s="18"/>
      <c r="AC112" s="18"/>
      <c r="AD112" s="18">
        <v>0</v>
      </c>
      <c r="AE112" s="18">
        <v>1</v>
      </c>
      <c r="AF112" s="18"/>
      <c r="AG112" s="18"/>
      <c r="AH112" s="12"/>
      <c r="AI112" s="18">
        <f t="shared" si="176"/>
        <v>0</v>
      </c>
      <c r="AJ112" s="18">
        <f t="shared" si="177"/>
        <v>0</v>
      </c>
      <c r="AK112" s="18">
        <f t="shared" si="178"/>
        <v>0</v>
      </c>
      <c r="AL112" s="18">
        <f t="shared" si="179"/>
        <v>0</v>
      </c>
      <c r="AM112" s="18">
        <f t="shared" si="180"/>
        <v>0</v>
      </c>
      <c r="AN112" s="18">
        <f t="shared" si="181"/>
        <v>1</v>
      </c>
      <c r="AO112" s="18">
        <f t="shared" si="182"/>
        <v>0</v>
      </c>
      <c r="AP112" s="18">
        <f t="shared" si="183"/>
        <v>0</v>
      </c>
      <c r="AQ112" s="9"/>
      <c r="AR112" s="18">
        <f t="shared" si="184"/>
        <v>0</v>
      </c>
      <c r="AS112" s="18">
        <f t="shared" si="185"/>
        <v>0</v>
      </c>
      <c r="AT112" s="18">
        <f t="shared" si="186"/>
        <v>0</v>
      </c>
      <c r="AU112" s="18">
        <f t="shared" si="187"/>
        <v>0</v>
      </c>
      <c r="AV112" s="18">
        <f t="shared" si="188"/>
        <v>0</v>
      </c>
      <c r="AW112" s="18">
        <f t="shared" si="189"/>
        <v>1</v>
      </c>
      <c r="AX112" s="18">
        <f t="shared" si="190"/>
        <v>0</v>
      </c>
      <c r="AY112" s="18">
        <f t="shared" si="191"/>
        <v>0</v>
      </c>
      <c r="BA112" s="27">
        <f t="shared" si="202"/>
        <v>0</v>
      </c>
      <c r="BB112" s="27">
        <f t="shared" si="192"/>
        <v>0</v>
      </c>
      <c r="BC112" s="27">
        <f t="shared" si="193"/>
        <v>0</v>
      </c>
      <c r="BD112" s="27">
        <f t="shared" si="194"/>
        <v>0</v>
      </c>
      <c r="BE112" s="27">
        <f t="shared" si="195"/>
        <v>0</v>
      </c>
      <c r="BF112" s="27">
        <f t="shared" si="196"/>
        <v>0</v>
      </c>
      <c r="BG112" s="27">
        <f t="shared" si="197"/>
        <v>0</v>
      </c>
      <c r="BH112" s="27">
        <f t="shared" si="198"/>
        <v>0</v>
      </c>
      <c r="BI112" s="27">
        <f t="shared" si="203"/>
        <v>0</v>
      </c>
      <c r="BJ112" s="27">
        <f t="shared" si="204"/>
        <v>0</v>
      </c>
    </row>
    <row r="113" spans="1:62" ht="22.5">
      <c r="A113" s="5" t="s">
        <v>21</v>
      </c>
      <c r="B113" s="7"/>
      <c r="C113" s="25"/>
      <c r="D113" s="25"/>
      <c r="E113" s="25"/>
      <c r="F113" s="25"/>
      <c r="G113" s="25">
        <v>0</v>
      </c>
      <c r="H113" s="25">
        <v>1</v>
      </c>
      <c r="I113" s="28"/>
      <c r="J113" s="28"/>
      <c r="K113" s="29"/>
      <c r="L113" s="25"/>
      <c r="M113" s="25"/>
      <c r="N113" s="25"/>
      <c r="O113" s="25"/>
      <c r="P113" s="25">
        <v>0</v>
      </c>
      <c r="Q113" s="25">
        <v>1</v>
      </c>
      <c r="R113" s="28"/>
      <c r="S113" s="28"/>
      <c r="U113" s="9">
        <f t="shared" si="175"/>
        <v>1</v>
      </c>
      <c r="V113" s="1">
        <f t="shared" si="199"/>
        <v>2.564102564102564E-2</v>
      </c>
      <c r="W113" s="11">
        <f t="shared" si="200"/>
        <v>0</v>
      </c>
      <c r="X113" s="12">
        <v>1</v>
      </c>
      <c r="Y113" s="10">
        <f t="shared" si="201"/>
        <v>2.564102564102564E-2</v>
      </c>
      <c r="Z113" s="18"/>
      <c r="AA113" s="18"/>
      <c r="AB113" s="18"/>
      <c r="AC113" s="18"/>
      <c r="AD113" s="18">
        <v>0</v>
      </c>
      <c r="AE113" s="18">
        <v>1</v>
      </c>
      <c r="AF113" s="18"/>
      <c r="AG113" s="18"/>
      <c r="AH113" s="12"/>
      <c r="AI113" s="18">
        <f t="shared" si="176"/>
        <v>0</v>
      </c>
      <c r="AJ113" s="18">
        <f t="shared" si="177"/>
        <v>0</v>
      </c>
      <c r="AK113" s="18">
        <f t="shared" si="178"/>
        <v>0</v>
      </c>
      <c r="AL113" s="18">
        <f t="shared" si="179"/>
        <v>0</v>
      </c>
      <c r="AM113" s="18">
        <f t="shared" si="180"/>
        <v>0</v>
      </c>
      <c r="AN113" s="18">
        <f t="shared" si="181"/>
        <v>1</v>
      </c>
      <c r="AO113" s="18">
        <f t="shared" si="182"/>
        <v>0</v>
      </c>
      <c r="AP113" s="18">
        <f t="shared" si="183"/>
        <v>0</v>
      </c>
      <c r="AQ113" s="9"/>
      <c r="AR113" s="18">
        <f t="shared" si="184"/>
        <v>0</v>
      </c>
      <c r="AS113" s="18">
        <f t="shared" si="185"/>
        <v>0</v>
      </c>
      <c r="AT113" s="18">
        <f t="shared" si="186"/>
        <v>0</v>
      </c>
      <c r="AU113" s="18">
        <f t="shared" si="187"/>
        <v>0</v>
      </c>
      <c r="AV113" s="18">
        <f t="shared" si="188"/>
        <v>0</v>
      </c>
      <c r="AW113" s="18">
        <f t="shared" si="189"/>
        <v>1</v>
      </c>
      <c r="AX113" s="18">
        <f t="shared" si="190"/>
        <v>0</v>
      </c>
      <c r="AY113" s="18">
        <f t="shared" si="191"/>
        <v>0</v>
      </c>
      <c r="BA113" s="27">
        <f t="shared" si="202"/>
        <v>0</v>
      </c>
      <c r="BB113" s="27">
        <f t="shared" si="192"/>
        <v>0</v>
      </c>
      <c r="BC113" s="27">
        <f t="shared" si="193"/>
        <v>0</v>
      </c>
      <c r="BD113" s="27">
        <f t="shared" si="194"/>
        <v>0</v>
      </c>
      <c r="BE113" s="27">
        <f t="shared" si="195"/>
        <v>0</v>
      </c>
      <c r="BF113" s="27">
        <f t="shared" si="196"/>
        <v>0</v>
      </c>
      <c r="BG113" s="27">
        <f t="shared" si="197"/>
        <v>0</v>
      </c>
      <c r="BH113" s="27">
        <f t="shared" si="198"/>
        <v>0</v>
      </c>
      <c r="BI113" s="27">
        <f t="shared" si="203"/>
        <v>0</v>
      </c>
      <c r="BJ113" s="27">
        <f t="shared" si="204"/>
        <v>0</v>
      </c>
    </row>
    <row r="114" spans="1:62" ht="22.5">
      <c r="A114" s="5" t="s">
        <v>2</v>
      </c>
      <c r="B114" s="7"/>
      <c r="C114" s="25"/>
      <c r="D114" s="25"/>
      <c r="E114" s="25"/>
      <c r="F114" s="25"/>
      <c r="G114" s="25">
        <v>1</v>
      </c>
      <c r="H114" s="25">
        <v>0</v>
      </c>
      <c r="I114" s="28"/>
      <c r="J114" s="28"/>
      <c r="K114" s="29"/>
      <c r="L114" s="25"/>
      <c r="M114" s="25"/>
      <c r="N114" s="25"/>
      <c r="O114" s="25"/>
      <c r="P114" s="25">
        <v>0</v>
      </c>
      <c r="Q114" s="25">
        <v>1</v>
      </c>
      <c r="R114" s="28"/>
      <c r="S114" s="28"/>
      <c r="U114" s="9">
        <f t="shared" si="175"/>
        <v>0</v>
      </c>
      <c r="V114" s="1">
        <f t="shared" si="199"/>
        <v>0</v>
      </c>
      <c r="W114" s="11">
        <f t="shared" si="200"/>
        <v>1</v>
      </c>
      <c r="X114" s="12">
        <v>5</v>
      </c>
      <c r="Y114" s="10">
        <f t="shared" si="201"/>
        <v>0.12820512820512819</v>
      </c>
      <c r="Z114" s="18"/>
      <c r="AA114" s="18"/>
      <c r="AB114" s="18"/>
      <c r="AC114" s="18"/>
      <c r="AD114" s="18">
        <v>0</v>
      </c>
      <c r="AE114" s="18">
        <v>1</v>
      </c>
      <c r="AF114" s="18"/>
      <c r="AG114" s="18"/>
      <c r="AH114" s="12"/>
      <c r="AI114" s="18">
        <f t="shared" si="176"/>
        <v>0</v>
      </c>
      <c r="AJ114" s="18">
        <f t="shared" si="177"/>
        <v>0</v>
      </c>
      <c r="AK114" s="18">
        <f t="shared" si="178"/>
        <v>0</v>
      </c>
      <c r="AL114" s="18">
        <f t="shared" si="179"/>
        <v>0</v>
      </c>
      <c r="AM114" s="18">
        <f t="shared" si="180"/>
        <v>0</v>
      </c>
      <c r="AN114" s="18">
        <f t="shared" si="181"/>
        <v>0</v>
      </c>
      <c r="AO114" s="18">
        <f t="shared" si="182"/>
        <v>0</v>
      </c>
      <c r="AP114" s="18">
        <f t="shared" si="183"/>
        <v>0</v>
      </c>
      <c r="AQ114" s="9"/>
      <c r="AR114" s="18">
        <f t="shared" si="184"/>
        <v>0</v>
      </c>
      <c r="AS114" s="18">
        <f t="shared" si="185"/>
        <v>0</v>
      </c>
      <c r="AT114" s="18">
        <f t="shared" si="186"/>
        <v>0</v>
      </c>
      <c r="AU114" s="18">
        <f t="shared" si="187"/>
        <v>0</v>
      </c>
      <c r="AV114" s="18">
        <f t="shared" si="188"/>
        <v>0</v>
      </c>
      <c r="AW114" s="18">
        <f t="shared" si="189"/>
        <v>1</v>
      </c>
      <c r="AX114" s="18">
        <f t="shared" si="190"/>
        <v>0</v>
      </c>
      <c r="AY114" s="18">
        <f t="shared" si="191"/>
        <v>0</v>
      </c>
      <c r="BA114" s="27">
        <f t="shared" si="202"/>
        <v>0</v>
      </c>
      <c r="BB114" s="27">
        <f t="shared" si="192"/>
        <v>0</v>
      </c>
      <c r="BC114" s="27">
        <f t="shared" si="193"/>
        <v>0</v>
      </c>
      <c r="BD114" s="27">
        <f t="shared" si="194"/>
        <v>0</v>
      </c>
      <c r="BE114" s="27">
        <f t="shared" si="195"/>
        <v>0</v>
      </c>
      <c r="BF114" s="27">
        <f t="shared" si="196"/>
        <v>-1</v>
      </c>
      <c r="BG114" s="27">
        <f t="shared" si="197"/>
        <v>0</v>
      </c>
      <c r="BH114" s="27">
        <f t="shared" si="198"/>
        <v>0</v>
      </c>
      <c r="BI114" s="27">
        <f t="shared" si="203"/>
        <v>1</v>
      </c>
      <c r="BJ114" s="27">
        <f t="shared" si="204"/>
        <v>0.12820512820512819</v>
      </c>
    </row>
    <row r="115" spans="1:62" ht="22.5">
      <c r="A115" s="5" t="s">
        <v>3</v>
      </c>
      <c r="B115" s="7"/>
      <c r="C115" s="25"/>
      <c r="D115" s="25"/>
      <c r="E115" s="25"/>
      <c r="F115" s="25"/>
      <c r="G115" s="25">
        <v>0</v>
      </c>
      <c r="H115" s="25">
        <v>1</v>
      </c>
      <c r="I115" s="28"/>
      <c r="J115" s="28"/>
      <c r="K115" s="29"/>
      <c r="L115" s="25"/>
      <c r="M115" s="25"/>
      <c r="N115" s="25"/>
      <c r="O115" s="25"/>
      <c r="P115" s="25">
        <v>0</v>
      </c>
      <c r="Q115" s="25">
        <v>1</v>
      </c>
      <c r="R115" s="28"/>
      <c r="S115" s="28"/>
      <c r="U115" s="9">
        <f t="shared" si="175"/>
        <v>1</v>
      </c>
      <c r="V115" s="1">
        <f>(1-W115)*Y115</f>
        <v>2.564102564102564E-2</v>
      </c>
      <c r="W115" s="11">
        <f t="shared" si="200"/>
        <v>0</v>
      </c>
      <c r="X115" s="12">
        <v>1</v>
      </c>
      <c r="Y115" s="10">
        <f t="shared" si="201"/>
        <v>2.564102564102564E-2</v>
      </c>
      <c r="Z115" s="18"/>
      <c r="AA115" s="18"/>
      <c r="AB115" s="18"/>
      <c r="AC115" s="18"/>
      <c r="AD115" s="18">
        <v>0</v>
      </c>
      <c r="AE115" s="18">
        <v>1</v>
      </c>
      <c r="AF115" s="18"/>
      <c r="AG115" s="18"/>
      <c r="AH115" s="12"/>
      <c r="AI115" s="18">
        <f t="shared" si="176"/>
        <v>0</v>
      </c>
      <c r="AJ115" s="18">
        <f t="shared" si="177"/>
        <v>0</v>
      </c>
      <c r="AK115" s="18">
        <f t="shared" si="178"/>
        <v>0</v>
      </c>
      <c r="AL115" s="18">
        <f t="shared" si="179"/>
        <v>0</v>
      </c>
      <c r="AM115" s="18">
        <f t="shared" si="180"/>
        <v>0</v>
      </c>
      <c r="AN115" s="18">
        <f t="shared" si="181"/>
        <v>1</v>
      </c>
      <c r="AO115" s="18">
        <f t="shared" si="182"/>
        <v>0</v>
      </c>
      <c r="AP115" s="18">
        <f t="shared" si="183"/>
        <v>0</v>
      </c>
      <c r="AQ115" s="9"/>
      <c r="AR115" s="18">
        <f t="shared" si="184"/>
        <v>0</v>
      </c>
      <c r="AS115" s="18">
        <f t="shared" si="185"/>
        <v>0</v>
      </c>
      <c r="AT115" s="18">
        <f t="shared" si="186"/>
        <v>0</v>
      </c>
      <c r="AU115" s="18">
        <f t="shared" si="187"/>
        <v>0</v>
      </c>
      <c r="AV115" s="18">
        <f t="shared" si="188"/>
        <v>0</v>
      </c>
      <c r="AW115" s="18">
        <f t="shared" si="189"/>
        <v>1</v>
      </c>
      <c r="AX115" s="18">
        <f t="shared" si="190"/>
        <v>0</v>
      </c>
      <c r="AY115" s="18">
        <f t="shared" si="191"/>
        <v>0</v>
      </c>
      <c r="BA115" s="27">
        <f t="shared" si="202"/>
        <v>0</v>
      </c>
      <c r="BB115" s="27">
        <f t="shared" si="192"/>
        <v>0</v>
      </c>
      <c r="BC115" s="27">
        <f t="shared" si="193"/>
        <v>0</v>
      </c>
      <c r="BD115" s="27">
        <f t="shared" si="194"/>
        <v>0</v>
      </c>
      <c r="BE115" s="27">
        <f t="shared" si="195"/>
        <v>0</v>
      </c>
      <c r="BF115" s="27">
        <f t="shared" si="196"/>
        <v>0</v>
      </c>
      <c r="BG115" s="27">
        <f t="shared" si="197"/>
        <v>0</v>
      </c>
      <c r="BH115" s="27">
        <f t="shared" si="198"/>
        <v>0</v>
      </c>
      <c r="BI115" s="27">
        <f t="shared" si="203"/>
        <v>0</v>
      </c>
      <c r="BJ115" s="27">
        <f t="shared" si="204"/>
        <v>0</v>
      </c>
    </row>
    <row r="116" spans="1:62" ht="22.5">
      <c r="A116" s="8" t="s">
        <v>4</v>
      </c>
      <c r="B116" s="7"/>
      <c r="C116" s="25"/>
      <c r="D116" s="25"/>
      <c r="E116" s="25"/>
      <c r="F116" s="25"/>
      <c r="G116" s="25"/>
      <c r="H116" s="25"/>
      <c r="I116" s="25">
        <v>0</v>
      </c>
      <c r="J116" s="25">
        <v>1</v>
      </c>
      <c r="K116" s="29"/>
      <c r="L116" s="25"/>
      <c r="M116" s="25"/>
      <c r="N116" s="25"/>
      <c r="O116" s="25"/>
      <c r="P116" s="25"/>
      <c r="Q116" s="25"/>
      <c r="R116" s="25">
        <v>0</v>
      </c>
      <c r="S116" s="25">
        <v>1</v>
      </c>
      <c r="U116" s="9">
        <f t="shared" si="175"/>
        <v>1</v>
      </c>
      <c r="V116" s="1">
        <f t="shared" ref="V116:V119" si="205">(1-W116)*Y116</f>
        <v>2.564102564102564E-2</v>
      </c>
      <c r="W116" s="11">
        <f t="shared" si="200"/>
        <v>0</v>
      </c>
      <c r="X116" s="12">
        <v>1</v>
      </c>
      <c r="Y116" s="10">
        <f t="shared" si="201"/>
        <v>2.564102564102564E-2</v>
      </c>
      <c r="Z116" s="18"/>
      <c r="AA116" s="18"/>
      <c r="AB116" s="18"/>
      <c r="AC116" s="18"/>
      <c r="AD116" s="18"/>
      <c r="AE116" s="18"/>
      <c r="AF116" s="18">
        <v>0</v>
      </c>
      <c r="AG116" s="18">
        <v>1</v>
      </c>
      <c r="AH116" s="12"/>
      <c r="AI116" s="18">
        <f t="shared" si="176"/>
        <v>0</v>
      </c>
      <c r="AJ116" s="18">
        <f t="shared" si="177"/>
        <v>0</v>
      </c>
      <c r="AK116" s="18">
        <f t="shared" si="178"/>
        <v>0</v>
      </c>
      <c r="AL116" s="18">
        <f t="shared" si="179"/>
        <v>0</v>
      </c>
      <c r="AM116" s="18">
        <f t="shared" si="180"/>
        <v>0</v>
      </c>
      <c r="AN116" s="18">
        <f t="shared" si="181"/>
        <v>0</v>
      </c>
      <c r="AO116" s="18">
        <f t="shared" si="182"/>
        <v>0</v>
      </c>
      <c r="AP116" s="18">
        <f t="shared" si="183"/>
        <v>1</v>
      </c>
      <c r="AQ116" s="9"/>
      <c r="AR116" s="18">
        <f t="shared" si="184"/>
        <v>0</v>
      </c>
      <c r="AS116" s="18">
        <f t="shared" si="185"/>
        <v>0</v>
      </c>
      <c r="AT116" s="18">
        <f t="shared" si="186"/>
        <v>0</v>
      </c>
      <c r="AU116" s="18">
        <f t="shared" si="187"/>
        <v>0</v>
      </c>
      <c r="AV116" s="18">
        <f t="shared" si="188"/>
        <v>0</v>
      </c>
      <c r="AW116" s="18">
        <f t="shared" si="189"/>
        <v>0</v>
      </c>
      <c r="AX116" s="18">
        <f t="shared" si="190"/>
        <v>0</v>
      </c>
      <c r="AY116" s="18">
        <f t="shared" si="191"/>
        <v>1</v>
      </c>
      <c r="BA116" s="27">
        <f t="shared" si="202"/>
        <v>0</v>
      </c>
      <c r="BB116" s="27">
        <f t="shared" si="192"/>
        <v>0</v>
      </c>
      <c r="BC116" s="27">
        <f t="shared" si="193"/>
        <v>0</v>
      </c>
      <c r="BD116" s="27">
        <f t="shared" si="194"/>
        <v>0</v>
      </c>
      <c r="BE116" s="27">
        <f t="shared" si="195"/>
        <v>0</v>
      </c>
      <c r="BF116" s="27">
        <f t="shared" si="196"/>
        <v>0</v>
      </c>
      <c r="BG116" s="27">
        <f t="shared" si="197"/>
        <v>0</v>
      </c>
      <c r="BH116" s="27">
        <f t="shared" si="198"/>
        <v>0</v>
      </c>
      <c r="BI116" s="27">
        <f t="shared" si="203"/>
        <v>0</v>
      </c>
      <c r="BJ116" s="27">
        <f t="shared" si="204"/>
        <v>0</v>
      </c>
    </row>
    <row r="117" spans="1:62" ht="22.5">
      <c r="A117" s="8" t="s">
        <v>22</v>
      </c>
      <c r="B117" s="7"/>
      <c r="C117" s="25"/>
      <c r="D117" s="25"/>
      <c r="E117" s="25"/>
      <c r="F117" s="25"/>
      <c r="G117" s="25"/>
      <c r="H117" s="25"/>
      <c r="I117" s="25">
        <v>0</v>
      </c>
      <c r="J117" s="25">
        <v>1</v>
      </c>
      <c r="K117" s="29"/>
      <c r="L117" s="25"/>
      <c r="M117" s="25"/>
      <c r="N117" s="25"/>
      <c r="O117" s="25"/>
      <c r="P117" s="25"/>
      <c r="Q117" s="25"/>
      <c r="R117" s="25">
        <v>0</v>
      </c>
      <c r="S117" s="25">
        <v>1</v>
      </c>
      <c r="U117" s="9">
        <f t="shared" si="175"/>
        <v>1</v>
      </c>
      <c r="V117" s="1">
        <f t="shared" si="205"/>
        <v>2.564102564102564E-2</v>
      </c>
      <c r="W117" s="11">
        <f t="shared" si="200"/>
        <v>0</v>
      </c>
      <c r="X117" s="12">
        <v>1</v>
      </c>
      <c r="Y117" s="10">
        <f t="shared" si="201"/>
        <v>2.564102564102564E-2</v>
      </c>
      <c r="Z117" s="18"/>
      <c r="AA117" s="18"/>
      <c r="AB117" s="18"/>
      <c r="AC117" s="18"/>
      <c r="AD117" s="18"/>
      <c r="AE117" s="18"/>
      <c r="AF117" s="18">
        <v>0</v>
      </c>
      <c r="AG117" s="18">
        <v>1</v>
      </c>
      <c r="AH117" s="12"/>
      <c r="AI117" s="18">
        <f t="shared" si="176"/>
        <v>0</v>
      </c>
      <c r="AJ117" s="18">
        <f t="shared" si="177"/>
        <v>0</v>
      </c>
      <c r="AK117" s="18">
        <f t="shared" si="178"/>
        <v>0</v>
      </c>
      <c r="AL117" s="18">
        <f t="shared" si="179"/>
        <v>0</v>
      </c>
      <c r="AM117" s="18">
        <f t="shared" si="180"/>
        <v>0</v>
      </c>
      <c r="AN117" s="18">
        <f t="shared" si="181"/>
        <v>0</v>
      </c>
      <c r="AO117" s="18">
        <f t="shared" si="182"/>
        <v>0</v>
      </c>
      <c r="AP117" s="18">
        <f t="shared" si="183"/>
        <v>1</v>
      </c>
      <c r="AQ117" s="9"/>
      <c r="AR117" s="18">
        <f t="shared" si="184"/>
        <v>0</v>
      </c>
      <c r="AS117" s="18">
        <f t="shared" si="185"/>
        <v>0</v>
      </c>
      <c r="AT117" s="18">
        <f t="shared" si="186"/>
        <v>0</v>
      </c>
      <c r="AU117" s="18">
        <f t="shared" si="187"/>
        <v>0</v>
      </c>
      <c r="AV117" s="18">
        <f t="shared" si="188"/>
        <v>0</v>
      </c>
      <c r="AW117" s="18">
        <f t="shared" si="189"/>
        <v>0</v>
      </c>
      <c r="AX117" s="18">
        <f t="shared" si="190"/>
        <v>0</v>
      </c>
      <c r="AY117" s="18">
        <f t="shared" si="191"/>
        <v>1</v>
      </c>
      <c r="BA117" s="27">
        <f t="shared" si="202"/>
        <v>0</v>
      </c>
      <c r="BB117" s="27">
        <f t="shared" si="192"/>
        <v>0</v>
      </c>
      <c r="BC117" s="27">
        <f t="shared" si="193"/>
        <v>0</v>
      </c>
      <c r="BD117" s="27">
        <f t="shared" si="194"/>
        <v>0</v>
      </c>
      <c r="BE117" s="27">
        <f t="shared" si="195"/>
        <v>0</v>
      </c>
      <c r="BF117" s="27">
        <f t="shared" si="196"/>
        <v>0</v>
      </c>
      <c r="BG117" s="27">
        <f t="shared" si="197"/>
        <v>0</v>
      </c>
      <c r="BH117" s="27">
        <f t="shared" si="198"/>
        <v>0</v>
      </c>
      <c r="BI117" s="27">
        <f t="shared" si="203"/>
        <v>0</v>
      </c>
      <c r="BJ117" s="27">
        <f t="shared" si="204"/>
        <v>0</v>
      </c>
    </row>
    <row r="118" spans="1:62" ht="22.5">
      <c r="A118" s="8" t="s">
        <v>23</v>
      </c>
      <c r="B118" s="7"/>
      <c r="C118" s="25"/>
      <c r="D118" s="25"/>
      <c r="E118" s="25"/>
      <c r="F118" s="25"/>
      <c r="G118" s="25"/>
      <c r="H118" s="25"/>
      <c r="I118" s="25">
        <v>0</v>
      </c>
      <c r="J118" s="25">
        <v>1</v>
      </c>
      <c r="K118" s="29"/>
      <c r="L118" s="25"/>
      <c r="M118" s="25"/>
      <c r="N118" s="25"/>
      <c r="O118" s="25"/>
      <c r="P118" s="25"/>
      <c r="Q118" s="25"/>
      <c r="R118" s="25">
        <v>0</v>
      </c>
      <c r="S118" s="25">
        <v>1</v>
      </c>
      <c r="U118" s="9">
        <f>IF(MATCH(1,C118:J118,0)=MATCH(1,L118:S118,0),1,0)</f>
        <v>1</v>
      </c>
      <c r="V118" s="1">
        <f t="shared" si="205"/>
        <v>2.564102564102564E-2</v>
      </c>
      <c r="W118" s="11">
        <f>BI118</f>
        <v>0</v>
      </c>
      <c r="X118" s="12">
        <v>1</v>
      </c>
      <c r="Y118" s="10">
        <f t="shared" si="201"/>
        <v>2.564102564102564E-2</v>
      </c>
      <c r="Z118" s="18"/>
      <c r="AA118" s="18"/>
      <c r="AB118" s="18"/>
      <c r="AC118" s="18"/>
      <c r="AD118" s="18"/>
      <c r="AE118" s="18"/>
      <c r="AF118" s="18">
        <v>0</v>
      </c>
      <c r="AG118" s="18">
        <v>1</v>
      </c>
      <c r="AI118" s="18">
        <f t="shared" si="176"/>
        <v>0</v>
      </c>
      <c r="AJ118" s="18">
        <f t="shared" si="177"/>
        <v>0</v>
      </c>
      <c r="AK118" s="18">
        <f t="shared" si="178"/>
        <v>0</v>
      </c>
      <c r="AL118" s="18">
        <f t="shared" si="179"/>
        <v>0</v>
      </c>
      <c r="AM118" s="18">
        <f t="shared" si="180"/>
        <v>0</v>
      </c>
      <c r="AN118" s="18">
        <f t="shared" si="181"/>
        <v>0</v>
      </c>
      <c r="AO118" s="18">
        <f t="shared" si="182"/>
        <v>0</v>
      </c>
      <c r="AP118" s="18">
        <f t="shared" si="183"/>
        <v>1</v>
      </c>
      <c r="AQ118" s="9" t="s">
        <v>24</v>
      </c>
      <c r="AR118" s="18">
        <f t="shared" si="184"/>
        <v>0</v>
      </c>
      <c r="AS118" s="18">
        <f t="shared" si="185"/>
        <v>0</v>
      </c>
      <c r="AT118" s="18">
        <f t="shared" si="186"/>
        <v>0</v>
      </c>
      <c r="AU118" s="18">
        <f t="shared" si="187"/>
        <v>0</v>
      </c>
      <c r="AV118" s="18"/>
      <c r="AW118" s="18">
        <f t="shared" si="189"/>
        <v>0</v>
      </c>
      <c r="AX118" s="18">
        <f t="shared" si="190"/>
        <v>0</v>
      </c>
      <c r="AY118" s="18">
        <f t="shared" si="191"/>
        <v>1</v>
      </c>
      <c r="BA118" s="27">
        <f t="shared" si="202"/>
        <v>0</v>
      </c>
      <c r="BB118" s="27">
        <f t="shared" si="192"/>
        <v>0</v>
      </c>
      <c r="BC118" s="27">
        <f t="shared" si="193"/>
        <v>0</v>
      </c>
      <c r="BD118" s="27">
        <f t="shared" si="194"/>
        <v>0</v>
      </c>
      <c r="BE118" s="27">
        <f t="shared" si="195"/>
        <v>0</v>
      </c>
      <c r="BF118" s="27">
        <f t="shared" si="196"/>
        <v>0</v>
      </c>
      <c r="BG118" s="27">
        <f t="shared" si="197"/>
        <v>0</v>
      </c>
      <c r="BH118" s="27">
        <f t="shared" si="198"/>
        <v>0</v>
      </c>
      <c r="BI118" s="27">
        <f t="shared" si="203"/>
        <v>0</v>
      </c>
      <c r="BJ118" s="27">
        <f t="shared" si="204"/>
        <v>0</v>
      </c>
    </row>
    <row r="119" spans="1:62" ht="22.5">
      <c r="A119" s="14" t="s">
        <v>5</v>
      </c>
      <c r="B119" s="7"/>
      <c r="C119" s="25"/>
      <c r="D119" s="25"/>
      <c r="E119" s="25"/>
      <c r="F119" s="25"/>
      <c r="G119" s="25"/>
      <c r="H119" s="25"/>
      <c r="I119" s="25">
        <v>0</v>
      </c>
      <c r="J119" s="25">
        <v>1</v>
      </c>
      <c r="K119" s="29"/>
      <c r="L119" s="25"/>
      <c r="M119" s="25"/>
      <c r="N119" s="25"/>
      <c r="O119" s="25"/>
      <c r="P119" s="25"/>
      <c r="Q119" s="25"/>
      <c r="R119" s="25">
        <v>1</v>
      </c>
      <c r="S119" s="25">
        <v>0</v>
      </c>
      <c r="U119" s="9">
        <f t="shared" ref="U119" si="206">IF(MATCH(1,C119:J119,0)=MATCH(1,L119:S119,0),1,0)</f>
        <v>0</v>
      </c>
      <c r="V119" s="1">
        <f t="shared" si="205"/>
        <v>0</v>
      </c>
      <c r="W119" s="11">
        <f t="shared" ref="W119" si="207">BI119</f>
        <v>1</v>
      </c>
      <c r="X119" s="12">
        <v>1</v>
      </c>
      <c r="Y119" s="10">
        <f t="shared" si="201"/>
        <v>2.564102564102564E-2</v>
      </c>
      <c r="Z119" s="18"/>
      <c r="AA119" s="18"/>
      <c r="AB119" s="18"/>
      <c r="AC119" s="18"/>
      <c r="AD119" s="18"/>
      <c r="AE119" s="18"/>
      <c r="AF119" s="18">
        <v>0</v>
      </c>
      <c r="AG119" s="18">
        <v>1</v>
      </c>
      <c r="AH119" s="20"/>
      <c r="AI119" s="18">
        <f t="shared" si="176"/>
        <v>0</v>
      </c>
      <c r="AJ119" s="18">
        <f t="shared" si="177"/>
        <v>0</v>
      </c>
      <c r="AK119" s="18">
        <f t="shared" si="178"/>
        <v>0</v>
      </c>
      <c r="AL119" s="18">
        <f t="shared" si="179"/>
        <v>0</v>
      </c>
      <c r="AM119" s="18">
        <f t="shared" si="180"/>
        <v>0</v>
      </c>
      <c r="AN119" s="18">
        <f t="shared" si="181"/>
        <v>0</v>
      </c>
      <c r="AO119" s="18">
        <f t="shared" si="182"/>
        <v>0</v>
      </c>
      <c r="AP119" s="18">
        <f t="shared" si="183"/>
        <v>1</v>
      </c>
      <c r="AQ119" s="9"/>
      <c r="AR119" s="18">
        <f t="shared" si="184"/>
        <v>0</v>
      </c>
      <c r="AS119" s="18">
        <f t="shared" si="185"/>
        <v>0</v>
      </c>
      <c r="AT119" s="18">
        <f t="shared" si="186"/>
        <v>0</v>
      </c>
      <c r="AU119" s="18">
        <f t="shared" si="187"/>
        <v>0</v>
      </c>
      <c r="AV119" s="18">
        <f>P119*AD119</f>
        <v>0</v>
      </c>
      <c r="AW119" s="18">
        <f t="shared" si="189"/>
        <v>0</v>
      </c>
      <c r="AX119" s="18">
        <f t="shared" si="190"/>
        <v>0</v>
      </c>
      <c r="AY119" s="18">
        <f t="shared" si="191"/>
        <v>0</v>
      </c>
      <c r="BA119" s="27">
        <f>(AI119-AR119)</f>
        <v>0</v>
      </c>
      <c r="BB119" s="27">
        <f t="shared" si="192"/>
        <v>0</v>
      </c>
      <c r="BC119" s="27">
        <f t="shared" si="193"/>
        <v>0</v>
      </c>
      <c r="BD119" s="27">
        <f t="shared" si="194"/>
        <v>0</v>
      </c>
      <c r="BE119" s="27">
        <f t="shared" si="195"/>
        <v>0</v>
      </c>
      <c r="BF119" s="27">
        <f t="shared" si="196"/>
        <v>0</v>
      </c>
      <c r="BG119" s="27">
        <f t="shared" si="197"/>
        <v>0</v>
      </c>
      <c r="BH119" s="27">
        <f t="shared" si="198"/>
        <v>1</v>
      </c>
      <c r="BI119" s="27">
        <f t="shared" si="203"/>
        <v>1</v>
      </c>
      <c r="BJ119" s="27">
        <f t="shared" si="204"/>
        <v>2.564102564102564E-2</v>
      </c>
    </row>
    <row r="120" spans="1:62">
      <c r="B120" t="s">
        <v>34</v>
      </c>
      <c r="C120" s="30"/>
      <c r="D120" s="30"/>
      <c r="E120" s="30"/>
      <c r="F120" s="30"/>
      <c r="G120" s="30"/>
      <c r="H120" s="30"/>
      <c r="I120" s="30"/>
      <c r="J120" s="30"/>
      <c r="K120" t="s">
        <v>50</v>
      </c>
      <c r="AI120" s="11">
        <f t="shared" si="176"/>
        <v>0</v>
      </c>
      <c r="AJ120" s="11">
        <f t="shared" si="177"/>
        <v>0</v>
      </c>
      <c r="AK120" s="11">
        <f t="shared" si="178"/>
        <v>0</v>
      </c>
      <c r="AL120" s="11">
        <f t="shared" si="179"/>
        <v>0</v>
      </c>
      <c r="AM120" s="11">
        <f t="shared" si="180"/>
        <v>0</v>
      </c>
      <c r="AN120" s="11">
        <f t="shared" si="181"/>
        <v>0</v>
      </c>
    </row>
    <row r="121" spans="1:62" ht="22.5">
      <c r="A121" s="6" t="s">
        <v>10</v>
      </c>
      <c r="B121" s="7"/>
      <c r="C121" s="25">
        <v>0</v>
      </c>
      <c r="D121" s="28">
        <v>1</v>
      </c>
      <c r="E121" s="28"/>
      <c r="F121" s="28"/>
      <c r="G121" s="28"/>
      <c r="H121" s="28"/>
      <c r="I121" s="28"/>
      <c r="J121" s="28"/>
      <c r="K121" s="29"/>
      <c r="L121" s="25">
        <v>0</v>
      </c>
      <c r="M121" s="28">
        <v>1</v>
      </c>
      <c r="N121" s="28"/>
      <c r="O121" s="28"/>
      <c r="P121" s="28"/>
      <c r="Q121" s="28"/>
      <c r="R121" s="28"/>
      <c r="S121" s="28"/>
      <c r="U121" s="9">
        <f t="shared" ref="U121:U134" si="208">IF(MATCH(1,C121:J121,0)=MATCH(1,L121:S121,0),1,0)</f>
        <v>1</v>
      </c>
      <c r="V121" s="1">
        <f>(1-W121)*Y121</f>
        <v>2.564102564102564E-2</v>
      </c>
      <c r="W121" s="11">
        <f>BI121</f>
        <v>0</v>
      </c>
      <c r="X121" s="9">
        <v>1</v>
      </c>
      <c r="Y121" s="10">
        <f>X121/SUM($X$2:$X$17)</f>
        <v>2.564102564102564E-2</v>
      </c>
      <c r="Z121" s="18">
        <v>0</v>
      </c>
      <c r="AA121" s="18">
        <v>1</v>
      </c>
      <c r="AB121" s="18"/>
      <c r="AC121" s="18"/>
      <c r="AD121" s="18"/>
      <c r="AE121" s="18"/>
      <c r="AF121" s="18"/>
      <c r="AG121" s="18"/>
      <c r="AH121" s="12"/>
      <c r="AI121" s="18">
        <f t="shared" ref="AI121:AI137" si="209">C121*Z121</f>
        <v>0</v>
      </c>
      <c r="AJ121" s="18">
        <f t="shared" ref="AJ121:AJ137" si="210">D121*AA121</f>
        <v>1</v>
      </c>
      <c r="AK121" s="18">
        <f t="shared" ref="AK121:AK137" si="211">E121*AB121</f>
        <v>0</v>
      </c>
      <c r="AL121" s="18">
        <f t="shared" ref="AL121:AL137" si="212">F121*AC121</f>
        <v>0</v>
      </c>
      <c r="AM121" s="18">
        <f t="shared" ref="AM121:AM137" si="213">G121*AD121</f>
        <v>0</v>
      </c>
      <c r="AN121" s="18">
        <f t="shared" ref="AN121:AN137" si="214">H121*AE121</f>
        <v>0</v>
      </c>
      <c r="AO121" s="18">
        <f t="shared" ref="AO121:AO136" si="215">I121*AF121</f>
        <v>0</v>
      </c>
      <c r="AP121" s="18">
        <f t="shared" ref="AP121:AP136" si="216">J121*AG121</f>
        <v>0</v>
      </c>
      <c r="AQ121" s="9"/>
      <c r="AR121" s="18">
        <f t="shared" ref="AR121:AR136" si="217">L121*Z121</f>
        <v>0</v>
      </c>
      <c r="AS121" s="18">
        <f t="shared" ref="AS121:AS136" si="218">M121*AA121</f>
        <v>1</v>
      </c>
      <c r="AT121" s="18">
        <f t="shared" ref="AT121:AT136" si="219">N121*AB121</f>
        <v>0</v>
      </c>
      <c r="AU121" s="18">
        <f t="shared" ref="AU121:AU136" si="220">O121*AC121</f>
        <v>0</v>
      </c>
      <c r="AV121" s="18">
        <f t="shared" ref="AV121:AV134" si="221">P121*AD121</f>
        <v>0</v>
      </c>
      <c r="AW121" s="18">
        <f t="shared" ref="AW121:AW136" si="222">Q121*AE121</f>
        <v>0</v>
      </c>
      <c r="AX121" s="18">
        <f t="shared" ref="AX121:AX136" si="223">R121*AF121</f>
        <v>0</v>
      </c>
      <c r="AY121" s="18">
        <f t="shared" ref="AY121:AY136" si="224">S121*AG121</f>
        <v>0</v>
      </c>
      <c r="BA121" s="27">
        <f>(AI121-AR121)</f>
        <v>0</v>
      </c>
      <c r="BB121" s="27">
        <f t="shared" ref="BB121:BB136" si="225">(AJ121-AS121)</f>
        <v>0</v>
      </c>
      <c r="BC121" s="27">
        <f t="shared" ref="BC121:BC136" si="226">(AK121-AT121)</f>
        <v>0</v>
      </c>
      <c r="BD121" s="27">
        <f t="shared" ref="BD121:BD136" si="227">(AL121-AU121)</f>
        <v>0</v>
      </c>
      <c r="BE121" s="27">
        <f t="shared" ref="BE121:BE136" si="228">(AM121-AV121)</f>
        <v>0</v>
      </c>
      <c r="BF121" s="27">
        <f t="shared" ref="BF121:BF136" si="229">(AN121-AW121)</f>
        <v>0</v>
      </c>
      <c r="BG121" s="27">
        <f t="shared" ref="BG121:BG136" si="230">(AO121-AX121)</f>
        <v>0</v>
      </c>
      <c r="BH121" s="27">
        <f t="shared" ref="BH121:BH136" si="231">(AP121-AY121)</f>
        <v>0</v>
      </c>
      <c r="BI121" s="27">
        <f>ABS(SUM(BA121:BH121))</f>
        <v>0</v>
      </c>
      <c r="BJ121" s="27">
        <f>BI121*Y121</f>
        <v>0</v>
      </c>
    </row>
    <row r="122" spans="1:62" ht="22.5">
      <c r="A122" s="6" t="s">
        <v>11</v>
      </c>
      <c r="B122" s="7"/>
      <c r="C122" s="25">
        <v>0</v>
      </c>
      <c r="D122" s="28">
        <v>1</v>
      </c>
      <c r="E122" s="28"/>
      <c r="F122" s="28"/>
      <c r="G122" s="28"/>
      <c r="H122" s="28"/>
      <c r="I122" s="28"/>
      <c r="J122" s="28"/>
      <c r="K122" s="29"/>
      <c r="L122" s="25">
        <v>0</v>
      </c>
      <c r="M122" s="28">
        <v>1</v>
      </c>
      <c r="N122" s="28"/>
      <c r="O122" s="28"/>
      <c r="P122" s="28"/>
      <c r="Q122" s="28"/>
      <c r="R122" s="28"/>
      <c r="S122" s="28"/>
      <c r="U122" s="9">
        <f t="shared" si="208"/>
        <v>1</v>
      </c>
      <c r="V122" s="1">
        <f t="shared" ref="V122:V131" si="232">(1-W122)*Y122</f>
        <v>2.564102564102564E-2</v>
      </c>
      <c r="W122" s="11">
        <f t="shared" ref="W122:W134" si="233">BI122</f>
        <v>0</v>
      </c>
      <c r="X122" s="9">
        <v>1</v>
      </c>
      <c r="Y122" s="10">
        <f t="shared" ref="Y122:Y136" si="234">X122/SUM($X$2:$X$17)</f>
        <v>2.564102564102564E-2</v>
      </c>
      <c r="Z122" s="18">
        <v>0</v>
      </c>
      <c r="AA122" s="18">
        <v>1</v>
      </c>
      <c r="AB122" s="18"/>
      <c r="AC122" s="18"/>
      <c r="AD122" s="18"/>
      <c r="AE122" s="18"/>
      <c r="AF122" s="18"/>
      <c r="AG122" s="18"/>
      <c r="AH122" s="12"/>
      <c r="AI122" s="18">
        <f t="shared" si="209"/>
        <v>0</v>
      </c>
      <c r="AJ122" s="18">
        <f t="shared" si="210"/>
        <v>1</v>
      </c>
      <c r="AK122" s="18">
        <f t="shared" si="211"/>
        <v>0</v>
      </c>
      <c r="AL122" s="18">
        <f t="shared" si="212"/>
        <v>0</v>
      </c>
      <c r="AM122" s="18">
        <f t="shared" si="213"/>
        <v>0</v>
      </c>
      <c r="AN122" s="18">
        <f t="shared" si="214"/>
        <v>0</v>
      </c>
      <c r="AO122" s="18">
        <f t="shared" si="215"/>
        <v>0</v>
      </c>
      <c r="AP122" s="18">
        <f t="shared" si="216"/>
        <v>0</v>
      </c>
      <c r="AQ122" s="9"/>
      <c r="AR122" s="18">
        <f t="shared" si="217"/>
        <v>0</v>
      </c>
      <c r="AS122" s="18">
        <f t="shared" si="218"/>
        <v>1</v>
      </c>
      <c r="AT122" s="18">
        <f t="shared" si="219"/>
        <v>0</v>
      </c>
      <c r="AU122" s="18">
        <f t="shared" si="220"/>
        <v>0</v>
      </c>
      <c r="AV122" s="18">
        <f t="shared" si="221"/>
        <v>0</v>
      </c>
      <c r="AW122" s="18">
        <f t="shared" si="222"/>
        <v>0</v>
      </c>
      <c r="AX122" s="18">
        <f t="shared" si="223"/>
        <v>0</v>
      </c>
      <c r="AY122" s="18">
        <f t="shared" si="224"/>
        <v>0</v>
      </c>
      <c r="BA122" s="27">
        <f t="shared" ref="BA122:BA135" si="235">(AI122-AR122)</f>
        <v>0</v>
      </c>
      <c r="BB122" s="27">
        <f t="shared" si="225"/>
        <v>0</v>
      </c>
      <c r="BC122" s="27">
        <f t="shared" si="226"/>
        <v>0</v>
      </c>
      <c r="BD122" s="27">
        <f t="shared" si="227"/>
        <v>0</v>
      </c>
      <c r="BE122" s="27">
        <f t="shared" si="228"/>
        <v>0</v>
      </c>
      <c r="BF122" s="27">
        <f t="shared" si="229"/>
        <v>0</v>
      </c>
      <c r="BG122" s="27">
        <f t="shared" si="230"/>
        <v>0</v>
      </c>
      <c r="BH122" s="27">
        <f t="shared" si="231"/>
        <v>0</v>
      </c>
      <c r="BI122" s="27">
        <f t="shared" ref="BI122:BI136" si="236">ABS(SUM(BA122:BH122))</f>
        <v>0</v>
      </c>
      <c r="BJ122" s="27">
        <f t="shared" ref="BJ122:BJ136" si="237">BI122*Y122</f>
        <v>0</v>
      </c>
    </row>
    <row r="123" spans="1:62" s="22" customFormat="1" ht="22.5">
      <c r="A123" s="8" t="s">
        <v>12</v>
      </c>
      <c r="B123" s="21"/>
      <c r="C123" s="25">
        <v>0</v>
      </c>
      <c r="D123" s="25">
        <v>1</v>
      </c>
      <c r="E123" s="25">
        <v>0</v>
      </c>
      <c r="F123" s="28">
        <v>0</v>
      </c>
      <c r="G123" s="28"/>
      <c r="H123" s="28"/>
      <c r="I123" s="28"/>
      <c r="J123" s="28"/>
      <c r="K123" s="29"/>
      <c r="L123" s="25">
        <v>0</v>
      </c>
      <c r="M123" s="25">
        <v>1</v>
      </c>
      <c r="N123" s="25">
        <v>0</v>
      </c>
      <c r="O123" s="28">
        <v>0</v>
      </c>
      <c r="P123" s="28"/>
      <c r="Q123" s="28"/>
      <c r="R123" s="28"/>
      <c r="S123" s="28"/>
      <c r="T123"/>
      <c r="U123" s="23">
        <f t="shared" si="208"/>
        <v>1</v>
      </c>
      <c r="V123" s="1">
        <f t="shared" si="232"/>
        <v>7.6923076923076927E-2</v>
      </c>
      <c r="W123" s="11">
        <f t="shared" si="233"/>
        <v>0</v>
      </c>
      <c r="X123" s="23">
        <v>3</v>
      </c>
      <c r="Y123" s="24">
        <f t="shared" si="234"/>
        <v>7.6923076923076927E-2</v>
      </c>
      <c r="Z123" s="18">
        <v>0</v>
      </c>
      <c r="AA123" s="18">
        <v>0.3</v>
      </c>
      <c r="AB123" s="18">
        <v>0.8</v>
      </c>
      <c r="AC123" s="18">
        <v>1</v>
      </c>
      <c r="AD123" s="18"/>
      <c r="AE123" s="18"/>
      <c r="AF123" s="18"/>
      <c r="AG123" s="18"/>
      <c r="AH123" s="12"/>
      <c r="AI123" s="18">
        <f t="shared" si="209"/>
        <v>0</v>
      </c>
      <c r="AJ123" s="18">
        <f t="shared" si="210"/>
        <v>0.3</v>
      </c>
      <c r="AK123" s="18">
        <f t="shared" si="211"/>
        <v>0</v>
      </c>
      <c r="AL123" s="18">
        <f t="shared" si="212"/>
        <v>0</v>
      </c>
      <c r="AM123" s="18">
        <f t="shared" si="213"/>
        <v>0</v>
      </c>
      <c r="AN123" s="18">
        <f t="shared" si="214"/>
        <v>0</v>
      </c>
      <c r="AO123" s="18">
        <f t="shared" si="215"/>
        <v>0</v>
      </c>
      <c r="AP123" s="18">
        <f t="shared" si="216"/>
        <v>0</v>
      </c>
      <c r="AQ123" s="23"/>
      <c r="AR123" s="18">
        <f t="shared" si="217"/>
        <v>0</v>
      </c>
      <c r="AS123" s="18">
        <f t="shared" si="218"/>
        <v>0.3</v>
      </c>
      <c r="AT123" s="18">
        <f t="shared" si="219"/>
        <v>0</v>
      </c>
      <c r="AU123" s="18">
        <f t="shared" si="220"/>
        <v>0</v>
      </c>
      <c r="AV123" s="18">
        <f t="shared" si="221"/>
        <v>0</v>
      </c>
      <c r="AW123" s="18">
        <f t="shared" si="222"/>
        <v>0</v>
      </c>
      <c r="AX123" s="18">
        <f t="shared" si="223"/>
        <v>0</v>
      </c>
      <c r="AY123" s="18">
        <f t="shared" si="224"/>
        <v>0</v>
      </c>
      <c r="BA123" s="27">
        <f t="shared" si="235"/>
        <v>0</v>
      </c>
      <c r="BB123" s="27">
        <f t="shared" si="225"/>
        <v>0</v>
      </c>
      <c r="BC123" s="27">
        <f t="shared" si="226"/>
        <v>0</v>
      </c>
      <c r="BD123" s="27">
        <f t="shared" si="227"/>
        <v>0</v>
      </c>
      <c r="BE123" s="27">
        <f t="shared" si="228"/>
        <v>0</v>
      </c>
      <c r="BF123" s="27">
        <f t="shared" si="229"/>
        <v>0</v>
      </c>
      <c r="BG123" s="27">
        <f t="shared" si="230"/>
        <v>0</v>
      </c>
      <c r="BH123" s="27">
        <f t="shared" si="231"/>
        <v>0</v>
      </c>
      <c r="BI123" s="27">
        <f t="shared" si="236"/>
        <v>0</v>
      </c>
      <c r="BJ123" s="27">
        <f t="shared" si="237"/>
        <v>0</v>
      </c>
    </row>
    <row r="124" spans="1:62" s="22" customFormat="1" ht="22.5">
      <c r="A124" s="8" t="s">
        <v>13</v>
      </c>
      <c r="B124" s="21"/>
      <c r="C124" s="25">
        <v>1</v>
      </c>
      <c r="D124" s="25">
        <v>0</v>
      </c>
      <c r="E124" s="25">
        <v>0</v>
      </c>
      <c r="F124" s="28">
        <v>0</v>
      </c>
      <c r="G124" s="28"/>
      <c r="H124" s="28"/>
      <c r="I124" s="28"/>
      <c r="J124" s="28"/>
      <c r="K124" s="29"/>
      <c r="L124" s="25">
        <v>0</v>
      </c>
      <c r="M124" s="25">
        <v>0</v>
      </c>
      <c r="N124" s="25">
        <v>0</v>
      </c>
      <c r="O124" s="28">
        <v>1</v>
      </c>
      <c r="P124" s="28"/>
      <c r="Q124" s="28"/>
      <c r="R124" s="28"/>
      <c r="S124" s="28"/>
      <c r="T124"/>
      <c r="U124" s="23">
        <f t="shared" si="208"/>
        <v>0</v>
      </c>
      <c r="V124" s="1">
        <f t="shared" si="232"/>
        <v>0</v>
      </c>
      <c r="W124" s="11">
        <f t="shared" si="233"/>
        <v>1</v>
      </c>
      <c r="X124" s="23">
        <v>5</v>
      </c>
      <c r="Y124" s="24">
        <f t="shared" si="234"/>
        <v>0.12820512820512819</v>
      </c>
      <c r="Z124" s="18">
        <v>0</v>
      </c>
      <c r="AA124" s="18">
        <v>0.3</v>
      </c>
      <c r="AB124" s="18">
        <v>0.8</v>
      </c>
      <c r="AC124" s="18">
        <v>1</v>
      </c>
      <c r="AD124" s="18"/>
      <c r="AE124" s="18"/>
      <c r="AF124" s="18"/>
      <c r="AG124" s="18"/>
      <c r="AH124" s="12"/>
      <c r="AI124" s="18">
        <f t="shared" si="209"/>
        <v>0</v>
      </c>
      <c r="AJ124" s="18">
        <f t="shared" si="210"/>
        <v>0</v>
      </c>
      <c r="AK124" s="18">
        <f t="shared" si="211"/>
        <v>0</v>
      </c>
      <c r="AL124" s="18">
        <f t="shared" si="212"/>
        <v>0</v>
      </c>
      <c r="AM124" s="18">
        <f t="shared" si="213"/>
        <v>0</v>
      </c>
      <c r="AN124" s="18">
        <f t="shared" si="214"/>
        <v>0</v>
      </c>
      <c r="AO124" s="18">
        <f t="shared" si="215"/>
        <v>0</v>
      </c>
      <c r="AP124" s="18">
        <f t="shared" si="216"/>
        <v>0</v>
      </c>
      <c r="AQ124" s="23"/>
      <c r="AR124" s="18">
        <f t="shared" si="217"/>
        <v>0</v>
      </c>
      <c r="AS124" s="18">
        <f t="shared" si="218"/>
        <v>0</v>
      </c>
      <c r="AT124" s="18">
        <f t="shared" si="219"/>
        <v>0</v>
      </c>
      <c r="AU124" s="18">
        <f t="shared" si="220"/>
        <v>1</v>
      </c>
      <c r="AV124" s="18">
        <f t="shared" si="221"/>
        <v>0</v>
      </c>
      <c r="AW124" s="18">
        <f t="shared" si="222"/>
        <v>0</v>
      </c>
      <c r="AX124" s="18">
        <f t="shared" si="223"/>
        <v>0</v>
      </c>
      <c r="AY124" s="18">
        <f t="shared" si="224"/>
        <v>0</v>
      </c>
      <c r="BA124" s="27">
        <f t="shared" si="235"/>
        <v>0</v>
      </c>
      <c r="BB124" s="27">
        <f t="shared" si="225"/>
        <v>0</v>
      </c>
      <c r="BC124" s="27">
        <f t="shared" si="226"/>
        <v>0</v>
      </c>
      <c r="BD124" s="27">
        <f t="shared" si="227"/>
        <v>-1</v>
      </c>
      <c r="BE124" s="27">
        <f t="shared" si="228"/>
        <v>0</v>
      </c>
      <c r="BF124" s="27">
        <f t="shared" si="229"/>
        <v>0</v>
      </c>
      <c r="BG124" s="27">
        <f t="shared" si="230"/>
        <v>0</v>
      </c>
      <c r="BH124" s="27">
        <f t="shared" si="231"/>
        <v>0</v>
      </c>
      <c r="BI124" s="27">
        <f t="shared" si="236"/>
        <v>1</v>
      </c>
      <c r="BJ124" s="27">
        <f t="shared" si="237"/>
        <v>0.12820512820512819</v>
      </c>
    </row>
    <row r="125" spans="1:62" s="22" customFormat="1" ht="22.5">
      <c r="A125" s="8" t="s">
        <v>14</v>
      </c>
      <c r="B125" s="21"/>
      <c r="C125" s="25">
        <v>0</v>
      </c>
      <c r="D125" s="25">
        <v>0</v>
      </c>
      <c r="E125" s="25">
        <v>1</v>
      </c>
      <c r="F125" s="28">
        <v>0</v>
      </c>
      <c r="G125" s="28"/>
      <c r="H125" s="28"/>
      <c r="I125" s="28"/>
      <c r="J125" s="28"/>
      <c r="K125" s="29"/>
      <c r="L125" s="25">
        <v>0</v>
      </c>
      <c r="M125" s="25">
        <v>0</v>
      </c>
      <c r="N125" s="25">
        <v>1</v>
      </c>
      <c r="O125" s="28">
        <v>0</v>
      </c>
      <c r="P125" s="28"/>
      <c r="Q125" s="28"/>
      <c r="R125" s="28"/>
      <c r="S125" s="28"/>
      <c r="T125"/>
      <c r="U125" s="23">
        <f t="shared" si="208"/>
        <v>1</v>
      </c>
      <c r="V125" s="1">
        <f t="shared" si="232"/>
        <v>2.564102564102564E-2</v>
      </c>
      <c r="W125" s="11">
        <f t="shared" si="233"/>
        <v>0</v>
      </c>
      <c r="X125" s="23">
        <v>1</v>
      </c>
      <c r="Y125" s="24">
        <f t="shared" si="234"/>
        <v>2.564102564102564E-2</v>
      </c>
      <c r="Z125" s="18">
        <v>0</v>
      </c>
      <c r="AA125" s="18">
        <v>0.3</v>
      </c>
      <c r="AB125" s="18">
        <v>0.8</v>
      </c>
      <c r="AC125" s="18">
        <v>1</v>
      </c>
      <c r="AD125" s="18"/>
      <c r="AE125" s="18"/>
      <c r="AF125" s="18"/>
      <c r="AG125" s="18"/>
      <c r="AH125" s="12"/>
      <c r="AI125" s="18">
        <f t="shared" si="209"/>
        <v>0</v>
      </c>
      <c r="AJ125" s="18">
        <f t="shared" si="210"/>
        <v>0</v>
      </c>
      <c r="AK125" s="18">
        <f t="shared" si="211"/>
        <v>0.8</v>
      </c>
      <c r="AL125" s="18">
        <f t="shared" si="212"/>
        <v>0</v>
      </c>
      <c r="AM125" s="18">
        <f t="shared" si="213"/>
        <v>0</v>
      </c>
      <c r="AN125" s="18">
        <f t="shared" si="214"/>
        <v>0</v>
      </c>
      <c r="AO125" s="18">
        <f t="shared" si="215"/>
        <v>0</v>
      </c>
      <c r="AP125" s="18">
        <f t="shared" si="216"/>
        <v>0</v>
      </c>
      <c r="AQ125" s="23"/>
      <c r="AR125" s="18">
        <f t="shared" si="217"/>
        <v>0</v>
      </c>
      <c r="AS125" s="18">
        <f t="shared" si="218"/>
        <v>0</v>
      </c>
      <c r="AT125" s="18">
        <f t="shared" si="219"/>
        <v>0.8</v>
      </c>
      <c r="AU125" s="18">
        <f t="shared" si="220"/>
        <v>0</v>
      </c>
      <c r="AV125" s="18">
        <f t="shared" si="221"/>
        <v>0</v>
      </c>
      <c r="AW125" s="18">
        <f t="shared" si="222"/>
        <v>0</v>
      </c>
      <c r="AX125" s="18">
        <f t="shared" si="223"/>
        <v>0</v>
      </c>
      <c r="AY125" s="18">
        <f t="shared" si="224"/>
        <v>0</v>
      </c>
      <c r="BA125" s="27">
        <f t="shared" si="235"/>
        <v>0</v>
      </c>
      <c r="BB125" s="27">
        <f t="shared" si="225"/>
        <v>0</v>
      </c>
      <c r="BC125" s="27">
        <f t="shared" si="226"/>
        <v>0</v>
      </c>
      <c r="BD125" s="27">
        <f t="shared" si="227"/>
        <v>0</v>
      </c>
      <c r="BE125" s="27">
        <f t="shared" si="228"/>
        <v>0</v>
      </c>
      <c r="BF125" s="27">
        <f t="shared" si="229"/>
        <v>0</v>
      </c>
      <c r="BG125" s="27">
        <f t="shared" si="230"/>
        <v>0</v>
      </c>
      <c r="BH125" s="27">
        <f t="shared" si="231"/>
        <v>0</v>
      </c>
      <c r="BI125" s="27">
        <f t="shared" si="236"/>
        <v>0</v>
      </c>
      <c r="BJ125" s="27">
        <f t="shared" si="237"/>
        <v>0</v>
      </c>
    </row>
    <row r="126" spans="1:62" s="22" customFormat="1" ht="22.5">
      <c r="A126" s="8" t="s">
        <v>15</v>
      </c>
      <c r="B126" s="21"/>
      <c r="C126" s="25">
        <v>0</v>
      </c>
      <c r="D126" s="25">
        <v>1</v>
      </c>
      <c r="E126" s="25">
        <v>0</v>
      </c>
      <c r="F126" s="28">
        <v>0</v>
      </c>
      <c r="G126" s="28"/>
      <c r="H126" s="28"/>
      <c r="I126" s="28"/>
      <c r="J126" s="28"/>
      <c r="K126" s="29"/>
      <c r="L126" s="25">
        <v>0</v>
      </c>
      <c r="M126" s="25">
        <v>1</v>
      </c>
      <c r="N126" s="25">
        <v>0</v>
      </c>
      <c r="O126" s="28">
        <v>0</v>
      </c>
      <c r="P126" s="28"/>
      <c r="Q126" s="28"/>
      <c r="R126" s="28"/>
      <c r="S126" s="28"/>
      <c r="T126"/>
      <c r="U126" s="23">
        <f t="shared" si="208"/>
        <v>1</v>
      </c>
      <c r="V126" s="1">
        <f t="shared" si="232"/>
        <v>7.6923076923076927E-2</v>
      </c>
      <c r="W126" s="11">
        <f t="shared" si="233"/>
        <v>0</v>
      </c>
      <c r="X126" s="23">
        <v>3</v>
      </c>
      <c r="Y126" s="24">
        <f t="shared" si="234"/>
        <v>7.6923076923076927E-2</v>
      </c>
      <c r="Z126" s="18">
        <v>0</v>
      </c>
      <c r="AA126" s="18">
        <v>0.3</v>
      </c>
      <c r="AB126" s="18">
        <v>0.8</v>
      </c>
      <c r="AC126" s="18">
        <v>1</v>
      </c>
      <c r="AD126" s="18"/>
      <c r="AE126" s="18"/>
      <c r="AF126" s="18"/>
      <c r="AG126" s="18"/>
      <c r="AH126" s="12"/>
      <c r="AI126" s="18">
        <f t="shared" si="209"/>
        <v>0</v>
      </c>
      <c r="AJ126" s="18">
        <f t="shared" si="210"/>
        <v>0.3</v>
      </c>
      <c r="AK126" s="18">
        <f t="shared" si="211"/>
        <v>0</v>
      </c>
      <c r="AL126" s="18">
        <f t="shared" si="212"/>
        <v>0</v>
      </c>
      <c r="AM126" s="18">
        <f t="shared" si="213"/>
        <v>0</v>
      </c>
      <c r="AN126" s="18">
        <f t="shared" si="214"/>
        <v>0</v>
      </c>
      <c r="AO126" s="18">
        <f t="shared" si="215"/>
        <v>0</v>
      </c>
      <c r="AP126" s="18">
        <f t="shared" si="216"/>
        <v>0</v>
      </c>
      <c r="AQ126" s="23"/>
      <c r="AR126" s="18">
        <f t="shared" si="217"/>
        <v>0</v>
      </c>
      <c r="AS126" s="18">
        <f t="shared" si="218"/>
        <v>0.3</v>
      </c>
      <c r="AT126" s="18">
        <f t="shared" si="219"/>
        <v>0</v>
      </c>
      <c r="AU126" s="18">
        <f t="shared" si="220"/>
        <v>0</v>
      </c>
      <c r="AV126" s="18">
        <f t="shared" si="221"/>
        <v>0</v>
      </c>
      <c r="AW126" s="18">
        <f t="shared" si="222"/>
        <v>0</v>
      </c>
      <c r="AX126" s="18">
        <f t="shared" si="223"/>
        <v>0</v>
      </c>
      <c r="AY126" s="18">
        <f t="shared" si="224"/>
        <v>0</v>
      </c>
      <c r="BA126" s="27">
        <f t="shared" si="235"/>
        <v>0</v>
      </c>
      <c r="BB126" s="27">
        <f t="shared" si="225"/>
        <v>0</v>
      </c>
      <c r="BC126" s="27">
        <f t="shared" si="226"/>
        <v>0</v>
      </c>
      <c r="BD126" s="27">
        <f t="shared" si="227"/>
        <v>0</v>
      </c>
      <c r="BE126" s="27">
        <f t="shared" si="228"/>
        <v>0</v>
      </c>
      <c r="BF126" s="27">
        <f t="shared" si="229"/>
        <v>0</v>
      </c>
      <c r="BG126" s="27">
        <f t="shared" si="230"/>
        <v>0</v>
      </c>
      <c r="BH126" s="27">
        <f t="shared" si="231"/>
        <v>0</v>
      </c>
      <c r="BI126" s="27">
        <f t="shared" si="236"/>
        <v>0</v>
      </c>
      <c r="BJ126" s="27">
        <f t="shared" si="237"/>
        <v>0</v>
      </c>
    </row>
    <row r="127" spans="1:62" s="22" customFormat="1" ht="22.5">
      <c r="A127" s="8" t="s">
        <v>16</v>
      </c>
      <c r="B127" s="21"/>
      <c r="C127" s="25">
        <v>1</v>
      </c>
      <c r="D127" s="25">
        <v>0</v>
      </c>
      <c r="E127" s="25">
        <v>0</v>
      </c>
      <c r="F127" s="28">
        <v>0</v>
      </c>
      <c r="G127" s="28"/>
      <c r="H127" s="28"/>
      <c r="I127" s="28"/>
      <c r="J127" s="28"/>
      <c r="K127" s="29"/>
      <c r="L127" s="25">
        <v>1</v>
      </c>
      <c r="M127" s="25">
        <v>0</v>
      </c>
      <c r="N127" s="25">
        <v>0</v>
      </c>
      <c r="O127" s="28">
        <v>0</v>
      </c>
      <c r="P127" s="28"/>
      <c r="Q127" s="28"/>
      <c r="R127" s="28"/>
      <c r="S127" s="28"/>
      <c r="T127"/>
      <c r="U127" s="23">
        <f t="shared" si="208"/>
        <v>1</v>
      </c>
      <c r="V127" s="1">
        <f t="shared" si="232"/>
        <v>0.12820512820512819</v>
      </c>
      <c r="W127" s="11">
        <f t="shared" si="233"/>
        <v>0</v>
      </c>
      <c r="X127" s="23">
        <v>5</v>
      </c>
      <c r="Y127" s="24">
        <f t="shared" si="234"/>
        <v>0.12820512820512819</v>
      </c>
      <c r="Z127" s="18">
        <v>0</v>
      </c>
      <c r="AA127" s="18">
        <v>0.3</v>
      </c>
      <c r="AB127" s="18">
        <v>0.8</v>
      </c>
      <c r="AC127" s="18">
        <v>1</v>
      </c>
      <c r="AD127" s="18"/>
      <c r="AE127" s="18"/>
      <c r="AF127" s="18"/>
      <c r="AG127" s="18"/>
      <c r="AH127" s="12"/>
      <c r="AI127" s="18">
        <f t="shared" si="209"/>
        <v>0</v>
      </c>
      <c r="AJ127" s="18">
        <f t="shared" si="210"/>
        <v>0</v>
      </c>
      <c r="AK127" s="18">
        <f t="shared" si="211"/>
        <v>0</v>
      </c>
      <c r="AL127" s="18">
        <f t="shared" si="212"/>
        <v>0</v>
      </c>
      <c r="AM127" s="18">
        <f t="shared" si="213"/>
        <v>0</v>
      </c>
      <c r="AN127" s="18">
        <f t="shared" si="214"/>
        <v>0</v>
      </c>
      <c r="AO127" s="18">
        <f t="shared" si="215"/>
        <v>0</v>
      </c>
      <c r="AP127" s="18">
        <f t="shared" si="216"/>
        <v>0</v>
      </c>
      <c r="AQ127" s="23"/>
      <c r="AR127" s="18">
        <f t="shared" si="217"/>
        <v>0</v>
      </c>
      <c r="AS127" s="18">
        <f t="shared" si="218"/>
        <v>0</v>
      </c>
      <c r="AT127" s="18">
        <f t="shared" si="219"/>
        <v>0</v>
      </c>
      <c r="AU127" s="18">
        <f t="shared" si="220"/>
        <v>0</v>
      </c>
      <c r="AV127" s="18">
        <f t="shared" si="221"/>
        <v>0</v>
      </c>
      <c r="AW127" s="18">
        <f t="shared" si="222"/>
        <v>0</v>
      </c>
      <c r="AX127" s="18">
        <f t="shared" si="223"/>
        <v>0</v>
      </c>
      <c r="AY127" s="18">
        <f t="shared" si="224"/>
        <v>0</v>
      </c>
      <c r="BA127" s="27">
        <f t="shared" si="235"/>
        <v>0</v>
      </c>
      <c r="BB127" s="27">
        <f t="shared" si="225"/>
        <v>0</v>
      </c>
      <c r="BC127" s="27">
        <f t="shared" si="226"/>
        <v>0</v>
      </c>
      <c r="BD127" s="27">
        <f t="shared" si="227"/>
        <v>0</v>
      </c>
      <c r="BE127" s="27">
        <f t="shared" si="228"/>
        <v>0</v>
      </c>
      <c r="BF127" s="27">
        <f t="shared" si="229"/>
        <v>0</v>
      </c>
      <c r="BG127" s="27">
        <f t="shared" si="230"/>
        <v>0</v>
      </c>
      <c r="BH127" s="27">
        <f t="shared" si="231"/>
        <v>0</v>
      </c>
      <c r="BI127" s="27">
        <f t="shared" si="236"/>
        <v>0</v>
      </c>
      <c r="BJ127" s="27">
        <f t="shared" si="237"/>
        <v>0</v>
      </c>
    </row>
    <row r="128" spans="1:62" ht="22.5">
      <c r="A128" s="4" t="s">
        <v>0</v>
      </c>
      <c r="B128" s="7"/>
      <c r="C128" s="25">
        <v>1</v>
      </c>
      <c r="D128" s="25">
        <v>0</v>
      </c>
      <c r="E128" s="25"/>
      <c r="F128" s="28"/>
      <c r="G128" s="28"/>
      <c r="H128" s="28"/>
      <c r="I128" s="28"/>
      <c r="J128" s="28"/>
      <c r="K128" s="29"/>
      <c r="L128" s="25">
        <v>0</v>
      </c>
      <c r="M128" s="25">
        <v>1</v>
      </c>
      <c r="N128" s="25"/>
      <c r="O128" s="28"/>
      <c r="P128" s="28"/>
      <c r="Q128" s="28"/>
      <c r="R128" s="28"/>
      <c r="S128" s="28"/>
      <c r="U128" s="9">
        <f t="shared" si="208"/>
        <v>0</v>
      </c>
      <c r="V128" s="1">
        <f t="shared" si="232"/>
        <v>0</v>
      </c>
      <c r="W128" s="11">
        <f t="shared" si="233"/>
        <v>1</v>
      </c>
      <c r="X128" s="12">
        <v>1</v>
      </c>
      <c r="Y128" s="10">
        <f t="shared" si="234"/>
        <v>2.564102564102564E-2</v>
      </c>
      <c r="Z128" s="18">
        <v>0</v>
      </c>
      <c r="AA128" s="18">
        <f>IF(M128=1,1,0)</f>
        <v>1</v>
      </c>
      <c r="AB128" s="18">
        <v>0</v>
      </c>
      <c r="AC128" s="18">
        <v>0</v>
      </c>
      <c r="AD128" s="18"/>
      <c r="AE128" s="18"/>
      <c r="AF128" s="18"/>
      <c r="AG128" s="18"/>
      <c r="AH128" s="12"/>
      <c r="AI128" s="18">
        <f t="shared" si="209"/>
        <v>0</v>
      </c>
      <c r="AJ128" s="18">
        <f t="shared" si="210"/>
        <v>0</v>
      </c>
      <c r="AK128" s="18">
        <f t="shared" si="211"/>
        <v>0</v>
      </c>
      <c r="AL128" s="18">
        <f t="shared" si="212"/>
        <v>0</v>
      </c>
      <c r="AM128" s="18">
        <f t="shared" si="213"/>
        <v>0</v>
      </c>
      <c r="AN128" s="18">
        <f t="shared" si="214"/>
        <v>0</v>
      </c>
      <c r="AO128" s="18">
        <f t="shared" si="215"/>
        <v>0</v>
      </c>
      <c r="AP128" s="18">
        <f t="shared" si="216"/>
        <v>0</v>
      </c>
      <c r="AQ128" s="9"/>
      <c r="AR128" s="18">
        <f t="shared" si="217"/>
        <v>0</v>
      </c>
      <c r="AS128" s="18">
        <f t="shared" si="218"/>
        <v>1</v>
      </c>
      <c r="AT128" s="18">
        <f t="shared" si="219"/>
        <v>0</v>
      </c>
      <c r="AU128" s="18">
        <f t="shared" si="220"/>
        <v>0</v>
      </c>
      <c r="AV128" s="18">
        <f t="shared" si="221"/>
        <v>0</v>
      </c>
      <c r="AW128" s="18">
        <f t="shared" si="222"/>
        <v>0</v>
      </c>
      <c r="AX128" s="18">
        <f t="shared" si="223"/>
        <v>0</v>
      </c>
      <c r="AY128" s="18">
        <f t="shared" si="224"/>
        <v>0</v>
      </c>
      <c r="BA128" s="27">
        <f t="shared" si="235"/>
        <v>0</v>
      </c>
      <c r="BB128" s="27">
        <f t="shared" si="225"/>
        <v>-1</v>
      </c>
      <c r="BC128" s="27">
        <f t="shared" si="226"/>
        <v>0</v>
      </c>
      <c r="BD128" s="27">
        <f t="shared" si="227"/>
        <v>0</v>
      </c>
      <c r="BE128" s="27">
        <f t="shared" si="228"/>
        <v>0</v>
      </c>
      <c r="BF128" s="27">
        <f t="shared" si="229"/>
        <v>0</v>
      </c>
      <c r="BG128" s="27">
        <f t="shared" si="230"/>
        <v>0</v>
      </c>
      <c r="BH128" s="27">
        <f t="shared" si="231"/>
        <v>0</v>
      </c>
      <c r="BI128" s="27">
        <f t="shared" si="236"/>
        <v>1</v>
      </c>
      <c r="BJ128" s="27">
        <f t="shared" si="237"/>
        <v>2.564102564102564E-2</v>
      </c>
    </row>
    <row r="129" spans="1:62" ht="22.5">
      <c r="A129" s="5" t="s">
        <v>1</v>
      </c>
      <c r="B129" s="7"/>
      <c r="C129" s="25"/>
      <c r="D129" s="25"/>
      <c r="E129" s="25"/>
      <c r="F129" s="25"/>
      <c r="G129" s="25">
        <v>0</v>
      </c>
      <c r="H129" s="25">
        <v>1</v>
      </c>
      <c r="I129" s="28"/>
      <c r="J129" s="28"/>
      <c r="K129" s="29"/>
      <c r="L129" s="25"/>
      <c r="M129" s="25"/>
      <c r="N129" s="25"/>
      <c r="O129" s="25"/>
      <c r="P129" s="25">
        <v>0</v>
      </c>
      <c r="Q129" s="25">
        <v>1</v>
      </c>
      <c r="R129" s="28"/>
      <c r="S129" s="28"/>
      <c r="U129" s="9">
        <f t="shared" si="208"/>
        <v>1</v>
      </c>
      <c r="V129" s="1">
        <f t="shared" si="232"/>
        <v>2.564102564102564E-2</v>
      </c>
      <c r="W129" s="11">
        <f t="shared" si="233"/>
        <v>0</v>
      </c>
      <c r="X129" s="12">
        <v>1</v>
      </c>
      <c r="Y129" s="10">
        <f t="shared" si="234"/>
        <v>2.564102564102564E-2</v>
      </c>
      <c r="Z129" s="18"/>
      <c r="AA129" s="18"/>
      <c r="AB129" s="18"/>
      <c r="AC129" s="18"/>
      <c r="AD129" s="18">
        <v>0</v>
      </c>
      <c r="AE129" s="18">
        <v>1</v>
      </c>
      <c r="AF129" s="18"/>
      <c r="AG129" s="18"/>
      <c r="AH129" s="12"/>
      <c r="AI129" s="18">
        <f t="shared" si="209"/>
        <v>0</v>
      </c>
      <c r="AJ129" s="18">
        <f t="shared" si="210"/>
        <v>0</v>
      </c>
      <c r="AK129" s="18">
        <f t="shared" si="211"/>
        <v>0</v>
      </c>
      <c r="AL129" s="18">
        <f t="shared" si="212"/>
        <v>0</v>
      </c>
      <c r="AM129" s="18">
        <f t="shared" si="213"/>
        <v>0</v>
      </c>
      <c r="AN129" s="18">
        <f t="shared" si="214"/>
        <v>1</v>
      </c>
      <c r="AO129" s="18">
        <f t="shared" si="215"/>
        <v>0</v>
      </c>
      <c r="AP129" s="18">
        <f t="shared" si="216"/>
        <v>0</v>
      </c>
      <c r="AQ129" s="9"/>
      <c r="AR129" s="18">
        <f t="shared" si="217"/>
        <v>0</v>
      </c>
      <c r="AS129" s="18">
        <f t="shared" si="218"/>
        <v>0</v>
      </c>
      <c r="AT129" s="18">
        <f t="shared" si="219"/>
        <v>0</v>
      </c>
      <c r="AU129" s="18">
        <f t="shared" si="220"/>
        <v>0</v>
      </c>
      <c r="AV129" s="18">
        <f t="shared" si="221"/>
        <v>0</v>
      </c>
      <c r="AW129" s="18">
        <f t="shared" si="222"/>
        <v>1</v>
      </c>
      <c r="AX129" s="18">
        <f t="shared" si="223"/>
        <v>0</v>
      </c>
      <c r="AY129" s="18">
        <f t="shared" si="224"/>
        <v>0</v>
      </c>
      <c r="BA129" s="27">
        <f t="shared" si="235"/>
        <v>0</v>
      </c>
      <c r="BB129" s="27">
        <f t="shared" si="225"/>
        <v>0</v>
      </c>
      <c r="BC129" s="27">
        <f t="shared" si="226"/>
        <v>0</v>
      </c>
      <c r="BD129" s="27">
        <f t="shared" si="227"/>
        <v>0</v>
      </c>
      <c r="BE129" s="27">
        <f t="shared" si="228"/>
        <v>0</v>
      </c>
      <c r="BF129" s="27">
        <f t="shared" si="229"/>
        <v>0</v>
      </c>
      <c r="BG129" s="27">
        <f t="shared" si="230"/>
        <v>0</v>
      </c>
      <c r="BH129" s="27">
        <f t="shared" si="231"/>
        <v>0</v>
      </c>
      <c r="BI129" s="27">
        <f t="shared" si="236"/>
        <v>0</v>
      </c>
      <c r="BJ129" s="27">
        <f t="shared" si="237"/>
        <v>0</v>
      </c>
    </row>
    <row r="130" spans="1:62" ht="22.5">
      <c r="A130" s="5" t="s">
        <v>21</v>
      </c>
      <c r="B130" s="7"/>
      <c r="C130" s="25"/>
      <c r="D130" s="25"/>
      <c r="E130" s="25"/>
      <c r="F130" s="25"/>
      <c r="G130" s="25">
        <v>1</v>
      </c>
      <c r="H130" s="25">
        <v>0</v>
      </c>
      <c r="I130" s="28"/>
      <c r="J130" s="28"/>
      <c r="K130" s="29"/>
      <c r="L130" s="25"/>
      <c r="M130" s="25"/>
      <c r="N130" s="25"/>
      <c r="O130" s="25"/>
      <c r="P130" s="25">
        <v>0</v>
      </c>
      <c r="Q130" s="25">
        <v>1</v>
      </c>
      <c r="R130" s="28"/>
      <c r="S130" s="28"/>
      <c r="U130" s="9">
        <f t="shared" si="208"/>
        <v>0</v>
      </c>
      <c r="V130" s="1">
        <f t="shared" si="232"/>
        <v>0</v>
      </c>
      <c r="W130" s="11">
        <f t="shared" si="233"/>
        <v>1</v>
      </c>
      <c r="X130" s="12">
        <v>3</v>
      </c>
      <c r="Y130" s="10">
        <f t="shared" si="234"/>
        <v>7.6923076923076927E-2</v>
      </c>
      <c r="Z130" s="18"/>
      <c r="AA130" s="18"/>
      <c r="AB130" s="18"/>
      <c r="AC130" s="18"/>
      <c r="AD130" s="18">
        <v>0</v>
      </c>
      <c r="AE130" s="18">
        <v>1</v>
      </c>
      <c r="AF130" s="18"/>
      <c r="AG130" s="18"/>
      <c r="AH130" s="12"/>
      <c r="AI130" s="18">
        <f t="shared" si="209"/>
        <v>0</v>
      </c>
      <c r="AJ130" s="18">
        <f t="shared" si="210"/>
        <v>0</v>
      </c>
      <c r="AK130" s="18">
        <f t="shared" si="211"/>
        <v>0</v>
      </c>
      <c r="AL130" s="18">
        <f t="shared" si="212"/>
        <v>0</v>
      </c>
      <c r="AM130" s="18">
        <f t="shared" si="213"/>
        <v>0</v>
      </c>
      <c r="AN130" s="18">
        <f t="shared" si="214"/>
        <v>0</v>
      </c>
      <c r="AO130" s="18">
        <f t="shared" si="215"/>
        <v>0</v>
      </c>
      <c r="AP130" s="18">
        <f t="shared" si="216"/>
        <v>0</v>
      </c>
      <c r="AQ130" s="9"/>
      <c r="AR130" s="18">
        <f t="shared" si="217"/>
        <v>0</v>
      </c>
      <c r="AS130" s="18">
        <f t="shared" si="218"/>
        <v>0</v>
      </c>
      <c r="AT130" s="18">
        <f t="shared" si="219"/>
        <v>0</v>
      </c>
      <c r="AU130" s="18">
        <f t="shared" si="220"/>
        <v>0</v>
      </c>
      <c r="AV130" s="18">
        <f t="shared" si="221"/>
        <v>0</v>
      </c>
      <c r="AW130" s="18">
        <f t="shared" si="222"/>
        <v>1</v>
      </c>
      <c r="AX130" s="18">
        <f t="shared" si="223"/>
        <v>0</v>
      </c>
      <c r="AY130" s="18">
        <f t="shared" si="224"/>
        <v>0</v>
      </c>
      <c r="BA130" s="27">
        <f t="shared" si="235"/>
        <v>0</v>
      </c>
      <c r="BB130" s="27">
        <f t="shared" si="225"/>
        <v>0</v>
      </c>
      <c r="BC130" s="27">
        <f t="shared" si="226"/>
        <v>0</v>
      </c>
      <c r="BD130" s="27">
        <f t="shared" si="227"/>
        <v>0</v>
      </c>
      <c r="BE130" s="27">
        <f t="shared" si="228"/>
        <v>0</v>
      </c>
      <c r="BF130" s="27">
        <f t="shared" si="229"/>
        <v>-1</v>
      </c>
      <c r="BG130" s="27">
        <f t="shared" si="230"/>
        <v>0</v>
      </c>
      <c r="BH130" s="27">
        <f t="shared" si="231"/>
        <v>0</v>
      </c>
      <c r="BI130" s="27">
        <f t="shared" si="236"/>
        <v>1</v>
      </c>
      <c r="BJ130" s="27">
        <f t="shared" si="237"/>
        <v>7.6923076923076927E-2</v>
      </c>
    </row>
    <row r="131" spans="1:62" ht="22.5">
      <c r="A131" s="5" t="s">
        <v>2</v>
      </c>
      <c r="B131" s="7"/>
      <c r="C131" s="25"/>
      <c r="D131" s="25"/>
      <c r="E131" s="25"/>
      <c r="F131" s="25"/>
      <c r="G131" s="25">
        <v>0</v>
      </c>
      <c r="H131" s="25">
        <v>1</v>
      </c>
      <c r="I131" s="28"/>
      <c r="J131" s="28"/>
      <c r="K131" s="29"/>
      <c r="L131" s="25"/>
      <c r="M131" s="25"/>
      <c r="N131" s="25"/>
      <c r="O131" s="25"/>
      <c r="P131" s="25">
        <v>0</v>
      </c>
      <c r="Q131" s="25">
        <v>1</v>
      </c>
      <c r="R131" s="28"/>
      <c r="S131" s="28"/>
      <c r="U131" s="9">
        <f t="shared" si="208"/>
        <v>1</v>
      </c>
      <c r="V131" s="1">
        <f t="shared" si="232"/>
        <v>2.564102564102564E-2</v>
      </c>
      <c r="W131" s="11">
        <f t="shared" si="233"/>
        <v>0</v>
      </c>
      <c r="X131" s="12">
        <v>1</v>
      </c>
      <c r="Y131" s="10">
        <f t="shared" si="234"/>
        <v>2.564102564102564E-2</v>
      </c>
      <c r="Z131" s="18"/>
      <c r="AA131" s="18"/>
      <c r="AB131" s="18"/>
      <c r="AC131" s="18"/>
      <c r="AD131" s="18">
        <v>0</v>
      </c>
      <c r="AE131" s="18">
        <v>1</v>
      </c>
      <c r="AF131" s="18"/>
      <c r="AG131" s="18"/>
      <c r="AH131" s="12"/>
      <c r="AI131" s="18">
        <f t="shared" si="209"/>
        <v>0</v>
      </c>
      <c r="AJ131" s="18">
        <f t="shared" si="210"/>
        <v>0</v>
      </c>
      <c r="AK131" s="18">
        <f t="shared" si="211"/>
        <v>0</v>
      </c>
      <c r="AL131" s="18">
        <f t="shared" si="212"/>
        <v>0</v>
      </c>
      <c r="AM131" s="18">
        <f t="shared" si="213"/>
        <v>0</v>
      </c>
      <c r="AN131" s="18">
        <f t="shared" si="214"/>
        <v>1</v>
      </c>
      <c r="AO131" s="18">
        <f t="shared" si="215"/>
        <v>0</v>
      </c>
      <c r="AP131" s="18">
        <f t="shared" si="216"/>
        <v>0</v>
      </c>
      <c r="AQ131" s="9"/>
      <c r="AR131" s="18">
        <f t="shared" si="217"/>
        <v>0</v>
      </c>
      <c r="AS131" s="18">
        <f t="shared" si="218"/>
        <v>0</v>
      </c>
      <c r="AT131" s="18">
        <f t="shared" si="219"/>
        <v>0</v>
      </c>
      <c r="AU131" s="18">
        <f t="shared" si="220"/>
        <v>0</v>
      </c>
      <c r="AV131" s="18">
        <f t="shared" si="221"/>
        <v>0</v>
      </c>
      <c r="AW131" s="18">
        <f t="shared" si="222"/>
        <v>1</v>
      </c>
      <c r="AX131" s="18">
        <f t="shared" si="223"/>
        <v>0</v>
      </c>
      <c r="AY131" s="18">
        <f t="shared" si="224"/>
        <v>0</v>
      </c>
      <c r="BA131" s="27">
        <f t="shared" si="235"/>
        <v>0</v>
      </c>
      <c r="BB131" s="27">
        <f t="shared" si="225"/>
        <v>0</v>
      </c>
      <c r="BC131" s="27">
        <f t="shared" si="226"/>
        <v>0</v>
      </c>
      <c r="BD131" s="27">
        <f t="shared" si="227"/>
        <v>0</v>
      </c>
      <c r="BE131" s="27">
        <f t="shared" si="228"/>
        <v>0</v>
      </c>
      <c r="BF131" s="27">
        <f t="shared" si="229"/>
        <v>0</v>
      </c>
      <c r="BG131" s="27">
        <f t="shared" si="230"/>
        <v>0</v>
      </c>
      <c r="BH131" s="27">
        <f t="shared" si="231"/>
        <v>0</v>
      </c>
      <c r="BI131" s="27">
        <f t="shared" si="236"/>
        <v>0</v>
      </c>
      <c r="BJ131" s="27">
        <f t="shared" si="237"/>
        <v>0</v>
      </c>
    </row>
    <row r="132" spans="1:62" ht="22.5">
      <c r="A132" s="5" t="s">
        <v>3</v>
      </c>
      <c r="B132" s="7"/>
      <c r="C132" s="25"/>
      <c r="D132" s="25"/>
      <c r="E132" s="25"/>
      <c r="F132" s="25"/>
      <c r="G132" s="25">
        <v>0</v>
      </c>
      <c r="H132" s="25">
        <v>1</v>
      </c>
      <c r="I132" s="28"/>
      <c r="J132" s="28"/>
      <c r="K132" s="29"/>
      <c r="L132" s="25"/>
      <c r="M132" s="25"/>
      <c r="N132" s="25"/>
      <c r="O132" s="25"/>
      <c r="P132" s="25">
        <v>0</v>
      </c>
      <c r="Q132" s="25">
        <v>1</v>
      </c>
      <c r="R132" s="28"/>
      <c r="S132" s="28"/>
      <c r="U132" s="9">
        <f t="shared" si="208"/>
        <v>1</v>
      </c>
      <c r="V132" s="1">
        <f>(1-W132)*Y132</f>
        <v>2.564102564102564E-2</v>
      </c>
      <c r="W132" s="11">
        <f t="shared" si="233"/>
        <v>0</v>
      </c>
      <c r="X132" s="12">
        <v>1</v>
      </c>
      <c r="Y132" s="10">
        <f t="shared" si="234"/>
        <v>2.564102564102564E-2</v>
      </c>
      <c r="Z132" s="18"/>
      <c r="AA132" s="18"/>
      <c r="AB132" s="18"/>
      <c r="AC132" s="18"/>
      <c r="AD132" s="18">
        <v>0</v>
      </c>
      <c r="AE132" s="18">
        <v>1</v>
      </c>
      <c r="AF132" s="18"/>
      <c r="AG132" s="18"/>
      <c r="AH132" s="12"/>
      <c r="AI132" s="18">
        <f t="shared" si="209"/>
        <v>0</v>
      </c>
      <c r="AJ132" s="18">
        <f t="shared" si="210"/>
        <v>0</v>
      </c>
      <c r="AK132" s="18">
        <f t="shared" si="211"/>
        <v>0</v>
      </c>
      <c r="AL132" s="18">
        <f t="shared" si="212"/>
        <v>0</v>
      </c>
      <c r="AM132" s="18">
        <f t="shared" si="213"/>
        <v>0</v>
      </c>
      <c r="AN132" s="18">
        <f t="shared" si="214"/>
        <v>1</v>
      </c>
      <c r="AO132" s="18">
        <f t="shared" si="215"/>
        <v>0</v>
      </c>
      <c r="AP132" s="18">
        <f t="shared" si="216"/>
        <v>0</v>
      </c>
      <c r="AQ132" s="9"/>
      <c r="AR132" s="18">
        <f t="shared" si="217"/>
        <v>0</v>
      </c>
      <c r="AS132" s="18">
        <f t="shared" si="218"/>
        <v>0</v>
      </c>
      <c r="AT132" s="18">
        <f t="shared" si="219"/>
        <v>0</v>
      </c>
      <c r="AU132" s="18">
        <f t="shared" si="220"/>
        <v>0</v>
      </c>
      <c r="AV132" s="18">
        <f t="shared" si="221"/>
        <v>0</v>
      </c>
      <c r="AW132" s="18">
        <f t="shared" si="222"/>
        <v>1</v>
      </c>
      <c r="AX132" s="18">
        <f t="shared" si="223"/>
        <v>0</v>
      </c>
      <c r="AY132" s="18">
        <f t="shared" si="224"/>
        <v>0</v>
      </c>
      <c r="BA132" s="27">
        <f t="shared" si="235"/>
        <v>0</v>
      </c>
      <c r="BB132" s="27">
        <f t="shared" si="225"/>
        <v>0</v>
      </c>
      <c r="BC132" s="27">
        <f t="shared" si="226"/>
        <v>0</v>
      </c>
      <c r="BD132" s="27">
        <f t="shared" si="227"/>
        <v>0</v>
      </c>
      <c r="BE132" s="27">
        <f t="shared" si="228"/>
        <v>0</v>
      </c>
      <c r="BF132" s="27">
        <f t="shared" si="229"/>
        <v>0</v>
      </c>
      <c r="BG132" s="27">
        <f t="shared" si="230"/>
        <v>0</v>
      </c>
      <c r="BH132" s="27">
        <f t="shared" si="231"/>
        <v>0</v>
      </c>
      <c r="BI132" s="27">
        <f t="shared" si="236"/>
        <v>0</v>
      </c>
      <c r="BJ132" s="27">
        <f t="shared" si="237"/>
        <v>0</v>
      </c>
    </row>
    <row r="133" spans="1:62" ht="22.5">
      <c r="A133" s="8" t="s">
        <v>4</v>
      </c>
      <c r="B133" s="7"/>
      <c r="C133" s="25"/>
      <c r="D133" s="25"/>
      <c r="E133" s="25"/>
      <c r="F133" s="25"/>
      <c r="G133" s="25"/>
      <c r="H133" s="25"/>
      <c r="I133" s="25">
        <v>0</v>
      </c>
      <c r="J133" s="25">
        <v>1</v>
      </c>
      <c r="K133" s="29"/>
      <c r="L133" s="25"/>
      <c r="M133" s="25"/>
      <c r="N133" s="25"/>
      <c r="O133" s="25"/>
      <c r="P133" s="25"/>
      <c r="Q133" s="25"/>
      <c r="R133" s="25">
        <v>0</v>
      </c>
      <c r="S133" s="25">
        <v>1</v>
      </c>
      <c r="U133" s="9">
        <f t="shared" si="208"/>
        <v>1</v>
      </c>
      <c r="V133" s="1">
        <f t="shared" ref="V133:V136" si="238">(1-W133)*Y133</f>
        <v>2.564102564102564E-2</v>
      </c>
      <c r="W133" s="11">
        <f t="shared" si="233"/>
        <v>0</v>
      </c>
      <c r="X133" s="12">
        <v>1</v>
      </c>
      <c r="Y133" s="10">
        <f t="shared" si="234"/>
        <v>2.564102564102564E-2</v>
      </c>
      <c r="Z133" s="18"/>
      <c r="AA133" s="18"/>
      <c r="AB133" s="18"/>
      <c r="AC133" s="18"/>
      <c r="AD133" s="18"/>
      <c r="AE133" s="18"/>
      <c r="AF133" s="18">
        <v>0</v>
      </c>
      <c r="AG133" s="18">
        <v>1</v>
      </c>
      <c r="AH133" s="12"/>
      <c r="AI133" s="18">
        <f t="shared" si="209"/>
        <v>0</v>
      </c>
      <c r="AJ133" s="18">
        <f t="shared" si="210"/>
        <v>0</v>
      </c>
      <c r="AK133" s="18">
        <f t="shared" si="211"/>
        <v>0</v>
      </c>
      <c r="AL133" s="18">
        <f t="shared" si="212"/>
        <v>0</v>
      </c>
      <c r="AM133" s="18">
        <f t="shared" si="213"/>
        <v>0</v>
      </c>
      <c r="AN133" s="18">
        <f t="shared" si="214"/>
        <v>0</v>
      </c>
      <c r="AO133" s="18">
        <f t="shared" si="215"/>
        <v>0</v>
      </c>
      <c r="AP133" s="18">
        <f t="shared" si="216"/>
        <v>1</v>
      </c>
      <c r="AQ133" s="9"/>
      <c r="AR133" s="18">
        <f t="shared" si="217"/>
        <v>0</v>
      </c>
      <c r="AS133" s="18">
        <f t="shared" si="218"/>
        <v>0</v>
      </c>
      <c r="AT133" s="18">
        <f t="shared" si="219"/>
        <v>0</v>
      </c>
      <c r="AU133" s="18">
        <f t="shared" si="220"/>
        <v>0</v>
      </c>
      <c r="AV133" s="18">
        <f t="shared" si="221"/>
        <v>0</v>
      </c>
      <c r="AW133" s="18">
        <f t="shared" si="222"/>
        <v>0</v>
      </c>
      <c r="AX133" s="18">
        <f t="shared" si="223"/>
        <v>0</v>
      </c>
      <c r="AY133" s="18">
        <f t="shared" si="224"/>
        <v>1</v>
      </c>
      <c r="BA133" s="27">
        <f t="shared" si="235"/>
        <v>0</v>
      </c>
      <c r="BB133" s="27">
        <f t="shared" si="225"/>
        <v>0</v>
      </c>
      <c r="BC133" s="27">
        <f t="shared" si="226"/>
        <v>0</v>
      </c>
      <c r="BD133" s="27">
        <f t="shared" si="227"/>
        <v>0</v>
      </c>
      <c r="BE133" s="27">
        <f t="shared" si="228"/>
        <v>0</v>
      </c>
      <c r="BF133" s="27">
        <f t="shared" si="229"/>
        <v>0</v>
      </c>
      <c r="BG133" s="27">
        <f t="shared" si="230"/>
        <v>0</v>
      </c>
      <c r="BH133" s="27">
        <f t="shared" si="231"/>
        <v>0</v>
      </c>
      <c r="BI133" s="27">
        <f t="shared" si="236"/>
        <v>0</v>
      </c>
      <c r="BJ133" s="27">
        <f t="shared" si="237"/>
        <v>0</v>
      </c>
    </row>
    <row r="134" spans="1:62" ht="22.5">
      <c r="A134" s="8" t="s">
        <v>22</v>
      </c>
      <c r="B134" s="7"/>
      <c r="C134" s="25"/>
      <c r="D134" s="25"/>
      <c r="E134" s="25"/>
      <c r="F134" s="25"/>
      <c r="G134" s="25"/>
      <c r="H134" s="25"/>
      <c r="I134" s="25">
        <v>1</v>
      </c>
      <c r="J134" s="25">
        <v>0</v>
      </c>
      <c r="K134" s="29"/>
      <c r="L134" s="25"/>
      <c r="M134" s="25"/>
      <c r="N134" s="25"/>
      <c r="O134" s="25"/>
      <c r="P134" s="25"/>
      <c r="Q134" s="25"/>
      <c r="R134" s="25">
        <v>0</v>
      </c>
      <c r="S134" s="25">
        <v>1</v>
      </c>
      <c r="U134" s="9">
        <f t="shared" si="208"/>
        <v>0</v>
      </c>
      <c r="V134" s="1">
        <f t="shared" si="238"/>
        <v>0</v>
      </c>
      <c r="W134" s="11">
        <f t="shared" si="233"/>
        <v>1</v>
      </c>
      <c r="X134" s="12">
        <v>5</v>
      </c>
      <c r="Y134" s="10">
        <f t="shared" si="234"/>
        <v>0.12820512820512819</v>
      </c>
      <c r="Z134" s="18"/>
      <c r="AA134" s="18"/>
      <c r="AB134" s="18"/>
      <c r="AC134" s="18"/>
      <c r="AD134" s="18"/>
      <c r="AE134" s="18"/>
      <c r="AF134" s="18">
        <v>0</v>
      </c>
      <c r="AG134" s="18">
        <v>1</v>
      </c>
      <c r="AH134" s="12"/>
      <c r="AI134" s="18">
        <f t="shared" si="209"/>
        <v>0</v>
      </c>
      <c r="AJ134" s="18">
        <f t="shared" si="210"/>
        <v>0</v>
      </c>
      <c r="AK134" s="18">
        <f t="shared" si="211"/>
        <v>0</v>
      </c>
      <c r="AL134" s="18">
        <f t="shared" si="212"/>
        <v>0</v>
      </c>
      <c r="AM134" s="18">
        <f t="shared" si="213"/>
        <v>0</v>
      </c>
      <c r="AN134" s="18">
        <f t="shared" si="214"/>
        <v>0</v>
      </c>
      <c r="AO134" s="18">
        <f t="shared" si="215"/>
        <v>0</v>
      </c>
      <c r="AP134" s="18">
        <f t="shared" si="216"/>
        <v>0</v>
      </c>
      <c r="AQ134" s="9"/>
      <c r="AR134" s="18">
        <f t="shared" si="217"/>
        <v>0</v>
      </c>
      <c r="AS134" s="18">
        <f t="shared" si="218"/>
        <v>0</v>
      </c>
      <c r="AT134" s="18">
        <f t="shared" si="219"/>
        <v>0</v>
      </c>
      <c r="AU134" s="18">
        <f t="shared" si="220"/>
        <v>0</v>
      </c>
      <c r="AV134" s="18">
        <f t="shared" si="221"/>
        <v>0</v>
      </c>
      <c r="AW134" s="18">
        <f t="shared" si="222"/>
        <v>0</v>
      </c>
      <c r="AX134" s="18">
        <f t="shared" si="223"/>
        <v>0</v>
      </c>
      <c r="AY134" s="18">
        <f t="shared" si="224"/>
        <v>1</v>
      </c>
      <c r="BA134" s="27">
        <f t="shared" si="235"/>
        <v>0</v>
      </c>
      <c r="BB134" s="27">
        <f t="shared" si="225"/>
        <v>0</v>
      </c>
      <c r="BC134" s="27">
        <f t="shared" si="226"/>
        <v>0</v>
      </c>
      <c r="BD134" s="27">
        <f t="shared" si="227"/>
        <v>0</v>
      </c>
      <c r="BE134" s="27">
        <f t="shared" si="228"/>
        <v>0</v>
      </c>
      <c r="BF134" s="27">
        <f t="shared" si="229"/>
        <v>0</v>
      </c>
      <c r="BG134" s="27">
        <f t="shared" si="230"/>
        <v>0</v>
      </c>
      <c r="BH134" s="27">
        <f t="shared" si="231"/>
        <v>-1</v>
      </c>
      <c r="BI134" s="27">
        <f t="shared" si="236"/>
        <v>1</v>
      </c>
      <c r="BJ134" s="27">
        <f t="shared" si="237"/>
        <v>0.12820512820512819</v>
      </c>
    </row>
    <row r="135" spans="1:62" ht="22.5">
      <c r="A135" s="8" t="s">
        <v>23</v>
      </c>
      <c r="B135" s="7"/>
      <c r="C135" s="25"/>
      <c r="D135" s="25"/>
      <c r="E135" s="25"/>
      <c r="F135" s="25"/>
      <c r="G135" s="25"/>
      <c r="H135" s="25"/>
      <c r="I135" s="25">
        <v>0</v>
      </c>
      <c r="J135" s="25">
        <v>1</v>
      </c>
      <c r="K135" s="29"/>
      <c r="L135" s="25"/>
      <c r="M135" s="25"/>
      <c r="N135" s="25"/>
      <c r="O135" s="25"/>
      <c r="P135" s="25"/>
      <c r="Q135" s="25"/>
      <c r="R135" s="25">
        <v>0</v>
      </c>
      <c r="S135" s="25">
        <v>1</v>
      </c>
      <c r="U135" s="9">
        <f>IF(MATCH(1,C135:J135,0)=MATCH(1,L135:S135,0),1,0)</f>
        <v>1</v>
      </c>
      <c r="V135" s="1">
        <f t="shared" si="238"/>
        <v>2.564102564102564E-2</v>
      </c>
      <c r="W135" s="11">
        <f>BI135</f>
        <v>0</v>
      </c>
      <c r="X135" s="12">
        <v>1</v>
      </c>
      <c r="Y135" s="10">
        <f t="shared" si="234"/>
        <v>2.564102564102564E-2</v>
      </c>
      <c r="Z135" s="18"/>
      <c r="AA135" s="18"/>
      <c r="AB135" s="18"/>
      <c r="AC135" s="18"/>
      <c r="AD135" s="18"/>
      <c r="AE135" s="18"/>
      <c r="AF135" s="18">
        <v>0</v>
      </c>
      <c r="AG135" s="18">
        <v>1</v>
      </c>
      <c r="AI135" s="18">
        <f t="shared" si="209"/>
        <v>0</v>
      </c>
      <c r="AJ135" s="18">
        <f t="shared" si="210"/>
        <v>0</v>
      </c>
      <c r="AK135" s="18">
        <f t="shared" si="211"/>
        <v>0</v>
      </c>
      <c r="AL135" s="18">
        <f t="shared" si="212"/>
        <v>0</v>
      </c>
      <c r="AM135" s="18">
        <f t="shared" si="213"/>
        <v>0</v>
      </c>
      <c r="AN135" s="18">
        <f t="shared" si="214"/>
        <v>0</v>
      </c>
      <c r="AO135" s="18">
        <f t="shared" si="215"/>
        <v>0</v>
      </c>
      <c r="AP135" s="18">
        <f t="shared" si="216"/>
        <v>1</v>
      </c>
      <c r="AQ135" s="9" t="s">
        <v>24</v>
      </c>
      <c r="AR135" s="18">
        <f t="shared" si="217"/>
        <v>0</v>
      </c>
      <c r="AS135" s="18">
        <f t="shared" si="218"/>
        <v>0</v>
      </c>
      <c r="AT135" s="18">
        <f t="shared" si="219"/>
        <v>0</v>
      </c>
      <c r="AU135" s="18">
        <f t="shared" si="220"/>
        <v>0</v>
      </c>
      <c r="AV135" s="18"/>
      <c r="AW135" s="18">
        <f t="shared" si="222"/>
        <v>0</v>
      </c>
      <c r="AX135" s="18">
        <f t="shared" si="223"/>
        <v>0</v>
      </c>
      <c r="AY135" s="18">
        <f t="shared" si="224"/>
        <v>1</v>
      </c>
      <c r="BA135" s="27">
        <f t="shared" si="235"/>
        <v>0</v>
      </c>
      <c r="BB135" s="27">
        <f t="shared" si="225"/>
        <v>0</v>
      </c>
      <c r="BC135" s="27">
        <f t="shared" si="226"/>
        <v>0</v>
      </c>
      <c r="BD135" s="27">
        <f t="shared" si="227"/>
        <v>0</v>
      </c>
      <c r="BE135" s="27">
        <f t="shared" si="228"/>
        <v>0</v>
      </c>
      <c r="BF135" s="27">
        <f t="shared" si="229"/>
        <v>0</v>
      </c>
      <c r="BG135" s="27">
        <f t="shared" si="230"/>
        <v>0</v>
      </c>
      <c r="BH135" s="27">
        <f t="shared" si="231"/>
        <v>0</v>
      </c>
      <c r="BI135" s="27">
        <f t="shared" si="236"/>
        <v>0</v>
      </c>
      <c r="BJ135" s="27">
        <f t="shared" si="237"/>
        <v>0</v>
      </c>
    </row>
    <row r="136" spans="1:62" ht="22.5">
      <c r="A136" s="14" t="s">
        <v>5</v>
      </c>
      <c r="B136" s="7"/>
      <c r="C136" s="25"/>
      <c r="D136" s="25"/>
      <c r="E136" s="25"/>
      <c r="F136" s="25"/>
      <c r="G136" s="25"/>
      <c r="H136" s="25"/>
      <c r="I136" s="25">
        <v>0</v>
      </c>
      <c r="J136" s="25">
        <v>1</v>
      </c>
      <c r="K136" s="29"/>
      <c r="L136" s="25"/>
      <c r="M136" s="25"/>
      <c r="N136" s="25"/>
      <c r="O136" s="25"/>
      <c r="P136" s="25"/>
      <c r="Q136" s="25"/>
      <c r="R136" s="25">
        <v>1</v>
      </c>
      <c r="S136" s="25">
        <v>0</v>
      </c>
      <c r="U136" s="9">
        <f t="shared" ref="U136" si="239">IF(MATCH(1,C136:J136,0)=MATCH(1,L136:S136,0),1,0)</f>
        <v>0</v>
      </c>
      <c r="V136" s="1">
        <f t="shared" si="238"/>
        <v>0</v>
      </c>
      <c r="W136" s="11">
        <f t="shared" ref="W136" si="240">BI136</f>
        <v>1</v>
      </c>
      <c r="X136" s="12">
        <v>1</v>
      </c>
      <c r="Y136" s="10">
        <f t="shared" si="234"/>
        <v>2.564102564102564E-2</v>
      </c>
      <c r="Z136" s="18"/>
      <c r="AA136" s="18"/>
      <c r="AB136" s="18"/>
      <c r="AC136" s="18"/>
      <c r="AD136" s="18"/>
      <c r="AE136" s="18"/>
      <c r="AF136" s="18">
        <v>0</v>
      </c>
      <c r="AG136" s="18">
        <v>1</v>
      </c>
      <c r="AH136" s="20"/>
      <c r="AI136" s="18">
        <f t="shared" si="209"/>
        <v>0</v>
      </c>
      <c r="AJ136" s="18">
        <f t="shared" si="210"/>
        <v>0</v>
      </c>
      <c r="AK136" s="18">
        <f t="shared" si="211"/>
        <v>0</v>
      </c>
      <c r="AL136" s="18">
        <f t="shared" si="212"/>
        <v>0</v>
      </c>
      <c r="AM136" s="18">
        <f t="shared" si="213"/>
        <v>0</v>
      </c>
      <c r="AN136" s="18">
        <f t="shared" si="214"/>
        <v>0</v>
      </c>
      <c r="AO136" s="18">
        <f t="shared" si="215"/>
        <v>0</v>
      </c>
      <c r="AP136" s="18">
        <f t="shared" si="216"/>
        <v>1</v>
      </c>
      <c r="AQ136" s="9"/>
      <c r="AR136" s="18">
        <f t="shared" si="217"/>
        <v>0</v>
      </c>
      <c r="AS136" s="18">
        <f t="shared" si="218"/>
        <v>0</v>
      </c>
      <c r="AT136" s="18">
        <f t="shared" si="219"/>
        <v>0</v>
      </c>
      <c r="AU136" s="18">
        <f t="shared" si="220"/>
        <v>0</v>
      </c>
      <c r="AV136" s="18">
        <f>P136*AD136</f>
        <v>0</v>
      </c>
      <c r="AW136" s="18">
        <f t="shared" si="222"/>
        <v>0</v>
      </c>
      <c r="AX136" s="18">
        <f t="shared" si="223"/>
        <v>0</v>
      </c>
      <c r="AY136" s="18">
        <f t="shared" si="224"/>
        <v>0</v>
      </c>
      <c r="BA136" s="27">
        <f>(AI136-AR136)</f>
        <v>0</v>
      </c>
      <c r="BB136" s="27">
        <f t="shared" si="225"/>
        <v>0</v>
      </c>
      <c r="BC136" s="27">
        <f t="shared" si="226"/>
        <v>0</v>
      </c>
      <c r="BD136" s="27">
        <f t="shared" si="227"/>
        <v>0</v>
      </c>
      <c r="BE136" s="27">
        <f t="shared" si="228"/>
        <v>0</v>
      </c>
      <c r="BF136" s="27">
        <f t="shared" si="229"/>
        <v>0</v>
      </c>
      <c r="BG136" s="27">
        <f t="shared" si="230"/>
        <v>0</v>
      </c>
      <c r="BH136" s="27">
        <f t="shared" si="231"/>
        <v>1</v>
      </c>
      <c r="BI136" s="27">
        <f t="shared" si="236"/>
        <v>1</v>
      </c>
      <c r="BJ136" s="27">
        <f t="shared" si="237"/>
        <v>2.564102564102564E-2</v>
      </c>
    </row>
    <row r="137" spans="1:62">
      <c r="B137" t="s">
        <v>35</v>
      </c>
      <c r="C137" s="30"/>
      <c r="D137" s="30"/>
      <c r="E137" s="30"/>
      <c r="F137" s="30"/>
      <c r="G137" s="30"/>
      <c r="H137" s="30"/>
      <c r="I137" s="30"/>
      <c r="J137" s="30"/>
      <c r="K137" t="s">
        <v>51</v>
      </c>
      <c r="AI137" s="11">
        <f t="shared" si="209"/>
        <v>0</v>
      </c>
      <c r="AJ137" s="11">
        <f t="shared" si="210"/>
        <v>0</v>
      </c>
      <c r="AK137" s="11">
        <f t="shared" si="211"/>
        <v>0</v>
      </c>
      <c r="AL137" s="11">
        <f t="shared" si="212"/>
        <v>0</v>
      </c>
      <c r="AM137" s="11">
        <f t="shared" si="213"/>
        <v>0</v>
      </c>
      <c r="AN137" s="11">
        <f t="shared" si="214"/>
        <v>0</v>
      </c>
    </row>
    <row r="138" spans="1:62" ht="22.5">
      <c r="A138" s="6" t="s">
        <v>10</v>
      </c>
      <c r="B138" s="7"/>
      <c r="C138" s="25">
        <v>0</v>
      </c>
      <c r="D138" s="28">
        <v>1</v>
      </c>
      <c r="E138" s="28"/>
      <c r="F138" s="28"/>
      <c r="G138" s="28"/>
      <c r="H138" s="28"/>
      <c r="I138" s="28"/>
      <c r="J138" s="28"/>
      <c r="K138" s="29"/>
      <c r="L138" s="25">
        <v>0</v>
      </c>
      <c r="M138" s="28">
        <v>1</v>
      </c>
      <c r="N138" s="28"/>
      <c r="O138" s="28"/>
      <c r="P138" s="28"/>
      <c r="Q138" s="28"/>
      <c r="R138" s="28"/>
      <c r="S138" s="28"/>
      <c r="U138" s="9">
        <f t="shared" ref="U138:U151" si="241">IF(MATCH(1,C138:J138,0)=MATCH(1,L138:S138,0),1,0)</f>
        <v>1</v>
      </c>
      <c r="V138" s="1">
        <f>(1-W138)*Y138</f>
        <v>2.564102564102564E-2</v>
      </c>
      <c r="W138" s="11">
        <f>BI138</f>
        <v>0</v>
      </c>
      <c r="X138" s="9">
        <v>1</v>
      </c>
      <c r="Y138" s="10">
        <f>X138/SUM($X$2:$X$17)</f>
        <v>2.564102564102564E-2</v>
      </c>
      <c r="Z138" s="18">
        <v>0</v>
      </c>
      <c r="AA138" s="18">
        <v>1</v>
      </c>
      <c r="AB138" s="18"/>
      <c r="AC138" s="18"/>
      <c r="AD138" s="18"/>
      <c r="AE138" s="18"/>
      <c r="AF138" s="18"/>
      <c r="AG138" s="18"/>
      <c r="AH138" s="12"/>
      <c r="AI138" s="18">
        <f t="shared" ref="AI138:AI154" si="242">C138*Z138</f>
        <v>0</v>
      </c>
      <c r="AJ138" s="18">
        <f t="shared" ref="AJ138:AJ154" si="243">D138*AA138</f>
        <v>1</v>
      </c>
      <c r="AK138" s="18">
        <f t="shared" ref="AK138:AK154" si="244">E138*AB138</f>
        <v>0</v>
      </c>
      <c r="AL138" s="18">
        <f t="shared" ref="AL138:AL154" si="245">F138*AC138</f>
        <v>0</v>
      </c>
      <c r="AM138" s="18">
        <f t="shared" ref="AM138:AM154" si="246">G138*AD138</f>
        <v>0</v>
      </c>
      <c r="AN138" s="18">
        <f t="shared" ref="AN138:AN154" si="247">H138*AE138</f>
        <v>0</v>
      </c>
      <c r="AO138" s="18">
        <f t="shared" ref="AO138:AO153" si="248">I138*AF138</f>
        <v>0</v>
      </c>
      <c r="AP138" s="18">
        <f t="shared" ref="AP138:AP153" si="249">J138*AG138</f>
        <v>0</v>
      </c>
      <c r="AQ138" s="9"/>
      <c r="AR138" s="18">
        <f t="shared" ref="AR138:AR153" si="250">L138*Z138</f>
        <v>0</v>
      </c>
      <c r="AS138" s="18">
        <f t="shared" ref="AS138:AS153" si="251">M138*AA138</f>
        <v>1</v>
      </c>
      <c r="AT138" s="18">
        <f t="shared" ref="AT138:AT153" si="252">N138*AB138</f>
        <v>0</v>
      </c>
      <c r="AU138" s="18">
        <f t="shared" ref="AU138:AU153" si="253">O138*AC138</f>
        <v>0</v>
      </c>
      <c r="AV138" s="18">
        <f t="shared" ref="AV138:AV151" si="254">P138*AD138</f>
        <v>0</v>
      </c>
      <c r="AW138" s="18">
        <f t="shared" ref="AW138:AW153" si="255">Q138*AE138</f>
        <v>0</v>
      </c>
      <c r="AX138" s="18">
        <f t="shared" ref="AX138:AX153" si="256">R138*AF138</f>
        <v>0</v>
      </c>
      <c r="AY138" s="18">
        <f t="shared" ref="AY138:AY153" si="257">S138*AG138</f>
        <v>0</v>
      </c>
      <c r="BA138" s="27">
        <f>(AI138-AR138)</f>
        <v>0</v>
      </c>
      <c r="BB138" s="27">
        <f t="shared" ref="BB138:BB153" si="258">(AJ138-AS138)</f>
        <v>0</v>
      </c>
      <c r="BC138" s="27">
        <f t="shared" ref="BC138:BC153" si="259">(AK138-AT138)</f>
        <v>0</v>
      </c>
      <c r="BD138" s="27">
        <f t="shared" ref="BD138:BD153" si="260">(AL138-AU138)</f>
        <v>0</v>
      </c>
      <c r="BE138" s="27">
        <f t="shared" ref="BE138:BE153" si="261">(AM138-AV138)</f>
        <v>0</v>
      </c>
      <c r="BF138" s="27">
        <f t="shared" ref="BF138:BF153" si="262">(AN138-AW138)</f>
        <v>0</v>
      </c>
      <c r="BG138" s="27">
        <f t="shared" ref="BG138:BG153" si="263">(AO138-AX138)</f>
        <v>0</v>
      </c>
      <c r="BH138" s="27">
        <f t="shared" ref="BH138:BH153" si="264">(AP138-AY138)</f>
        <v>0</v>
      </c>
      <c r="BI138" s="27">
        <f>ABS(SUM(BA138:BH138))</f>
        <v>0</v>
      </c>
      <c r="BJ138" s="27">
        <f>BI138*Y138</f>
        <v>0</v>
      </c>
    </row>
    <row r="139" spans="1:62" ht="22.5">
      <c r="A139" s="6" t="s">
        <v>11</v>
      </c>
      <c r="B139" s="7"/>
      <c r="C139" s="25">
        <v>0</v>
      </c>
      <c r="D139" s="28">
        <v>1</v>
      </c>
      <c r="E139" s="28"/>
      <c r="F139" s="28"/>
      <c r="G139" s="28"/>
      <c r="H139" s="28"/>
      <c r="I139" s="28"/>
      <c r="J139" s="28"/>
      <c r="K139" s="29"/>
      <c r="L139" s="25">
        <v>0</v>
      </c>
      <c r="M139" s="28">
        <v>1</v>
      </c>
      <c r="N139" s="28"/>
      <c r="O139" s="28"/>
      <c r="P139" s="28"/>
      <c r="Q139" s="28"/>
      <c r="R139" s="28"/>
      <c r="S139" s="28"/>
      <c r="U139" s="9">
        <f t="shared" si="241"/>
        <v>1</v>
      </c>
      <c r="V139" s="1">
        <f t="shared" ref="V139:V148" si="265">(1-W139)*Y139</f>
        <v>2.564102564102564E-2</v>
      </c>
      <c r="W139" s="11">
        <f t="shared" ref="W139:W151" si="266">BI139</f>
        <v>0</v>
      </c>
      <c r="X139" s="9">
        <v>1</v>
      </c>
      <c r="Y139" s="10">
        <f t="shared" ref="Y139:Y153" si="267">X139/SUM($X$2:$X$17)</f>
        <v>2.564102564102564E-2</v>
      </c>
      <c r="Z139" s="18">
        <v>0</v>
      </c>
      <c r="AA139" s="18">
        <v>1</v>
      </c>
      <c r="AB139" s="18"/>
      <c r="AC139" s="18"/>
      <c r="AD139" s="18"/>
      <c r="AE139" s="18"/>
      <c r="AF139" s="18"/>
      <c r="AG139" s="18"/>
      <c r="AH139" s="12"/>
      <c r="AI139" s="18">
        <f t="shared" si="242"/>
        <v>0</v>
      </c>
      <c r="AJ139" s="18">
        <f t="shared" si="243"/>
        <v>1</v>
      </c>
      <c r="AK139" s="18">
        <f t="shared" si="244"/>
        <v>0</v>
      </c>
      <c r="AL139" s="18">
        <f t="shared" si="245"/>
        <v>0</v>
      </c>
      <c r="AM139" s="18">
        <f t="shared" si="246"/>
        <v>0</v>
      </c>
      <c r="AN139" s="18">
        <f t="shared" si="247"/>
        <v>0</v>
      </c>
      <c r="AO139" s="18">
        <f t="shared" si="248"/>
        <v>0</v>
      </c>
      <c r="AP139" s="18">
        <f t="shared" si="249"/>
        <v>0</v>
      </c>
      <c r="AQ139" s="9"/>
      <c r="AR139" s="18">
        <f t="shared" si="250"/>
        <v>0</v>
      </c>
      <c r="AS139" s="18">
        <f t="shared" si="251"/>
        <v>1</v>
      </c>
      <c r="AT139" s="18">
        <f t="shared" si="252"/>
        <v>0</v>
      </c>
      <c r="AU139" s="18">
        <f t="shared" si="253"/>
        <v>0</v>
      </c>
      <c r="AV139" s="18">
        <f t="shared" si="254"/>
        <v>0</v>
      </c>
      <c r="AW139" s="18">
        <f t="shared" si="255"/>
        <v>0</v>
      </c>
      <c r="AX139" s="18">
        <f t="shared" si="256"/>
        <v>0</v>
      </c>
      <c r="AY139" s="18">
        <f t="shared" si="257"/>
        <v>0</v>
      </c>
      <c r="BA139" s="27">
        <f t="shared" ref="BA139:BA152" si="268">(AI139-AR139)</f>
        <v>0</v>
      </c>
      <c r="BB139" s="27">
        <f t="shared" si="258"/>
        <v>0</v>
      </c>
      <c r="BC139" s="27">
        <f t="shared" si="259"/>
        <v>0</v>
      </c>
      <c r="BD139" s="27">
        <f t="shared" si="260"/>
        <v>0</v>
      </c>
      <c r="BE139" s="27">
        <f t="shared" si="261"/>
        <v>0</v>
      </c>
      <c r="BF139" s="27">
        <f t="shared" si="262"/>
        <v>0</v>
      </c>
      <c r="BG139" s="27">
        <f t="shared" si="263"/>
        <v>0</v>
      </c>
      <c r="BH139" s="27">
        <f t="shared" si="264"/>
        <v>0</v>
      </c>
      <c r="BI139" s="27">
        <f t="shared" ref="BI139:BI153" si="269">ABS(SUM(BA139:BH139))</f>
        <v>0</v>
      </c>
      <c r="BJ139" s="27">
        <f t="shared" ref="BJ139:BJ153" si="270">BI139*Y139</f>
        <v>0</v>
      </c>
    </row>
    <row r="140" spans="1:62" s="22" customFormat="1" ht="22.5">
      <c r="A140" s="8" t="s">
        <v>12</v>
      </c>
      <c r="B140" s="21"/>
      <c r="C140" s="25">
        <v>0</v>
      </c>
      <c r="D140" s="25">
        <v>1</v>
      </c>
      <c r="E140" s="25">
        <v>0</v>
      </c>
      <c r="F140" s="28">
        <v>0</v>
      </c>
      <c r="G140" s="28"/>
      <c r="H140" s="28"/>
      <c r="I140" s="28"/>
      <c r="J140" s="28"/>
      <c r="K140" s="29"/>
      <c r="L140" s="25">
        <v>0</v>
      </c>
      <c r="M140" s="25">
        <v>1</v>
      </c>
      <c r="N140" s="25">
        <v>0</v>
      </c>
      <c r="O140" s="28">
        <v>0</v>
      </c>
      <c r="P140" s="28"/>
      <c r="Q140" s="28"/>
      <c r="R140" s="28"/>
      <c r="S140" s="28"/>
      <c r="T140"/>
      <c r="U140" s="23">
        <f t="shared" si="241"/>
        <v>1</v>
      </c>
      <c r="V140" s="1">
        <f t="shared" si="265"/>
        <v>7.6923076923076927E-2</v>
      </c>
      <c r="W140" s="11">
        <f t="shared" si="266"/>
        <v>0</v>
      </c>
      <c r="X140" s="23">
        <v>3</v>
      </c>
      <c r="Y140" s="24">
        <f t="shared" si="267"/>
        <v>7.6923076923076927E-2</v>
      </c>
      <c r="Z140" s="18">
        <v>0</v>
      </c>
      <c r="AA140" s="18">
        <v>0.3</v>
      </c>
      <c r="AB140" s="18">
        <v>0.8</v>
      </c>
      <c r="AC140" s="18">
        <v>1</v>
      </c>
      <c r="AD140" s="18"/>
      <c r="AE140" s="18"/>
      <c r="AF140" s="18"/>
      <c r="AG140" s="18"/>
      <c r="AH140" s="12"/>
      <c r="AI140" s="18">
        <f t="shared" si="242"/>
        <v>0</v>
      </c>
      <c r="AJ140" s="18">
        <f t="shared" si="243"/>
        <v>0.3</v>
      </c>
      <c r="AK140" s="18">
        <f t="shared" si="244"/>
        <v>0</v>
      </c>
      <c r="AL140" s="18">
        <f t="shared" si="245"/>
        <v>0</v>
      </c>
      <c r="AM140" s="18">
        <f t="shared" si="246"/>
        <v>0</v>
      </c>
      <c r="AN140" s="18">
        <f t="shared" si="247"/>
        <v>0</v>
      </c>
      <c r="AO140" s="18">
        <f t="shared" si="248"/>
        <v>0</v>
      </c>
      <c r="AP140" s="18">
        <f t="shared" si="249"/>
        <v>0</v>
      </c>
      <c r="AQ140" s="23"/>
      <c r="AR140" s="18">
        <f t="shared" si="250"/>
        <v>0</v>
      </c>
      <c r="AS140" s="18">
        <f t="shared" si="251"/>
        <v>0.3</v>
      </c>
      <c r="AT140" s="18">
        <f t="shared" si="252"/>
        <v>0</v>
      </c>
      <c r="AU140" s="18">
        <f t="shared" si="253"/>
        <v>0</v>
      </c>
      <c r="AV140" s="18">
        <f t="shared" si="254"/>
        <v>0</v>
      </c>
      <c r="AW140" s="18">
        <f t="shared" si="255"/>
        <v>0</v>
      </c>
      <c r="AX140" s="18">
        <f t="shared" si="256"/>
        <v>0</v>
      </c>
      <c r="AY140" s="18">
        <f t="shared" si="257"/>
        <v>0</v>
      </c>
      <c r="BA140" s="27">
        <f t="shared" si="268"/>
        <v>0</v>
      </c>
      <c r="BB140" s="27">
        <f t="shared" si="258"/>
        <v>0</v>
      </c>
      <c r="BC140" s="27">
        <f t="shared" si="259"/>
        <v>0</v>
      </c>
      <c r="BD140" s="27">
        <f t="shared" si="260"/>
        <v>0</v>
      </c>
      <c r="BE140" s="27">
        <f t="shared" si="261"/>
        <v>0</v>
      </c>
      <c r="BF140" s="27">
        <f t="shared" si="262"/>
        <v>0</v>
      </c>
      <c r="BG140" s="27">
        <f t="shared" si="263"/>
        <v>0</v>
      </c>
      <c r="BH140" s="27">
        <f t="shared" si="264"/>
        <v>0</v>
      </c>
      <c r="BI140" s="27">
        <f t="shared" si="269"/>
        <v>0</v>
      </c>
      <c r="BJ140" s="27">
        <f t="shared" si="270"/>
        <v>0</v>
      </c>
    </row>
    <row r="141" spans="1:62" s="22" customFormat="1" ht="22.5">
      <c r="A141" s="8" t="s">
        <v>13</v>
      </c>
      <c r="B141" s="21"/>
      <c r="C141" s="25">
        <v>0</v>
      </c>
      <c r="D141" s="25">
        <v>0</v>
      </c>
      <c r="E141" s="25">
        <v>0</v>
      </c>
      <c r="F141" s="28">
        <v>1</v>
      </c>
      <c r="G141" s="28"/>
      <c r="H141" s="28"/>
      <c r="I141" s="28"/>
      <c r="J141" s="28"/>
      <c r="K141" s="29"/>
      <c r="L141" s="25">
        <v>0</v>
      </c>
      <c r="M141" s="25">
        <v>0</v>
      </c>
      <c r="N141" s="25">
        <v>0</v>
      </c>
      <c r="O141" s="28">
        <v>1</v>
      </c>
      <c r="P141" s="28"/>
      <c r="Q141" s="28"/>
      <c r="R141" s="28"/>
      <c r="S141" s="28"/>
      <c r="T141"/>
      <c r="U141" s="23">
        <f t="shared" si="241"/>
        <v>1</v>
      </c>
      <c r="V141" s="1">
        <f t="shared" si="265"/>
        <v>2.564102564102564E-2</v>
      </c>
      <c r="W141" s="11">
        <f t="shared" si="266"/>
        <v>0</v>
      </c>
      <c r="X141" s="23">
        <v>1</v>
      </c>
      <c r="Y141" s="24">
        <f t="shared" si="267"/>
        <v>2.564102564102564E-2</v>
      </c>
      <c r="Z141" s="18">
        <v>0</v>
      </c>
      <c r="AA141" s="18">
        <v>0.3</v>
      </c>
      <c r="AB141" s="18">
        <v>0.8</v>
      </c>
      <c r="AC141" s="18">
        <v>1</v>
      </c>
      <c r="AD141" s="18"/>
      <c r="AE141" s="18"/>
      <c r="AF141" s="18"/>
      <c r="AG141" s="18"/>
      <c r="AH141" s="12"/>
      <c r="AI141" s="18">
        <f t="shared" si="242"/>
        <v>0</v>
      </c>
      <c r="AJ141" s="18">
        <f t="shared" si="243"/>
        <v>0</v>
      </c>
      <c r="AK141" s="18">
        <f t="shared" si="244"/>
        <v>0</v>
      </c>
      <c r="AL141" s="18">
        <f t="shared" si="245"/>
        <v>1</v>
      </c>
      <c r="AM141" s="18">
        <f t="shared" si="246"/>
        <v>0</v>
      </c>
      <c r="AN141" s="18">
        <f t="shared" si="247"/>
        <v>0</v>
      </c>
      <c r="AO141" s="18">
        <f t="shared" si="248"/>
        <v>0</v>
      </c>
      <c r="AP141" s="18">
        <f t="shared" si="249"/>
        <v>0</v>
      </c>
      <c r="AQ141" s="23"/>
      <c r="AR141" s="18">
        <f t="shared" si="250"/>
        <v>0</v>
      </c>
      <c r="AS141" s="18">
        <f t="shared" si="251"/>
        <v>0</v>
      </c>
      <c r="AT141" s="18">
        <f t="shared" si="252"/>
        <v>0</v>
      </c>
      <c r="AU141" s="18">
        <f t="shared" si="253"/>
        <v>1</v>
      </c>
      <c r="AV141" s="18">
        <f t="shared" si="254"/>
        <v>0</v>
      </c>
      <c r="AW141" s="18">
        <f t="shared" si="255"/>
        <v>0</v>
      </c>
      <c r="AX141" s="18">
        <f t="shared" si="256"/>
        <v>0</v>
      </c>
      <c r="AY141" s="18">
        <f t="shared" si="257"/>
        <v>0</v>
      </c>
      <c r="BA141" s="27">
        <f t="shared" si="268"/>
        <v>0</v>
      </c>
      <c r="BB141" s="27">
        <f t="shared" si="258"/>
        <v>0</v>
      </c>
      <c r="BC141" s="27">
        <f t="shared" si="259"/>
        <v>0</v>
      </c>
      <c r="BD141" s="27">
        <f t="shared" si="260"/>
        <v>0</v>
      </c>
      <c r="BE141" s="27">
        <f t="shared" si="261"/>
        <v>0</v>
      </c>
      <c r="BF141" s="27">
        <f t="shared" si="262"/>
        <v>0</v>
      </c>
      <c r="BG141" s="27">
        <f t="shared" si="263"/>
        <v>0</v>
      </c>
      <c r="BH141" s="27">
        <f t="shared" si="264"/>
        <v>0</v>
      </c>
      <c r="BI141" s="27">
        <f t="shared" si="269"/>
        <v>0</v>
      </c>
      <c r="BJ141" s="27">
        <f t="shared" si="270"/>
        <v>0</v>
      </c>
    </row>
    <row r="142" spans="1:62" s="22" customFormat="1" ht="22.5">
      <c r="A142" s="8" t="s">
        <v>14</v>
      </c>
      <c r="B142" s="21"/>
      <c r="C142" s="25">
        <v>0</v>
      </c>
      <c r="D142" s="25">
        <v>0</v>
      </c>
      <c r="E142" s="25">
        <v>1</v>
      </c>
      <c r="F142" s="28">
        <v>0</v>
      </c>
      <c r="G142" s="28"/>
      <c r="H142" s="28"/>
      <c r="I142" s="28"/>
      <c r="J142" s="28"/>
      <c r="K142" s="29"/>
      <c r="L142" s="25">
        <v>0</v>
      </c>
      <c r="M142" s="25">
        <v>0</v>
      </c>
      <c r="N142" s="25">
        <v>1</v>
      </c>
      <c r="O142" s="28">
        <v>0</v>
      </c>
      <c r="P142" s="28"/>
      <c r="Q142" s="28"/>
      <c r="R142" s="28"/>
      <c r="S142" s="28"/>
      <c r="T142"/>
      <c r="U142" s="23">
        <f t="shared" si="241"/>
        <v>1</v>
      </c>
      <c r="V142" s="1">
        <f t="shared" si="265"/>
        <v>2.564102564102564E-2</v>
      </c>
      <c r="W142" s="11">
        <f t="shared" si="266"/>
        <v>0</v>
      </c>
      <c r="X142" s="23">
        <v>1</v>
      </c>
      <c r="Y142" s="24">
        <f t="shared" si="267"/>
        <v>2.564102564102564E-2</v>
      </c>
      <c r="Z142" s="18">
        <v>0</v>
      </c>
      <c r="AA142" s="18">
        <v>0.3</v>
      </c>
      <c r="AB142" s="18">
        <v>0.8</v>
      </c>
      <c r="AC142" s="18">
        <v>1</v>
      </c>
      <c r="AD142" s="18"/>
      <c r="AE142" s="18"/>
      <c r="AF142" s="18"/>
      <c r="AG142" s="18"/>
      <c r="AH142" s="12"/>
      <c r="AI142" s="18">
        <f t="shared" si="242"/>
        <v>0</v>
      </c>
      <c r="AJ142" s="18">
        <f t="shared" si="243"/>
        <v>0</v>
      </c>
      <c r="AK142" s="18">
        <f t="shared" si="244"/>
        <v>0.8</v>
      </c>
      <c r="AL142" s="18">
        <f t="shared" si="245"/>
        <v>0</v>
      </c>
      <c r="AM142" s="18">
        <f t="shared" si="246"/>
        <v>0</v>
      </c>
      <c r="AN142" s="18">
        <f t="shared" si="247"/>
        <v>0</v>
      </c>
      <c r="AO142" s="18">
        <f t="shared" si="248"/>
        <v>0</v>
      </c>
      <c r="AP142" s="18">
        <f t="shared" si="249"/>
        <v>0</v>
      </c>
      <c r="AQ142" s="23"/>
      <c r="AR142" s="18">
        <f t="shared" si="250"/>
        <v>0</v>
      </c>
      <c r="AS142" s="18">
        <f t="shared" si="251"/>
        <v>0</v>
      </c>
      <c r="AT142" s="18">
        <f t="shared" si="252"/>
        <v>0.8</v>
      </c>
      <c r="AU142" s="18">
        <f t="shared" si="253"/>
        <v>0</v>
      </c>
      <c r="AV142" s="18">
        <f t="shared" si="254"/>
        <v>0</v>
      </c>
      <c r="AW142" s="18">
        <f t="shared" si="255"/>
        <v>0</v>
      </c>
      <c r="AX142" s="18">
        <f t="shared" si="256"/>
        <v>0</v>
      </c>
      <c r="AY142" s="18">
        <f t="shared" si="257"/>
        <v>0</v>
      </c>
      <c r="BA142" s="27">
        <f t="shared" si="268"/>
        <v>0</v>
      </c>
      <c r="BB142" s="27">
        <f t="shared" si="258"/>
        <v>0</v>
      </c>
      <c r="BC142" s="27">
        <f t="shared" si="259"/>
        <v>0</v>
      </c>
      <c r="BD142" s="27">
        <f t="shared" si="260"/>
        <v>0</v>
      </c>
      <c r="BE142" s="27">
        <f t="shared" si="261"/>
        <v>0</v>
      </c>
      <c r="BF142" s="27">
        <f t="shared" si="262"/>
        <v>0</v>
      </c>
      <c r="BG142" s="27">
        <f t="shared" si="263"/>
        <v>0</v>
      </c>
      <c r="BH142" s="27">
        <f t="shared" si="264"/>
        <v>0</v>
      </c>
      <c r="BI142" s="27">
        <f t="shared" si="269"/>
        <v>0</v>
      </c>
      <c r="BJ142" s="27">
        <f t="shared" si="270"/>
        <v>0</v>
      </c>
    </row>
    <row r="143" spans="1:62" s="22" customFormat="1" ht="22.5">
      <c r="A143" s="8" t="s">
        <v>15</v>
      </c>
      <c r="B143" s="21"/>
      <c r="C143" s="25">
        <v>0</v>
      </c>
      <c r="D143" s="25">
        <v>1</v>
      </c>
      <c r="E143" s="25">
        <v>0</v>
      </c>
      <c r="F143" s="28">
        <v>0</v>
      </c>
      <c r="G143" s="28"/>
      <c r="H143" s="28"/>
      <c r="I143" s="28"/>
      <c r="J143" s="28"/>
      <c r="K143" s="29"/>
      <c r="L143" s="25">
        <v>0</v>
      </c>
      <c r="M143" s="25">
        <v>1</v>
      </c>
      <c r="N143" s="25">
        <v>0</v>
      </c>
      <c r="O143" s="28">
        <v>0</v>
      </c>
      <c r="P143" s="28"/>
      <c r="Q143" s="28"/>
      <c r="R143" s="28"/>
      <c r="S143" s="28"/>
      <c r="T143"/>
      <c r="U143" s="23">
        <f t="shared" si="241"/>
        <v>1</v>
      </c>
      <c r="V143" s="1">
        <f t="shared" si="265"/>
        <v>7.6923076923076927E-2</v>
      </c>
      <c r="W143" s="11">
        <f t="shared" si="266"/>
        <v>0</v>
      </c>
      <c r="X143" s="23">
        <v>3</v>
      </c>
      <c r="Y143" s="24">
        <f t="shared" si="267"/>
        <v>7.6923076923076927E-2</v>
      </c>
      <c r="Z143" s="18">
        <v>0</v>
      </c>
      <c r="AA143" s="18">
        <v>0.3</v>
      </c>
      <c r="AB143" s="18">
        <v>0.8</v>
      </c>
      <c r="AC143" s="18">
        <v>1</v>
      </c>
      <c r="AD143" s="18"/>
      <c r="AE143" s="18"/>
      <c r="AF143" s="18"/>
      <c r="AG143" s="18"/>
      <c r="AH143" s="12"/>
      <c r="AI143" s="18">
        <f t="shared" si="242"/>
        <v>0</v>
      </c>
      <c r="AJ143" s="18">
        <f t="shared" si="243"/>
        <v>0.3</v>
      </c>
      <c r="AK143" s="18">
        <f t="shared" si="244"/>
        <v>0</v>
      </c>
      <c r="AL143" s="18">
        <f t="shared" si="245"/>
        <v>0</v>
      </c>
      <c r="AM143" s="18">
        <f t="shared" si="246"/>
        <v>0</v>
      </c>
      <c r="AN143" s="18">
        <f t="shared" si="247"/>
        <v>0</v>
      </c>
      <c r="AO143" s="18">
        <f t="shared" si="248"/>
        <v>0</v>
      </c>
      <c r="AP143" s="18">
        <f t="shared" si="249"/>
        <v>0</v>
      </c>
      <c r="AQ143" s="23"/>
      <c r="AR143" s="18">
        <f t="shared" si="250"/>
        <v>0</v>
      </c>
      <c r="AS143" s="18">
        <f t="shared" si="251"/>
        <v>0.3</v>
      </c>
      <c r="AT143" s="18">
        <f t="shared" si="252"/>
        <v>0</v>
      </c>
      <c r="AU143" s="18">
        <f t="shared" si="253"/>
        <v>0</v>
      </c>
      <c r="AV143" s="18">
        <f t="shared" si="254"/>
        <v>0</v>
      </c>
      <c r="AW143" s="18">
        <f t="shared" si="255"/>
        <v>0</v>
      </c>
      <c r="AX143" s="18">
        <f t="shared" si="256"/>
        <v>0</v>
      </c>
      <c r="AY143" s="18">
        <f t="shared" si="257"/>
        <v>0</v>
      </c>
      <c r="BA143" s="27">
        <f t="shared" si="268"/>
        <v>0</v>
      </c>
      <c r="BB143" s="27">
        <f t="shared" si="258"/>
        <v>0</v>
      </c>
      <c r="BC143" s="27">
        <f t="shared" si="259"/>
        <v>0</v>
      </c>
      <c r="BD143" s="27">
        <f t="shared" si="260"/>
        <v>0</v>
      </c>
      <c r="BE143" s="27">
        <f t="shared" si="261"/>
        <v>0</v>
      </c>
      <c r="BF143" s="27">
        <f t="shared" si="262"/>
        <v>0</v>
      </c>
      <c r="BG143" s="27">
        <f t="shared" si="263"/>
        <v>0</v>
      </c>
      <c r="BH143" s="27">
        <f t="shared" si="264"/>
        <v>0</v>
      </c>
      <c r="BI143" s="27">
        <f t="shared" si="269"/>
        <v>0</v>
      </c>
      <c r="BJ143" s="27">
        <f t="shared" si="270"/>
        <v>0</v>
      </c>
    </row>
    <row r="144" spans="1:62" s="22" customFormat="1" ht="22.5">
      <c r="A144" s="8" t="s">
        <v>16</v>
      </c>
      <c r="B144" s="21"/>
      <c r="C144" s="25">
        <v>1</v>
      </c>
      <c r="D144" s="25">
        <v>0</v>
      </c>
      <c r="E144" s="25">
        <v>0</v>
      </c>
      <c r="F144" s="28">
        <v>0</v>
      </c>
      <c r="G144" s="28"/>
      <c r="H144" s="28"/>
      <c r="I144" s="28"/>
      <c r="J144" s="28"/>
      <c r="K144" s="29"/>
      <c r="L144" s="25">
        <v>1</v>
      </c>
      <c r="M144" s="25">
        <v>0</v>
      </c>
      <c r="N144" s="25">
        <v>0</v>
      </c>
      <c r="O144" s="28">
        <v>0</v>
      </c>
      <c r="P144" s="28"/>
      <c r="Q144" s="28"/>
      <c r="R144" s="28"/>
      <c r="S144" s="28"/>
      <c r="T144"/>
      <c r="U144" s="23">
        <f t="shared" si="241"/>
        <v>1</v>
      </c>
      <c r="V144" s="1">
        <f t="shared" si="265"/>
        <v>0.12820512820512819</v>
      </c>
      <c r="W144" s="11">
        <f t="shared" si="266"/>
        <v>0</v>
      </c>
      <c r="X144" s="23">
        <v>5</v>
      </c>
      <c r="Y144" s="24">
        <f t="shared" si="267"/>
        <v>0.12820512820512819</v>
      </c>
      <c r="Z144" s="18">
        <v>0</v>
      </c>
      <c r="AA144" s="18">
        <v>0.3</v>
      </c>
      <c r="AB144" s="18">
        <v>0.8</v>
      </c>
      <c r="AC144" s="18">
        <v>1</v>
      </c>
      <c r="AD144" s="18"/>
      <c r="AE144" s="18"/>
      <c r="AF144" s="18"/>
      <c r="AG144" s="18"/>
      <c r="AH144" s="12"/>
      <c r="AI144" s="18">
        <f t="shared" si="242"/>
        <v>0</v>
      </c>
      <c r="AJ144" s="18">
        <f t="shared" si="243"/>
        <v>0</v>
      </c>
      <c r="AK144" s="18">
        <f t="shared" si="244"/>
        <v>0</v>
      </c>
      <c r="AL144" s="18">
        <f t="shared" si="245"/>
        <v>0</v>
      </c>
      <c r="AM144" s="18">
        <f t="shared" si="246"/>
        <v>0</v>
      </c>
      <c r="AN144" s="18">
        <f t="shared" si="247"/>
        <v>0</v>
      </c>
      <c r="AO144" s="18">
        <f t="shared" si="248"/>
        <v>0</v>
      </c>
      <c r="AP144" s="18">
        <f t="shared" si="249"/>
        <v>0</v>
      </c>
      <c r="AQ144" s="23"/>
      <c r="AR144" s="18">
        <f t="shared" si="250"/>
        <v>0</v>
      </c>
      <c r="AS144" s="18">
        <f t="shared" si="251"/>
        <v>0</v>
      </c>
      <c r="AT144" s="18">
        <f t="shared" si="252"/>
        <v>0</v>
      </c>
      <c r="AU144" s="18">
        <f t="shared" si="253"/>
        <v>0</v>
      </c>
      <c r="AV144" s="18">
        <f t="shared" si="254"/>
        <v>0</v>
      </c>
      <c r="AW144" s="18">
        <f t="shared" si="255"/>
        <v>0</v>
      </c>
      <c r="AX144" s="18">
        <f t="shared" si="256"/>
        <v>0</v>
      </c>
      <c r="AY144" s="18">
        <f t="shared" si="257"/>
        <v>0</v>
      </c>
      <c r="BA144" s="27">
        <f t="shared" si="268"/>
        <v>0</v>
      </c>
      <c r="BB144" s="27">
        <f t="shared" si="258"/>
        <v>0</v>
      </c>
      <c r="BC144" s="27">
        <f t="shared" si="259"/>
        <v>0</v>
      </c>
      <c r="BD144" s="27">
        <f t="shared" si="260"/>
        <v>0</v>
      </c>
      <c r="BE144" s="27">
        <f t="shared" si="261"/>
        <v>0</v>
      </c>
      <c r="BF144" s="27">
        <f t="shared" si="262"/>
        <v>0</v>
      </c>
      <c r="BG144" s="27">
        <f t="shared" si="263"/>
        <v>0</v>
      </c>
      <c r="BH144" s="27">
        <f t="shared" si="264"/>
        <v>0</v>
      </c>
      <c r="BI144" s="27">
        <f t="shared" si="269"/>
        <v>0</v>
      </c>
      <c r="BJ144" s="27">
        <f t="shared" si="270"/>
        <v>0</v>
      </c>
    </row>
    <row r="145" spans="1:62" ht="22.5">
      <c r="A145" s="4" t="s">
        <v>0</v>
      </c>
      <c r="B145" s="7"/>
      <c r="C145" s="25">
        <v>0</v>
      </c>
      <c r="D145" s="25">
        <v>1</v>
      </c>
      <c r="E145" s="25"/>
      <c r="F145" s="28"/>
      <c r="G145" s="28"/>
      <c r="H145" s="28"/>
      <c r="I145" s="28"/>
      <c r="J145" s="28"/>
      <c r="K145" s="29"/>
      <c r="L145" s="25">
        <v>0</v>
      </c>
      <c r="M145" s="25">
        <v>1</v>
      </c>
      <c r="N145" s="25"/>
      <c r="O145" s="28"/>
      <c r="P145" s="28"/>
      <c r="Q145" s="28"/>
      <c r="R145" s="28"/>
      <c r="S145" s="28"/>
      <c r="U145" s="9">
        <f t="shared" si="241"/>
        <v>1</v>
      </c>
      <c r="V145" s="1">
        <f t="shared" si="265"/>
        <v>2.564102564102564E-2</v>
      </c>
      <c r="W145" s="11">
        <f t="shared" si="266"/>
        <v>0</v>
      </c>
      <c r="X145" s="12">
        <v>1</v>
      </c>
      <c r="Y145" s="10">
        <f t="shared" si="267"/>
        <v>2.564102564102564E-2</v>
      </c>
      <c r="Z145" s="18">
        <v>0</v>
      </c>
      <c r="AA145" s="18">
        <f>IF(M145=1,1,0)</f>
        <v>1</v>
      </c>
      <c r="AB145" s="18">
        <v>0</v>
      </c>
      <c r="AC145" s="18">
        <v>0</v>
      </c>
      <c r="AD145" s="18"/>
      <c r="AE145" s="18"/>
      <c r="AF145" s="18"/>
      <c r="AG145" s="18"/>
      <c r="AH145" s="12"/>
      <c r="AI145" s="18">
        <f t="shared" si="242"/>
        <v>0</v>
      </c>
      <c r="AJ145" s="18">
        <f t="shared" si="243"/>
        <v>1</v>
      </c>
      <c r="AK145" s="18">
        <f t="shared" si="244"/>
        <v>0</v>
      </c>
      <c r="AL145" s="18">
        <f t="shared" si="245"/>
        <v>0</v>
      </c>
      <c r="AM145" s="18">
        <f t="shared" si="246"/>
        <v>0</v>
      </c>
      <c r="AN145" s="18">
        <f t="shared" si="247"/>
        <v>0</v>
      </c>
      <c r="AO145" s="18">
        <f t="shared" si="248"/>
        <v>0</v>
      </c>
      <c r="AP145" s="18">
        <f t="shared" si="249"/>
        <v>0</v>
      </c>
      <c r="AQ145" s="9"/>
      <c r="AR145" s="18">
        <f t="shared" si="250"/>
        <v>0</v>
      </c>
      <c r="AS145" s="18">
        <f t="shared" si="251"/>
        <v>1</v>
      </c>
      <c r="AT145" s="18">
        <f t="shared" si="252"/>
        <v>0</v>
      </c>
      <c r="AU145" s="18">
        <f t="shared" si="253"/>
        <v>0</v>
      </c>
      <c r="AV145" s="18">
        <f t="shared" si="254"/>
        <v>0</v>
      </c>
      <c r="AW145" s="18">
        <f t="shared" si="255"/>
        <v>0</v>
      </c>
      <c r="AX145" s="18">
        <f t="shared" si="256"/>
        <v>0</v>
      </c>
      <c r="AY145" s="18">
        <f t="shared" si="257"/>
        <v>0</v>
      </c>
      <c r="BA145" s="27">
        <f t="shared" si="268"/>
        <v>0</v>
      </c>
      <c r="BB145" s="27">
        <f t="shared" si="258"/>
        <v>0</v>
      </c>
      <c r="BC145" s="27">
        <f t="shared" si="259"/>
        <v>0</v>
      </c>
      <c r="BD145" s="27">
        <f t="shared" si="260"/>
        <v>0</v>
      </c>
      <c r="BE145" s="27">
        <f t="shared" si="261"/>
        <v>0</v>
      </c>
      <c r="BF145" s="27">
        <f t="shared" si="262"/>
        <v>0</v>
      </c>
      <c r="BG145" s="27">
        <f t="shared" si="263"/>
        <v>0</v>
      </c>
      <c r="BH145" s="27">
        <f t="shared" si="264"/>
        <v>0</v>
      </c>
      <c r="BI145" s="27">
        <f t="shared" si="269"/>
        <v>0</v>
      </c>
      <c r="BJ145" s="27">
        <f t="shared" si="270"/>
        <v>0</v>
      </c>
    </row>
    <row r="146" spans="1:62" ht="22.5">
      <c r="A146" s="5" t="s">
        <v>1</v>
      </c>
      <c r="B146" s="7"/>
      <c r="C146" s="25"/>
      <c r="D146" s="25"/>
      <c r="E146" s="25"/>
      <c r="F146" s="25"/>
      <c r="G146" s="25">
        <v>0</v>
      </c>
      <c r="H146" s="25">
        <v>1</v>
      </c>
      <c r="I146" s="28"/>
      <c r="J146" s="28"/>
      <c r="K146" s="29"/>
      <c r="L146" s="25"/>
      <c r="M146" s="25"/>
      <c r="N146" s="25"/>
      <c r="O146" s="25"/>
      <c r="P146" s="25">
        <v>0</v>
      </c>
      <c r="Q146" s="25">
        <v>1</v>
      </c>
      <c r="R146" s="28"/>
      <c r="S146" s="28"/>
      <c r="U146" s="9">
        <f t="shared" si="241"/>
        <v>1</v>
      </c>
      <c r="V146" s="1">
        <f t="shared" si="265"/>
        <v>2.564102564102564E-2</v>
      </c>
      <c r="W146" s="11">
        <f t="shared" si="266"/>
        <v>0</v>
      </c>
      <c r="X146" s="12">
        <v>1</v>
      </c>
      <c r="Y146" s="10">
        <f t="shared" si="267"/>
        <v>2.564102564102564E-2</v>
      </c>
      <c r="Z146" s="18"/>
      <c r="AA146" s="18"/>
      <c r="AB146" s="18"/>
      <c r="AC146" s="18"/>
      <c r="AD146" s="18">
        <v>0</v>
      </c>
      <c r="AE146" s="18">
        <v>1</v>
      </c>
      <c r="AF146" s="18"/>
      <c r="AG146" s="18"/>
      <c r="AH146" s="12"/>
      <c r="AI146" s="18">
        <f t="shared" si="242"/>
        <v>0</v>
      </c>
      <c r="AJ146" s="18">
        <f t="shared" si="243"/>
        <v>0</v>
      </c>
      <c r="AK146" s="18">
        <f t="shared" si="244"/>
        <v>0</v>
      </c>
      <c r="AL146" s="18">
        <f t="shared" si="245"/>
        <v>0</v>
      </c>
      <c r="AM146" s="18">
        <f t="shared" si="246"/>
        <v>0</v>
      </c>
      <c r="AN146" s="18">
        <f t="shared" si="247"/>
        <v>1</v>
      </c>
      <c r="AO146" s="18">
        <f t="shared" si="248"/>
        <v>0</v>
      </c>
      <c r="AP146" s="18">
        <f t="shared" si="249"/>
        <v>0</v>
      </c>
      <c r="AQ146" s="9"/>
      <c r="AR146" s="18">
        <f t="shared" si="250"/>
        <v>0</v>
      </c>
      <c r="AS146" s="18">
        <f t="shared" si="251"/>
        <v>0</v>
      </c>
      <c r="AT146" s="18">
        <f t="shared" si="252"/>
        <v>0</v>
      </c>
      <c r="AU146" s="18">
        <f t="shared" si="253"/>
        <v>0</v>
      </c>
      <c r="AV146" s="18">
        <f t="shared" si="254"/>
        <v>0</v>
      </c>
      <c r="AW146" s="18">
        <f t="shared" si="255"/>
        <v>1</v>
      </c>
      <c r="AX146" s="18">
        <f t="shared" si="256"/>
        <v>0</v>
      </c>
      <c r="AY146" s="18">
        <f t="shared" si="257"/>
        <v>0</v>
      </c>
      <c r="BA146" s="27">
        <f t="shared" si="268"/>
        <v>0</v>
      </c>
      <c r="BB146" s="27">
        <f t="shared" si="258"/>
        <v>0</v>
      </c>
      <c r="BC146" s="27">
        <f t="shared" si="259"/>
        <v>0</v>
      </c>
      <c r="BD146" s="27">
        <f t="shared" si="260"/>
        <v>0</v>
      </c>
      <c r="BE146" s="27">
        <f t="shared" si="261"/>
        <v>0</v>
      </c>
      <c r="BF146" s="27">
        <f t="shared" si="262"/>
        <v>0</v>
      </c>
      <c r="BG146" s="27">
        <f t="shared" si="263"/>
        <v>0</v>
      </c>
      <c r="BH146" s="27">
        <f t="shared" si="264"/>
        <v>0</v>
      </c>
      <c r="BI146" s="27">
        <f t="shared" si="269"/>
        <v>0</v>
      </c>
      <c r="BJ146" s="27">
        <f t="shared" si="270"/>
        <v>0</v>
      </c>
    </row>
    <row r="147" spans="1:62" ht="22.5">
      <c r="A147" s="5" t="s">
        <v>21</v>
      </c>
      <c r="B147" s="7"/>
      <c r="C147" s="25"/>
      <c r="D147" s="25"/>
      <c r="E147" s="25"/>
      <c r="F147" s="25"/>
      <c r="G147" s="25">
        <v>0</v>
      </c>
      <c r="H147" s="25">
        <v>1</v>
      </c>
      <c r="I147" s="28"/>
      <c r="J147" s="28"/>
      <c r="K147" s="29"/>
      <c r="L147" s="25"/>
      <c r="M147" s="25"/>
      <c r="N147" s="25"/>
      <c r="O147" s="25"/>
      <c r="P147" s="25">
        <v>0</v>
      </c>
      <c r="Q147" s="25">
        <v>1</v>
      </c>
      <c r="R147" s="28"/>
      <c r="S147" s="28"/>
      <c r="U147" s="9">
        <f t="shared" si="241"/>
        <v>1</v>
      </c>
      <c r="V147" s="1">
        <f t="shared" si="265"/>
        <v>2.564102564102564E-2</v>
      </c>
      <c r="W147" s="11">
        <f t="shared" si="266"/>
        <v>0</v>
      </c>
      <c r="X147" s="12">
        <v>1</v>
      </c>
      <c r="Y147" s="10">
        <f t="shared" si="267"/>
        <v>2.564102564102564E-2</v>
      </c>
      <c r="Z147" s="18"/>
      <c r="AA147" s="18"/>
      <c r="AB147" s="18"/>
      <c r="AC147" s="18"/>
      <c r="AD147" s="18">
        <v>0</v>
      </c>
      <c r="AE147" s="18">
        <v>1</v>
      </c>
      <c r="AF147" s="18"/>
      <c r="AG147" s="18"/>
      <c r="AH147" s="12"/>
      <c r="AI147" s="18">
        <f t="shared" si="242"/>
        <v>0</v>
      </c>
      <c r="AJ147" s="18">
        <f t="shared" si="243"/>
        <v>0</v>
      </c>
      <c r="AK147" s="18">
        <f t="shared" si="244"/>
        <v>0</v>
      </c>
      <c r="AL147" s="18">
        <f t="shared" si="245"/>
        <v>0</v>
      </c>
      <c r="AM147" s="18">
        <f t="shared" si="246"/>
        <v>0</v>
      </c>
      <c r="AN147" s="18">
        <f t="shared" si="247"/>
        <v>1</v>
      </c>
      <c r="AO147" s="18">
        <f t="shared" si="248"/>
        <v>0</v>
      </c>
      <c r="AP147" s="18">
        <f t="shared" si="249"/>
        <v>0</v>
      </c>
      <c r="AQ147" s="9"/>
      <c r="AR147" s="18">
        <f t="shared" si="250"/>
        <v>0</v>
      </c>
      <c r="AS147" s="18">
        <f t="shared" si="251"/>
        <v>0</v>
      </c>
      <c r="AT147" s="18">
        <f t="shared" si="252"/>
        <v>0</v>
      </c>
      <c r="AU147" s="18">
        <f t="shared" si="253"/>
        <v>0</v>
      </c>
      <c r="AV147" s="18">
        <f t="shared" si="254"/>
        <v>0</v>
      </c>
      <c r="AW147" s="18">
        <f t="shared" si="255"/>
        <v>1</v>
      </c>
      <c r="AX147" s="18">
        <f t="shared" si="256"/>
        <v>0</v>
      </c>
      <c r="AY147" s="18">
        <f t="shared" si="257"/>
        <v>0</v>
      </c>
      <c r="BA147" s="27">
        <f t="shared" si="268"/>
        <v>0</v>
      </c>
      <c r="BB147" s="27">
        <f t="shared" si="258"/>
        <v>0</v>
      </c>
      <c r="BC147" s="27">
        <f t="shared" si="259"/>
        <v>0</v>
      </c>
      <c r="BD147" s="27">
        <f t="shared" si="260"/>
        <v>0</v>
      </c>
      <c r="BE147" s="27">
        <f t="shared" si="261"/>
        <v>0</v>
      </c>
      <c r="BF147" s="27">
        <f t="shared" si="262"/>
        <v>0</v>
      </c>
      <c r="BG147" s="27">
        <f t="shared" si="263"/>
        <v>0</v>
      </c>
      <c r="BH147" s="27">
        <f t="shared" si="264"/>
        <v>0</v>
      </c>
      <c r="BI147" s="27">
        <f t="shared" si="269"/>
        <v>0</v>
      </c>
      <c r="BJ147" s="27">
        <f t="shared" si="270"/>
        <v>0</v>
      </c>
    </row>
    <row r="148" spans="1:62" ht="22.5">
      <c r="A148" s="5" t="s">
        <v>2</v>
      </c>
      <c r="B148" s="7"/>
      <c r="C148" s="25"/>
      <c r="D148" s="25"/>
      <c r="E148" s="25"/>
      <c r="F148" s="25"/>
      <c r="G148" s="25">
        <v>0</v>
      </c>
      <c r="H148" s="25">
        <v>1</v>
      </c>
      <c r="I148" s="28"/>
      <c r="J148" s="28"/>
      <c r="K148" s="29"/>
      <c r="L148" s="25"/>
      <c r="M148" s="25"/>
      <c r="N148" s="25"/>
      <c r="O148" s="25"/>
      <c r="P148" s="25">
        <v>0</v>
      </c>
      <c r="Q148" s="25">
        <v>1</v>
      </c>
      <c r="R148" s="28"/>
      <c r="S148" s="28"/>
      <c r="U148" s="9">
        <f t="shared" si="241"/>
        <v>1</v>
      </c>
      <c r="V148" s="1">
        <f t="shared" si="265"/>
        <v>2.564102564102564E-2</v>
      </c>
      <c r="W148" s="11">
        <f t="shared" si="266"/>
        <v>0</v>
      </c>
      <c r="X148" s="12">
        <v>1</v>
      </c>
      <c r="Y148" s="10">
        <f t="shared" si="267"/>
        <v>2.564102564102564E-2</v>
      </c>
      <c r="Z148" s="18"/>
      <c r="AA148" s="18"/>
      <c r="AB148" s="18"/>
      <c r="AC148" s="18"/>
      <c r="AD148" s="18">
        <v>0</v>
      </c>
      <c r="AE148" s="18">
        <v>1</v>
      </c>
      <c r="AF148" s="18"/>
      <c r="AG148" s="18"/>
      <c r="AH148" s="12"/>
      <c r="AI148" s="18">
        <f t="shared" si="242"/>
        <v>0</v>
      </c>
      <c r="AJ148" s="18">
        <f t="shared" si="243"/>
        <v>0</v>
      </c>
      <c r="AK148" s="18">
        <f t="shared" si="244"/>
        <v>0</v>
      </c>
      <c r="AL148" s="18">
        <f t="shared" si="245"/>
        <v>0</v>
      </c>
      <c r="AM148" s="18">
        <f t="shared" si="246"/>
        <v>0</v>
      </c>
      <c r="AN148" s="18">
        <f t="shared" si="247"/>
        <v>1</v>
      </c>
      <c r="AO148" s="18">
        <f t="shared" si="248"/>
        <v>0</v>
      </c>
      <c r="AP148" s="18">
        <f t="shared" si="249"/>
        <v>0</v>
      </c>
      <c r="AQ148" s="9"/>
      <c r="AR148" s="18">
        <f t="shared" si="250"/>
        <v>0</v>
      </c>
      <c r="AS148" s="18">
        <f t="shared" si="251"/>
        <v>0</v>
      </c>
      <c r="AT148" s="18">
        <f t="shared" si="252"/>
        <v>0</v>
      </c>
      <c r="AU148" s="18">
        <f t="shared" si="253"/>
        <v>0</v>
      </c>
      <c r="AV148" s="18">
        <f t="shared" si="254"/>
        <v>0</v>
      </c>
      <c r="AW148" s="18">
        <f t="shared" si="255"/>
        <v>1</v>
      </c>
      <c r="AX148" s="18">
        <f t="shared" si="256"/>
        <v>0</v>
      </c>
      <c r="AY148" s="18">
        <f t="shared" si="257"/>
        <v>0</v>
      </c>
      <c r="BA148" s="27">
        <f t="shared" si="268"/>
        <v>0</v>
      </c>
      <c r="BB148" s="27">
        <f t="shared" si="258"/>
        <v>0</v>
      </c>
      <c r="BC148" s="27">
        <f t="shared" si="259"/>
        <v>0</v>
      </c>
      <c r="BD148" s="27">
        <f t="shared" si="260"/>
        <v>0</v>
      </c>
      <c r="BE148" s="27">
        <f t="shared" si="261"/>
        <v>0</v>
      </c>
      <c r="BF148" s="27">
        <f t="shared" si="262"/>
        <v>0</v>
      </c>
      <c r="BG148" s="27">
        <f t="shared" si="263"/>
        <v>0</v>
      </c>
      <c r="BH148" s="27">
        <f t="shared" si="264"/>
        <v>0</v>
      </c>
      <c r="BI148" s="27">
        <f t="shared" si="269"/>
        <v>0</v>
      </c>
      <c r="BJ148" s="27">
        <f t="shared" si="270"/>
        <v>0</v>
      </c>
    </row>
    <row r="149" spans="1:62" ht="22.5">
      <c r="A149" s="5" t="s">
        <v>3</v>
      </c>
      <c r="B149" s="7"/>
      <c r="C149" s="25"/>
      <c r="D149" s="25"/>
      <c r="E149" s="25"/>
      <c r="F149" s="25"/>
      <c r="G149" s="25">
        <v>1</v>
      </c>
      <c r="H149" s="25">
        <v>0</v>
      </c>
      <c r="I149" s="28"/>
      <c r="J149" s="28"/>
      <c r="K149" s="29"/>
      <c r="L149" s="25"/>
      <c r="M149" s="25"/>
      <c r="N149" s="25"/>
      <c r="O149" s="25"/>
      <c r="P149" s="25">
        <v>0</v>
      </c>
      <c r="Q149" s="25">
        <v>1</v>
      </c>
      <c r="R149" s="28"/>
      <c r="S149" s="28"/>
      <c r="U149" s="9">
        <f t="shared" si="241"/>
        <v>0</v>
      </c>
      <c r="V149" s="1">
        <f>(1-W149)*Y149</f>
        <v>0</v>
      </c>
      <c r="W149" s="11">
        <f t="shared" si="266"/>
        <v>1</v>
      </c>
      <c r="X149" s="12">
        <v>3</v>
      </c>
      <c r="Y149" s="10">
        <f t="shared" si="267"/>
        <v>7.6923076923076927E-2</v>
      </c>
      <c r="Z149" s="18"/>
      <c r="AA149" s="18"/>
      <c r="AB149" s="18"/>
      <c r="AC149" s="18"/>
      <c r="AD149" s="18">
        <v>0</v>
      </c>
      <c r="AE149" s="18">
        <v>1</v>
      </c>
      <c r="AF149" s="18"/>
      <c r="AG149" s="18"/>
      <c r="AH149" s="12"/>
      <c r="AI149" s="18">
        <f t="shared" si="242"/>
        <v>0</v>
      </c>
      <c r="AJ149" s="18">
        <f t="shared" si="243"/>
        <v>0</v>
      </c>
      <c r="AK149" s="18">
        <f t="shared" si="244"/>
        <v>0</v>
      </c>
      <c r="AL149" s="18">
        <f t="shared" si="245"/>
        <v>0</v>
      </c>
      <c r="AM149" s="18">
        <f t="shared" si="246"/>
        <v>0</v>
      </c>
      <c r="AN149" s="18">
        <f t="shared" si="247"/>
        <v>0</v>
      </c>
      <c r="AO149" s="18">
        <f t="shared" si="248"/>
        <v>0</v>
      </c>
      <c r="AP149" s="18">
        <f t="shared" si="249"/>
        <v>0</v>
      </c>
      <c r="AQ149" s="9"/>
      <c r="AR149" s="18">
        <f t="shared" si="250"/>
        <v>0</v>
      </c>
      <c r="AS149" s="18">
        <f t="shared" si="251"/>
        <v>0</v>
      </c>
      <c r="AT149" s="18">
        <f t="shared" si="252"/>
        <v>0</v>
      </c>
      <c r="AU149" s="18">
        <f t="shared" si="253"/>
        <v>0</v>
      </c>
      <c r="AV149" s="18">
        <f t="shared" si="254"/>
        <v>0</v>
      </c>
      <c r="AW149" s="18">
        <f t="shared" si="255"/>
        <v>1</v>
      </c>
      <c r="AX149" s="18">
        <f t="shared" si="256"/>
        <v>0</v>
      </c>
      <c r="AY149" s="18">
        <f t="shared" si="257"/>
        <v>0</v>
      </c>
      <c r="BA149" s="27">
        <f t="shared" si="268"/>
        <v>0</v>
      </c>
      <c r="BB149" s="27">
        <f t="shared" si="258"/>
        <v>0</v>
      </c>
      <c r="BC149" s="27">
        <f t="shared" si="259"/>
        <v>0</v>
      </c>
      <c r="BD149" s="27">
        <f t="shared" si="260"/>
        <v>0</v>
      </c>
      <c r="BE149" s="27">
        <f t="shared" si="261"/>
        <v>0</v>
      </c>
      <c r="BF149" s="27">
        <f t="shared" si="262"/>
        <v>-1</v>
      </c>
      <c r="BG149" s="27">
        <f t="shared" si="263"/>
        <v>0</v>
      </c>
      <c r="BH149" s="27">
        <f t="shared" si="264"/>
        <v>0</v>
      </c>
      <c r="BI149" s="27">
        <f t="shared" si="269"/>
        <v>1</v>
      </c>
      <c r="BJ149" s="27">
        <f t="shared" si="270"/>
        <v>7.6923076923076927E-2</v>
      </c>
    </row>
    <row r="150" spans="1:62" ht="22.5">
      <c r="A150" s="8" t="s">
        <v>4</v>
      </c>
      <c r="B150" s="7"/>
      <c r="C150" s="25"/>
      <c r="D150" s="25"/>
      <c r="E150" s="25"/>
      <c r="F150" s="25"/>
      <c r="G150" s="25"/>
      <c r="H150" s="25"/>
      <c r="I150" s="25">
        <v>0</v>
      </c>
      <c r="J150" s="25">
        <v>1</v>
      </c>
      <c r="K150" s="29"/>
      <c r="L150" s="25"/>
      <c r="M150" s="25"/>
      <c r="N150" s="25"/>
      <c r="O150" s="25"/>
      <c r="P150" s="25"/>
      <c r="Q150" s="25"/>
      <c r="R150" s="25">
        <v>0</v>
      </c>
      <c r="S150" s="25">
        <v>1</v>
      </c>
      <c r="U150" s="9">
        <f t="shared" si="241"/>
        <v>1</v>
      </c>
      <c r="V150" s="1">
        <f t="shared" ref="V150:V153" si="271">(1-W150)*Y150</f>
        <v>2.564102564102564E-2</v>
      </c>
      <c r="W150" s="11">
        <f t="shared" si="266"/>
        <v>0</v>
      </c>
      <c r="X150" s="12">
        <v>1</v>
      </c>
      <c r="Y150" s="10">
        <f t="shared" si="267"/>
        <v>2.564102564102564E-2</v>
      </c>
      <c r="Z150" s="18"/>
      <c r="AA150" s="18"/>
      <c r="AB150" s="18"/>
      <c r="AC150" s="18"/>
      <c r="AD150" s="18"/>
      <c r="AE150" s="18"/>
      <c r="AF150" s="18">
        <v>0</v>
      </c>
      <c r="AG150" s="18">
        <v>1</v>
      </c>
      <c r="AH150" s="12"/>
      <c r="AI150" s="18">
        <f t="shared" si="242"/>
        <v>0</v>
      </c>
      <c r="AJ150" s="18">
        <f t="shared" si="243"/>
        <v>0</v>
      </c>
      <c r="AK150" s="18">
        <f t="shared" si="244"/>
        <v>0</v>
      </c>
      <c r="AL150" s="18">
        <f t="shared" si="245"/>
        <v>0</v>
      </c>
      <c r="AM150" s="18">
        <f t="shared" si="246"/>
        <v>0</v>
      </c>
      <c r="AN150" s="18">
        <f t="shared" si="247"/>
        <v>0</v>
      </c>
      <c r="AO150" s="18">
        <f t="shared" si="248"/>
        <v>0</v>
      </c>
      <c r="AP150" s="18">
        <f t="shared" si="249"/>
        <v>1</v>
      </c>
      <c r="AQ150" s="9"/>
      <c r="AR150" s="18">
        <f t="shared" si="250"/>
        <v>0</v>
      </c>
      <c r="AS150" s="18">
        <f t="shared" si="251"/>
        <v>0</v>
      </c>
      <c r="AT150" s="18">
        <f t="shared" si="252"/>
        <v>0</v>
      </c>
      <c r="AU150" s="18">
        <f t="shared" si="253"/>
        <v>0</v>
      </c>
      <c r="AV150" s="18">
        <f t="shared" si="254"/>
        <v>0</v>
      </c>
      <c r="AW150" s="18">
        <f t="shared" si="255"/>
        <v>0</v>
      </c>
      <c r="AX150" s="18">
        <f t="shared" si="256"/>
        <v>0</v>
      </c>
      <c r="AY150" s="18">
        <f t="shared" si="257"/>
        <v>1</v>
      </c>
      <c r="BA150" s="27">
        <f t="shared" si="268"/>
        <v>0</v>
      </c>
      <c r="BB150" s="27">
        <f t="shared" si="258"/>
        <v>0</v>
      </c>
      <c r="BC150" s="27">
        <f t="shared" si="259"/>
        <v>0</v>
      </c>
      <c r="BD150" s="27">
        <f t="shared" si="260"/>
        <v>0</v>
      </c>
      <c r="BE150" s="27">
        <f t="shared" si="261"/>
        <v>0</v>
      </c>
      <c r="BF150" s="27">
        <f t="shared" si="262"/>
        <v>0</v>
      </c>
      <c r="BG150" s="27">
        <f t="shared" si="263"/>
        <v>0</v>
      </c>
      <c r="BH150" s="27">
        <f t="shared" si="264"/>
        <v>0</v>
      </c>
      <c r="BI150" s="27">
        <f t="shared" si="269"/>
        <v>0</v>
      </c>
      <c r="BJ150" s="27">
        <f t="shared" si="270"/>
        <v>0</v>
      </c>
    </row>
    <row r="151" spans="1:62" ht="22.5">
      <c r="A151" s="8" t="s">
        <v>22</v>
      </c>
      <c r="B151" s="7"/>
      <c r="C151" s="25"/>
      <c r="D151" s="25"/>
      <c r="E151" s="25"/>
      <c r="F151" s="25"/>
      <c r="G151" s="25"/>
      <c r="H151" s="25"/>
      <c r="I151" s="25">
        <v>0</v>
      </c>
      <c r="J151" s="25">
        <v>1</v>
      </c>
      <c r="K151" s="29"/>
      <c r="L151" s="25"/>
      <c r="M151" s="25"/>
      <c r="N151" s="25"/>
      <c r="O151" s="25"/>
      <c r="P151" s="25"/>
      <c r="Q151" s="25"/>
      <c r="R151" s="25">
        <v>0</v>
      </c>
      <c r="S151" s="25">
        <v>1</v>
      </c>
      <c r="U151" s="9">
        <f t="shared" si="241"/>
        <v>1</v>
      </c>
      <c r="V151" s="1">
        <f t="shared" si="271"/>
        <v>2.564102564102564E-2</v>
      </c>
      <c r="W151" s="11">
        <f t="shared" si="266"/>
        <v>0</v>
      </c>
      <c r="X151" s="12">
        <v>1</v>
      </c>
      <c r="Y151" s="10">
        <f t="shared" si="267"/>
        <v>2.564102564102564E-2</v>
      </c>
      <c r="Z151" s="18"/>
      <c r="AA151" s="18"/>
      <c r="AB151" s="18"/>
      <c r="AC151" s="18"/>
      <c r="AD151" s="18"/>
      <c r="AE151" s="18"/>
      <c r="AF151" s="18">
        <v>0</v>
      </c>
      <c r="AG151" s="18">
        <v>1</v>
      </c>
      <c r="AH151" s="12"/>
      <c r="AI151" s="18">
        <f t="shared" si="242"/>
        <v>0</v>
      </c>
      <c r="AJ151" s="18">
        <f t="shared" si="243"/>
        <v>0</v>
      </c>
      <c r="AK151" s="18">
        <f t="shared" si="244"/>
        <v>0</v>
      </c>
      <c r="AL151" s="18">
        <f t="shared" si="245"/>
        <v>0</v>
      </c>
      <c r="AM151" s="18">
        <f t="shared" si="246"/>
        <v>0</v>
      </c>
      <c r="AN151" s="18">
        <f t="shared" si="247"/>
        <v>0</v>
      </c>
      <c r="AO151" s="18">
        <f t="shared" si="248"/>
        <v>0</v>
      </c>
      <c r="AP151" s="18">
        <f t="shared" si="249"/>
        <v>1</v>
      </c>
      <c r="AQ151" s="9"/>
      <c r="AR151" s="18">
        <f t="shared" si="250"/>
        <v>0</v>
      </c>
      <c r="AS151" s="18">
        <f t="shared" si="251"/>
        <v>0</v>
      </c>
      <c r="AT151" s="18">
        <f t="shared" si="252"/>
        <v>0</v>
      </c>
      <c r="AU151" s="18">
        <f t="shared" si="253"/>
        <v>0</v>
      </c>
      <c r="AV151" s="18">
        <f t="shared" si="254"/>
        <v>0</v>
      </c>
      <c r="AW151" s="18">
        <f t="shared" si="255"/>
        <v>0</v>
      </c>
      <c r="AX151" s="18">
        <f t="shared" si="256"/>
        <v>0</v>
      </c>
      <c r="AY151" s="18">
        <f t="shared" si="257"/>
        <v>1</v>
      </c>
      <c r="BA151" s="27">
        <f t="shared" si="268"/>
        <v>0</v>
      </c>
      <c r="BB151" s="27">
        <f t="shared" si="258"/>
        <v>0</v>
      </c>
      <c r="BC151" s="27">
        <f t="shared" si="259"/>
        <v>0</v>
      </c>
      <c r="BD151" s="27">
        <f t="shared" si="260"/>
        <v>0</v>
      </c>
      <c r="BE151" s="27">
        <f t="shared" si="261"/>
        <v>0</v>
      </c>
      <c r="BF151" s="27">
        <f t="shared" si="262"/>
        <v>0</v>
      </c>
      <c r="BG151" s="27">
        <f t="shared" si="263"/>
        <v>0</v>
      </c>
      <c r="BH151" s="27">
        <f t="shared" si="264"/>
        <v>0</v>
      </c>
      <c r="BI151" s="27">
        <f t="shared" si="269"/>
        <v>0</v>
      </c>
      <c r="BJ151" s="27">
        <f t="shared" si="270"/>
        <v>0</v>
      </c>
    </row>
    <row r="152" spans="1:62" ht="22.5">
      <c r="A152" s="8" t="s">
        <v>23</v>
      </c>
      <c r="B152" s="7"/>
      <c r="C152" s="25"/>
      <c r="D152" s="25"/>
      <c r="E152" s="25"/>
      <c r="F152" s="25"/>
      <c r="G152" s="25"/>
      <c r="H152" s="25"/>
      <c r="I152" s="25">
        <v>0</v>
      </c>
      <c r="J152" s="25">
        <v>1</v>
      </c>
      <c r="K152" s="29"/>
      <c r="L152" s="25"/>
      <c r="M152" s="25"/>
      <c r="N152" s="25"/>
      <c r="O152" s="25"/>
      <c r="P152" s="25"/>
      <c r="Q152" s="25"/>
      <c r="R152" s="25">
        <v>0</v>
      </c>
      <c r="S152" s="25">
        <v>1</v>
      </c>
      <c r="U152" s="9">
        <f>IF(MATCH(1,C152:J152,0)=MATCH(1,L152:S152,0),1,0)</f>
        <v>1</v>
      </c>
      <c r="V152" s="1">
        <f t="shared" si="271"/>
        <v>2.564102564102564E-2</v>
      </c>
      <c r="W152" s="11">
        <f>BI152</f>
        <v>0</v>
      </c>
      <c r="X152" s="12">
        <v>1</v>
      </c>
      <c r="Y152" s="10">
        <f t="shared" si="267"/>
        <v>2.564102564102564E-2</v>
      </c>
      <c r="Z152" s="18"/>
      <c r="AA152" s="18"/>
      <c r="AB152" s="18"/>
      <c r="AC152" s="18"/>
      <c r="AD152" s="18"/>
      <c r="AE152" s="18"/>
      <c r="AF152" s="18">
        <v>0</v>
      </c>
      <c r="AG152" s="18">
        <v>1</v>
      </c>
      <c r="AI152" s="18">
        <f t="shared" si="242"/>
        <v>0</v>
      </c>
      <c r="AJ152" s="18">
        <f t="shared" si="243"/>
        <v>0</v>
      </c>
      <c r="AK152" s="18">
        <f t="shared" si="244"/>
        <v>0</v>
      </c>
      <c r="AL152" s="18">
        <f t="shared" si="245"/>
        <v>0</v>
      </c>
      <c r="AM152" s="18">
        <f t="shared" si="246"/>
        <v>0</v>
      </c>
      <c r="AN152" s="18">
        <f t="shared" si="247"/>
        <v>0</v>
      </c>
      <c r="AO152" s="18">
        <f t="shared" si="248"/>
        <v>0</v>
      </c>
      <c r="AP152" s="18">
        <f t="shared" si="249"/>
        <v>1</v>
      </c>
      <c r="AQ152" s="9" t="s">
        <v>24</v>
      </c>
      <c r="AR152" s="18">
        <f t="shared" si="250"/>
        <v>0</v>
      </c>
      <c r="AS152" s="18">
        <f t="shared" si="251"/>
        <v>0</v>
      </c>
      <c r="AT152" s="18">
        <f t="shared" si="252"/>
        <v>0</v>
      </c>
      <c r="AU152" s="18">
        <f t="shared" si="253"/>
        <v>0</v>
      </c>
      <c r="AV152" s="18"/>
      <c r="AW152" s="18">
        <f t="shared" si="255"/>
        <v>0</v>
      </c>
      <c r="AX152" s="18">
        <f t="shared" si="256"/>
        <v>0</v>
      </c>
      <c r="AY152" s="18">
        <f t="shared" si="257"/>
        <v>1</v>
      </c>
      <c r="BA152" s="27">
        <f t="shared" si="268"/>
        <v>0</v>
      </c>
      <c r="BB152" s="27">
        <f t="shared" si="258"/>
        <v>0</v>
      </c>
      <c r="BC152" s="27">
        <f t="shared" si="259"/>
        <v>0</v>
      </c>
      <c r="BD152" s="27">
        <f t="shared" si="260"/>
        <v>0</v>
      </c>
      <c r="BE152" s="27">
        <f t="shared" si="261"/>
        <v>0</v>
      </c>
      <c r="BF152" s="27">
        <f t="shared" si="262"/>
        <v>0</v>
      </c>
      <c r="BG152" s="27">
        <f t="shared" si="263"/>
        <v>0</v>
      </c>
      <c r="BH152" s="27">
        <f t="shared" si="264"/>
        <v>0</v>
      </c>
      <c r="BI152" s="27">
        <f t="shared" si="269"/>
        <v>0</v>
      </c>
      <c r="BJ152" s="27">
        <f t="shared" si="270"/>
        <v>0</v>
      </c>
    </row>
    <row r="153" spans="1:62" ht="22.5">
      <c r="A153" s="14" t="s">
        <v>5</v>
      </c>
      <c r="B153" s="7"/>
      <c r="C153" s="25"/>
      <c r="D153" s="25"/>
      <c r="E153" s="25"/>
      <c r="F153" s="25"/>
      <c r="G153" s="25"/>
      <c r="H153" s="25"/>
      <c r="I153" s="25">
        <v>1</v>
      </c>
      <c r="J153" s="25">
        <v>0</v>
      </c>
      <c r="K153" s="29"/>
      <c r="L153" s="25"/>
      <c r="M153" s="25"/>
      <c r="N153" s="25"/>
      <c r="O153" s="25"/>
      <c r="P153" s="25"/>
      <c r="Q153" s="25"/>
      <c r="R153" s="25">
        <v>1</v>
      </c>
      <c r="S153" s="25">
        <v>0</v>
      </c>
      <c r="U153" s="9">
        <f t="shared" ref="U153" si="272">IF(MATCH(1,C153:J153,0)=MATCH(1,L153:S153,0),1,0)</f>
        <v>1</v>
      </c>
      <c r="V153" s="1">
        <f t="shared" si="271"/>
        <v>0.12820512820512819</v>
      </c>
      <c r="W153" s="11">
        <f t="shared" ref="W153" si="273">BI153</f>
        <v>0</v>
      </c>
      <c r="X153" s="12">
        <v>5</v>
      </c>
      <c r="Y153" s="10">
        <f t="shared" si="267"/>
        <v>0.12820512820512819</v>
      </c>
      <c r="Z153" s="18"/>
      <c r="AA153" s="18"/>
      <c r="AB153" s="18"/>
      <c r="AC153" s="18"/>
      <c r="AD153" s="18"/>
      <c r="AE153" s="18"/>
      <c r="AF153" s="18">
        <v>0</v>
      </c>
      <c r="AG153" s="18">
        <v>1</v>
      </c>
      <c r="AH153" s="20"/>
      <c r="AI153" s="18">
        <f t="shared" si="242"/>
        <v>0</v>
      </c>
      <c r="AJ153" s="18">
        <f t="shared" si="243"/>
        <v>0</v>
      </c>
      <c r="AK153" s="18">
        <f t="shared" si="244"/>
        <v>0</v>
      </c>
      <c r="AL153" s="18">
        <f t="shared" si="245"/>
        <v>0</v>
      </c>
      <c r="AM153" s="18">
        <f t="shared" si="246"/>
        <v>0</v>
      </c>
      <c r="AN153" s="18">
        <f t="shared" si="247"/>
        <v>0</v>
      </c>
      <c r="AO153" s="18">
        <f t="shared" si="248"/>
        <v>0</v>
      </c>
      <c r="AP153" s="18">
        <f t="shared" si="249"/>
        <v>0</v>
      </c>
      <c r="AQ153" s="9"/>
      <c r="AR153" s="18">
        <f t="shared" si="250"/>
        <v>0</v>
      </c>
      <c r="AS153" s="18">
        <f t="shared" si="251"/>
        <v>0</v>
      </c>
      <c r="AT153" s="18">
        <f t="shared" si="252"/>
        <v>0</v>
      </c>
      <c r="AU153" s="18">
        <f t="shared" si="253"/>
        <v>0</v>
      </c>
      <c r="AV153" s="18">
        <f>P153*AD153</f>
        <v>0</v>
      </c>
      <c r="AW153" s="18">
        <f t="shared" si="255"/>
        <v>0</v>
      </c>
      <c r="AX153" s="18">
        <f t="shared" si="256"/>
        <v>0</v>
      </c>
      <c r="AY153" s="18">
        <f t="shared" si="257"/>
        <v>0</v>
      </c>
      <c r="BA153" s="27">
        <f>(AI153-AR153)</f>
        <v>0</v>
      </c>
      <c r="BB153" s="27">
        <f t="shared" si="258"/>
        <v>0</v>
      </c>
      <c r="BC153" s="27">
        <f t="shared" si="259"/>
        <v>0</v>
      </c>
      <c r="BD153" s="27">
        <f t="shared" si="260"/>
        <v>0</v>
      </c>
      <c r="BE153" s="27">
        <f t="shared" si="261"/>
        <v>0</v>
      </c>
      <c r="BF153" s="27">
        <f t="shared" si="262"/>
        <v>0</v>
      </c>
      <c r="BG153" s="27">
        <f t="shared" si="263"/>
        <v>0</v>
      </c>
      <c r="BH153" s="27">
        <f t="shared" si="264"/>
        <v>0</v>
      </c>
      <c r="BI153" s="27">
        <f t="shared" si="269"/>
        <v>0</v>
      </c>
      <c r="BJ153" s="27">
        <f t="shared" si="270"/>
        <v>0</v>
      </c>
    </row>
    <row r="154" spans="1:62">
      <c r="B154" t="s">
        <v>31</v>
      </c>
      <c r="C154" s="30"/>
      <c r="D154" s="30"/>
      <c r="E154" s="30"/>
      <c r="F154" s="30"/>
      <c r="G154" s="30"/>
      <c r="H154" s="30"/>
      <c r="I154" s="30"/>
      <c r="J154" s="30"/>
      <c r="K154" t="s">
        <v>52</v>
      </c>
      <c r="AI154" s="11">
        <f t="shared" si="242"/>
        <v>0</v>
      </c>
      <c r="AJ154" s="11">
        <f t="shared" si="243"/>
        <v>0</v>
      </c>
      <c r="AK154" s="11">
        <f t="shared" si="244"/>
        <v>0</v>
      </c>
      <c r="AL154" s="11">
        <f t="shared" si="245"/>
        <v>0</v>
      </c>
      <c r="AM154" s="11">
        <f t="shared" si="246"/>
        <v>0</v>
      </c>
      <c r="AN154" s="11">
        <f t="shared" si="247"/>
        <v>0</v>
      </c>
    </row>
    <row r="155" spans="1:62" ht="22.5">
      <c r="A155" s="6" t="s">
        <v>10</v>
      </c>
      <c r="B155" s="7"/>
      <c r="C155" s="25">
        <v>1</v>
      </c>
      <c r="D155" s="28">
        <v>0</v>
      </c>
      <c r="E155" s="28">
        <v>9</v>
      </c>
      <c r="F155" s="28">
        <v>9</v>
      </c>
      <c r="G155" s="28">
        <v>9</v>
      </c>
      <c r="H155" s="28">
        <v>9</v>
      </c>
      <c r="I155" s="28">
        <v>9</v>
      </c>
      <c r="J155" s="28">
        <v>9</v>
      </c>
      <c r="K155" s="29"/>
      <c r="L155" s="25">
        <v>0</v>
      </c>
      <c r="M155" s="28">
        <v>1</v>
      </c>
      <c r="N155" s="28"/>
      <c r="O155" s="28"/>
      <c r="P155" s="28"/>
      <c r="Q155" s="28"/>
      <c r="R155" s="28"/>
      <c r="S155" s="28"/>
      <c r="U155" s="9">
        <f t="shared" ref="U155:U168" si="274">IF(MATCH(1,C155:J155,0)=MATCH(1,L155:S155,0),1,0)</f>
        <v>0</v>
      </c>
      <c r="V155" s="1">
        <f>(1-W155)*Y155</f>
        <v>0</v>
      </c>
      <c r="W155" s="11">
        <f>BI155</f>
        <v>1</v>
      </c>
      <c r="X155" s="9">
        <v>5</v>
      </c>
      <c r="Y155" s="10">
        <f>X155/SUM($X$2:$X$17)</f>
        <v>0.12820512820512819</v>
      </c>
      <c r="Z155" s="18">
        <v>0</v>
      </c>
      <c r="AA155" s="18">
        <v>1</v>
      </c>
      <c r="AB155" s="18"/>
      <c r="AC155" s="18"/>
      <c r="AD155" s="18"/>
      <c r="AE155" s="18"/>
      <c r="AF155" s="18"/>
      <c r="AG155" s="18"/>
      <c r="AH155" s="12"/>
      <c r="AI155" s="18">
        <f t="shared" ref="AI155:AI171" si="275">C155*Z155</f>
        <v>0</v>
      </c>
      <c r="AJ155" s="18">
        <f t="shared" ref="AJ155:AJ171" si="276">D155*AA155</f>
        <v>0</v>
      </c>
      <c r="AK155" s="18">
        <f t="shared" ref="AK155:AK171" si="277">E155*AB155</f>
        <v>0</v>
      </c>
      <c r="AL155" s="18">
        <f t="shared" ref="AL155:AL171" si="278">F155*AC155</f>
        <v>0</v>
      </c>
      <c r="AM155" s="18">
        <f t="shared" ref="AM155:AM171" si="279">G155*AD155</f>
        <v>0</v>
      </c>
      <c r="AN155" s="18">
        <f t="shared" ref="AN155:AN171" si="280">H155*AE155</f>
        <v>0</v>
      </c>
      <c r="AO155" s="18">
        <f t="shared" ref="AO155:AO170" si="281">I155*AF155</f>
        <v>0</v>
      </c>
      <c r="AP155" s="18">
        <f t="shared" ref="AP155:AP170" si="282">J155*AG155</f>
        <v>0</v>
      </c>
      <c r="AQ155" s="9"/>
      <c r="AR155" s="18">
        <f t="shared" ref="AR155:AR170" si="283">L155*Z155</f>
        <v>0</v>
      </c>
      <c r="AS155" s="18">
        <f t="shared" ref="AS155:AS170" si="284">M155*AA155</f>
        <v>1</v>
      </c>
      <c r="AT155" s="18">
        <f t="shared" ref="AT155:AT170" si="285">N155*AB155</f>
        <v>0</v>
      </c>
      <c r="AU155" s="18">
        <f t="shared" ref="AU155:AU170" si="286">O155*AC155</f>
        <v>0</v>
      </c>
      <c r="AV155" s="18">
        <f t="shared" ref="AV155:AV168" si="287">P155*AD155</f>
        <v>0</v>
      </c>
      <c r="AW155" s="18">
        <f t="shared" ref="AW155:AW170" si="288">Q155*AE155</f>
        <v>0</v>
      </c>
      <c r="AX155" s="18">
        <f t="shared" ref="AX155:AX170" si="289">R155*AF155</f>
        <v>0</v>
      </c>
      <c r="AY155" s="18">
        <f t="shared" ref="AY155:AY170" si="290">S155*AG155</f>
        <v>0</v>
      </c>
      <c r="BA155" s="27">
        <f>(AI155-AR155)</f>
        <v>0</v>
      </c>
      <c r="BB155" s="27">
        <f t="shared" ref="BB155:BB170" si="291">(AJ155-AS155)</f>
        <v>-1</v>
      </c>
      <c r="BC155" s="27">
        <f t="shared" ref="BC155:BC170" si="292">(AK155-AT155)</f>
        <v>0</v>
      </c>
      <c r="BD155" s="27">
        <f t="shared" ref="BD155:BD170" si="293">(AL155-AU155)</f>
        <v>0</v>
      </c>
      <c r="BE155" s="27">
        <f t="shared" ref="BE155:BE170" si="294">(AM155-AV155)</f>
        <v>0</v>
      </c>
      <c r="BF155" s="27">
        <f t="shared" ref="BF155:BF170" si="295">(AN155-AW155)</f>
        <v>0</v>
      </c>
      <c r="BG155" s="27">
        <f t="shared" ref="BG155:BG170" si="296">(AO155-AX155)</f>
        <v>0</v>
      </c>
      <c r="BH155" s="27">
        <f t="shared" ref="BH155:BH170" si="297">(AP155-AY155)</f>
        <v>0</v>
      </c>
      <c r="BI155" s="27">
        <f>ABS(SUM(BA155:BH155))</f>
        <v>1</v>
      </c>
      <c r="BJ155" s="27">
        <f>BI155*Y155</f>
        <v>0.12820512820512819</v>
      </c>
    </row>
    <row r="156" spans="1:62" ht="22.5">
      <c r="A156" s="6" t="s">
        <v>11</v>
      </c>
      <c r="B156" s="7"/>
      <c r="C156" s="25">
        <v>1</v>
      </c>
      <c r="D156" s="28">
        <v>0</v>
      </c>
      <c r="E156" s="28">
        <v>9</v>
      </c>
      <c r="F156" s="28">
        <v>9</v>
      </c>
      <c r="G156" s="28">
        <v>9</v>
      </c>
      <c r="H156" s="28">
        <v>9</v>
      </c>
      <c r="I156" s="28">
        <v>9</v>
      </c>
      <c r="J156" s="28">
        <v>9</v>
      </c>
      <c r="K156" s="29"/>
      <c r="L156" s="25">
        <v>0</v>
      </c>
      <c r="M156" s="28">
        <v>1</v>
      </c>
      <c r="N156" s="28"/>
      <c r="O156" s="28"/>
      <c r="P156" s="28"/>
      <c r="Q156" s="28"/>
      <c r="R156" s="28"/>
      <c r="S156" s="28"/>
      <c r="U156" s="9">
        <f t="shared" si="274"/>
        <v>0</v>
      </c>
      <c r="V156" s="1">
        <f t="shared" ref="V156:V165" si="298">(1-W156)*Y156</f>
        <v>0</v>
      </c>
      <c r="W156" s="11">
        <f t="shared" ref="W156:W168" si="299">BI156</f>
        <v>1</v>
      </c>
      <c r="X156" s="9">
        <v>5</v>
      </c>
      <c r="Y156" s="10">
        <f t="shared" ref="Y156:Y170" si="300">X156/SUM($X$2:$X$17)</f>
        <v>0.12820512820512819</v>
      </c>
      <c r="Z156" s="18">
        <v>0</v>
      </c>
      <c r="AA156" s="18">
        <v>1</v>
      </c>
      <c r="AB156" s="18"/>
      <c r="AC156" s="18"/>
      <c r="AD156" s="18"/>
      <c r="AE156" s="18"/>
      <c r="AF156" s="18"/>
      <c r="AG156" s="18"/>
      <c r="AH156" s="12"/>
      <c r="AI156" s="18">
        <f t="shared" si="275"/>
        <v>0</v>
      </c>
      <c r="AJ156" s="18">
        <f t="shared" si="276"/>
        <v>0</v>
      </c>
      <c r="AK156" s="18">
        <f t="shared" si="277"/>
        <v>0</v>
      </c>
      <c r="AL156" s="18">
        <f t="shared" si="278"/>
        <v>0</v>
      </c>
      <c r="AM156" s="18">
        <f t="shared" si="279"/>
        <v>0</v>
      </c>
      <c r="AN156" s="18">
        <f t="shared" si="280"/>
        <v>0</v>
      </c>
      <c r="AO156" s="18">
        <f t="shared" si="281"/>
        <v>0</v>
      </c>
      <c r="AP156" s="18">
        <f t="shared" si="282"/>
        <v>0</v>
      </c>
      <c r="AQ156" s="9"/>
      <c r="AR156" s="18">
        <f t="shared" si="283"/>
        <v>0</v>
      </c>
      <c r="AS156" s="18">
        <f t="shared" si="284"/>
        <v>1</v>
      </c>
      <c r="AT156" s="18">
        <f t="shared" si="285"/>
        <v>0</v>
      </c>
      <c r="AU156" s="18">
        <f t="shared" si="286"/>
        <v>0</v>
      </c>
      <c r="AV156" s="18">
        <f t="shared" si="287"/>
        <v>0</v>
      </c>
      <c r="AW156" s="18">
        <f t="shared" si="288"/>
        <v>0</v>
      </c>
      <c r="AX156" s="18">
        <f t="shared" si="289"/>
        <v>0</v>
      </c>
      <c r="AY156" s="18">
        <f t="shared" si="290"/>
        <v>0</v>
      </c>
      <c r="BA156" s="27">
        <f t="shared" ref="BA156:BA169" si="301">(AI156-AR156)</f>
        <v>0</v>
      </c>
      <c r="BB156" s="27">
        <f t="shared" si="291"/>
        <v>-1</v>
      </c>
      <c r="BC156" s="27">
        <f t="shared" si="292"/>
        <v>0</v>
      </c>
      <c r="BD156" s="27">
        <f t="shared" si="293"/>
        <v>0</v>
      </c>
      <c r="BE156" s="27">
        <f t="shared" si="294"/>
        <v>0</v>
      </c>
      <c r="BF156" s="27">
        <f t="shared" si="295"/>
        <v>0</v>
      </c>
      <c r="BG156" s="27">
        <f t="shared" si="296"/>
        <v>0</v>
      </c>
      <c r="BH156" s="27">
        <f t="shared" si="297"/>
        <v>0</v>
      </c>
      <c r="BI156" s="27">
        <f t="shared" ref="BI156:BI170" si="302">ABS(SUM(BA156:BH156))</f>
        <v>1</v>
      </c>
      <c r="BJ156" s="27">
        <f t="shared" ref="BJ156:BJ170" si="303">BI156*Y156</f>
        <v>0.12820512820512819</v>
      </c>
    </row>
    <row r="157" spans="1:62" s="22" customFormat="1" ht="22.5">
      <c r="A157" s="8" t="s">
        <v>12</v>
      </c>
      <c r="B157" s="21"/>
      <c r="C157" s="25">
        <v>1</v>
      </c>
      <c r="D157" s="25">
        <v>0</v>
      </c>
      <c r="E157" s="25">
        <v>0</v>
      </c>
      <c r="F157" s="28">
        <v>0</v>
      </c>
      <c r="G157" s="28">
        <v>9</v>
      </c>
      <c r="H157" s="28">
        <v>9</v>
      </c>
      <c r="I157" s="28">
        <v>9</v>
      </c>
      <c r="J157" s="28">
        <v>9</v>
      </c>
      <c r="K157" s="29"/>
      <c r="L157" s="25">
        <v>0</v>
      </c>
      <c r="M157" s="25">
        <v>1</v>
      </c>
      <c r="N157" s="25">
        <v>0</v>
      </c>
      <c r="O157" s="28">
        <v>0</v>
      </c>
      <c r="P157" s="28"/>
      <c r="Q157" s="28"/>
      <c r="R157" s="28"/>
      <c r="S157" s="28"/>
      <c r="T157"/>
      <c r="U157" s="23">
        <f t="shared" si="274"/>
        <v>0</v>
      </c>
      <c r="V157" s="1">
        <f t="shared" si="298"/>
        <v>8.974358974358973E-2</v>
      </c>
      <c r="W157" s="11">
        <f t="shared" si="299"/>
        <v>0.3</v>
      </c>
      <c r="X157" s="23">
        <v>5</v>
      </c>
      <c r="Y157" s="24">
        <f t="shared" si="300"/>
        <v>0.12820512820512819</v>
      </c>
      <c r="Z157" s="18">
        <v>0</v>
      </c>
      <c r="AA157" s="18">
        <v>0.3</v>
      </c>
      <c r="AB157" s="18">
        <v>0.8</v>
      </c>
      <c r="AC157" s="18">
        <v>1</v>
      </c>
      <c r="AD157" s="18"/>
      <c r="AE157" s="18"/>
      <c r="AF157" s="18"/>
      <c r="AG157" s="18"/>
      <c r="AH157" s="12"/>
      <c r="AI157" s="18">
        <f t="shared" si="275"/>
        <v>0</v>
      </c>
      <c r="AJ157" s="18">
        <f t="shared" si="276"/>
        <v>0</v>
      </c>
      <c r="AK157" s="18">
        <f t="shared" si="277"/>
        <v>0</v>
      </c>
      <c r="AL157" s="18">
        <f t="shared" si="278"/>
        <v>0</v>
      </c>
      <c r="AM157" s="18">
        <f t="shared" si="279"/>
        <v>0</v>
      </c>
      <c r="AN157" s="18">
        <f t="shared" si="280"/>
        <v>0</v>
      </c>
      <c r="AO157" s="18">
        <f t="shared" si="281"/>
        <v>0</v>
      </c>
      <c r="AP157" s="18">
        <f t="shared" si="282"/>
        <v>0</v>
      </c>
      <c r="AQ157" s="23"/>
      <c r="AR157" s="18">
        <f t="shared" si="283"/>
        <v>0</v>
      </c>
      <c r="AS157" s="18">
        <f t="shared" si="284"/>
        <v>0.3</v>
      </c>
      <c r="AT157" s="18">
        <f t="shared" si="285"/>
        <v>0</v>
      </c>
      <c r="AU157" s="18">
        <f t="shared" si="286"/>
        <v>0</v>
      </c>
      <c r="AV157" s="18">
        <f t="shared" si="287"/>
        <v>0</v>
      </c>
      <c r="AW157" s="18">
        <f t="shared" si="288"/>
        <v>0</v>
      </c>
      <c r="AX157" s="18">
        <f t="shared" si="289"/>
        <v>0</v>
      </c>
      <c r="AY157" s="18">
        <f t="shared" si="290"/>
        <v>0</v>
      </c>
      <c r="BA157" s="27">
        <f t="shared" si="301"/>
        <v>0</v>
      </c>
      <c r="BB157" s="27">
        <f t="shared" si="291"/>
        <v>-0.3</v>
      </c>
      <c r="BC157" s="27">
        <f t="shared" si="292"/>
        <v>0</v>
      </c>
      <c r="BD157" s="27">
        <f t="shared" si="293"/>
        <v>0</v>
      </c>
      <c r="BE157" s="27">
        <f t="shared" si="294"/>
        <v>0</v>
      </c>
      <c r="BF157" s="27">
        <f t="shared" si="295"/>
        <v>0</v>
      </c>
      <c r="BG157" s="27">
        <f t="shared" si="296"/>
        <v>0</v>
      </c>
      <c r="BH157" s="27">
        <f t="shared" si="297"/>
        <v>0</v>
      </c>
      <c r="BI157" s="27">
        <f t="shared" si="302"/>
        <v>0.3</v>
      </c>
      <c r="BJ157" s="27">
        <f t="shared" si="303"/>
        <v>3.8461538461538457E-2</v>
      </c>
    </row>
    <row r="158" spans="1:62" s="22" customFormat="1" ht="22.5">
      <c r="A158" s="8" t="s">
        <v>13</v>
      </c>
      <c r="B158" s="21"/>
      <c r="C158" s="25">
        <v>0</v>
      </c>
      <c r="D158" s="25">
        <v>0</v>
      </c>
      <c r="E158" s="25">
        <v>0</v>
      </c>
      <c r="F158" s="28">
        <v>1</v>
      </c>
      <c r="G158" s="28">
        <v>9</v>
      </c>
      <c r="H158" s="28">
        <v>9</v>
      </c>
      <c r="I158" s="28">
        <v>9</v>
      </c>
      <c r="J158" s="28">
        <v>9</v>
      </c>
      <c r="K158" s="29"/>
      <c r="L158" s="25">
        <v>0</v>
      </c>
      <c r="M158" s="25">
        <v>0</v>
      </c>
      <c r="N158" s="25">
        <v>0</v>
      </c>
      <c r="O158" s="28">
        <v>1</v>
      </c>
      <c r="P158" s="28"/>
      <c r="Q158" s="28"/>
      <c r="R158" s="28"/>
      <c r="S158" s="28"/>
      <c r="T158"/>
      <c r="U158" s="23">
        <f t="shared" si="274"/>
        <v>1</v>
      </c>
      <c r="V158" s="1">
        <f t="shared" si="298"/>
        <v>2.564102564102564E-2</v>
      </c>
      <c r="W158" s="11">
        <f t="shared" si="299"/>
        <v>0</v>
      </c>
      <c r="X158" s="23">
        <v>1</v>
      </c>
      <c r="Y158" s="24">
        <f t="shared" si="300"/>
        <v>2.564102564102564E-2</v>
      </c>
      <c r="Z158" s="18">
        <v>0</v>
      </c>
      <c r="AA158" s="18">
        <v>0.3</v>
      </c>
      <c r="AB158" s="18">
        <v>0.8</v>
      </c>
      <c r="AC158" s="18">
        <v>1</v>
      </c>
      <c r="AD158" s="18"/>
      <c r="AE158" s="18"/>
      <c r="AF158" s="18"/>
      <c r="AG158" s="18"/>
      <c r="AH158" s="12"/>
      <c r="AI158" s="18">
        <f t="shared" si="275"/>
        <v>0</v>
      </c>
      <c r="AJ158" s="18">
        <f t="shared" si="276"/>
        <v>0</v>
      </c>
      <c r="AK158" s="18">
        <f t="shared" si="277"/>
        <v>0</v>
      </c>
      <c r="AL158" s="18">
        <f t="shared" si="278"/>
        <v>1</v>
      </c>
      <c r="AM158" s="18">
        <f t="shared" si="279"/>
        <v>0</v>
      </c>
      <c r="AN158" s="18">
        <f t="shared" si="280"/>
        <v>0</v>
      </c>
      <c r="AO158" s="18">
        <f t="shared" si="281"/>
        <v>0</v>
      </c>
      <c r="AP158" s="18">
        <f t="shared" si="282"/>
        <v>0</v>
      </c>
      <c r="AQ158" s="23"/>
      <c r="AR158" s="18">
        <f t="shared" si="283"/>
        <v>0</v>
      </c>
      <c r="AS158" s="18">
        <f t="shared" si="284"/>
        <v>0</v>
      </c>
      <c r="AT158" s="18">
        <f t="shared" si="285"/>
        <v>0</v>
      </c>
      <c r="AU158" s="18">
        <f t="shared" si="286"/>
        <v>1</v>
      </c>
      <c r="AV158" s="18">
        <f t="shared" si="287"/>
        <v>0</v>
      </c>
      <c r="AW158" s="18">
        <f t="shared" si="288"/>
        <v>0</v>
      </c>
      <c r="AX158" s="18">
        <f t="shared" si="289"/>
        <v>0</v>
      </c>
      <c r="AY158" s="18">
        <f t="shared" si="290"/>
        <v>0</v>
      </c>
      <c r="BA158" s="27">
        <f t="shared" si="301"/>
        <v>0</v>
      </c>
      <c r="BB158" s="27">
        <f t="shared" si="291"/>
        <v>0</v>
      </c>
      <c r="BC158" s="27">
        <f t="shared" si="292"/>
        <v>0</v>
      </c>
      <c r="BD158" s="27">
        <f t="shared" si="293"/>
        <v>0</v>
      </c>
      <c r="BE158" s="27">
        <f t="shared" si="294"/>
        <v>0</v>
      </c>
      <c r="BF158" s="27">
        <f t="shared" si="295"/>
        <v>0</v>
      </c>
      <c r="BG158" s="27">
        <f t="shared" si="296"/>
        <v>0</v>
      </c>
      <c r="BH158" s="27">
        <f t="shared" si="297"/>
        <v>0</v>
      </c>
      <c r="BI158" s="27">
        <f t="shared" si="302"/>
        <v>0</v>
      </c>
      <c r="BJ158" s="27">
        <f t="shared" si="303"/>
        <v>0</v>
      </c>
    </row>
    <row r="159" spans="1:62" s="22" customFormat="1" ht="22.5">
      <c r="A159" s="8" t="s">
        <v>14</v>
      </c>
      <c r="B159" s="21"/>
      <c r="C159" s="25">
        <v>0</v>
      </c>
      <c r="D159" s="25">
        <v>0</v>
      </c>
      <c r="E159" s="25">
        <v>1</v>
      </c>
      <c r="F159" s="28">
        <v>0</v>
      </c>
      <c r="G159" s="28">
        <v>9</v>
      </c>
      <c r="H159" s="28">
        <v>9</v>
      </c>
      <c r="I159" s="28">
        <v>9</v>
      </c>
      <c r="J159" s="28">
        <v>9</v>
      </c>
      <c r="K159" s="29"/>
      <c r="L159" s="25">
        <v>0</v>
      </c>
      <c r="M159" s="25">
        <v>0</v>
      </c>
      <c r="N159" s="25">
        <v>1</v>
      </c>
      <c r="O159" s="28">
        <v>0</v>
      </c>
      <c r="P159" s="28"/>
      <c r="Q159" s="28"/>
      <c r="R159" s="28"/>
      <c r="S159" s="28"/>
      <c r="T159"/>
      <c r="U159" s="23">
        <f t="shared" si="274"/>
        <v>1</v>
      </c>
      <c r="V159" s="1">
        <f t="shared" si="298"/>
        <v>2.564102564102564E-2</v>
      </c>
      <c r="W159" s="11">
        <f t="shared" si="299"/>
        <v>0</v>
      </c>
      <c r="X159" s="23">
        <v>1</v>
      </c>
      <c r="Y159" s="24">
        <f t="shared" si="300"/>
        <v>2.564102564102564E-2</v>
      </c>
      <c r="Z159" s="18">
        <v>0</v>
      </c>
      <c r="AA159" s="18">
        <v>0.3</v>
      </c>
      <c r="AB159" s="18">
        <v>0.8</v>
      </c>
      <c r="AC159" s="18">
        <v>1</v>
      </c>
      <c r="AD159" s="18"/>
      <c r="AE159" s="18"/>
      <c r="AF159" s="18"/>
      <c r="AG159" s="18"/>
      <c r="AH159" s="12"/>
      <c r="AI159" s="18">
        <f t="shared" si="275"/>
        <v>0</v>
      </c>
      <c r="AJ159" s="18">
        <f t="shared" si="276"/>
        <v>0</v>
      </c>
      <c r="AK159" s="18">
        <f t="shared" si="277"/>
        <v>0.8</v>
      </c>
      <c r="AL159" s="18">
        <f t="shared" si="278"/>
        <v>0</v>
      </c>
      <c r="AM159" s="18">
        <f t="shared" si="279"/>
        <v>0</v>
      </c>
      <c r="AN159" s="18">
        <f t="shared" si="280"/>
        <v>0</v>
      </c>
      <c r="AO159" s="18">
        <f t="shared" si="281"/>
        <v>0</v>
      </c>
      <c r="AP159" s="18">
        <f t="shared" si="282"/>
        <v>0</v>
      </c>
      <c r="AQ159" s="23"/>
      <c r="AR159" s="18">
        <f t="shared" si="283"/>
        <v>0</v>
      </c>
      <c r="AS159" s="18">
        <f t="shared" si="284"/>
        <v>0</v>
      </c>
      <c r="AT159" s="18">
        <f t="shared" si="285"/>
        <v>0.8</v>
      </c>
      <c r="AU159" s="18">
        <f t="shared" si="286"/>
        <v>0</v>
      </c>
      <c r="AV159" s="18">
        <f t="shared" si="287"/>
        <v>0</v>
      </c>
      <c r="AW159" s="18">
        <f t="shared" si="288"/>
        <v>0</v>
      </c>
      <c r="AX159" s="18">
        <f t="shared" si="289"/>
        <v>0</v>
      </c>
      <c r="AY159" s="18">
        <f t="shared" si="290"/>
        <v>0</v>
      </c>
      <c r="BA159" s="27">
        <f t="shared" si="301"/>
        <v>0</v>
      </c>
      <c r="BB159" s="27">
        <f t="shared" si="291"/>
        <v>0</v>
      </c>
      <c r="BC159" s="27">
        <f t="shared" si="292"/>
        <v>0</v>
      </c>
      <c r="BD159" s="27">
        <f t="shared" si="293"/>
        <v>0</v>
      </c>
      <c r="BE159" s="27">
        <f t="shared" si="294"/>
        <v>0</v>
      </c>
      <c r="BF159" s="27">
        <f t="shared" si="295"/>
        <v>0</v>
      </c>
      <c r="BG159" s="27">
        <f t="shared" si="296"/>
        <v>0</v>
      </c>
      <c r="BH159" s="27">
        <f t="shared" si="297"/>
        <v>0</v>
      </c>
      <c r="BI159" s="27">
        <f t="shared" si="302"/>
        <v>0</v>
      </c>
      <c r="BJ159" s="27">
        <f t="shared" si="303"/>
        <v>0</v>
      </c>
    </row>
    <row r="160" spans="1:62" s="22" customFormat="1" ht="22.5">
      <c r="A160" s="8" t="s">
        <v>15</v>
      </c>
      <c r="B160" s="21"/>
      <c r="C160" s="25">
        <v>0</v>
      </c>
      <c r="D160" s="25">
        <v>1</v>
      </c>
      <c r="E160" s="25">
        <v>0</v>
      </c>
      <c r="F160" s="28">
        <v>0</v>
      </c>
      <c r="G160" s="28">
        <v>9</v>
      </c>
      <c r="H160" s="28">
        <v>9</v>
      </c>
      <c r="I160" s="28">
        <v>9</v>
      </c>
      <c r="J160" s="28">
        <v>9</v>
      </c>
      <c r="K160" s="29"/>
      <c r="L160" s="25">
        <v>0</v>
      </c>
      <c r="M160" s="25">
        <v>1</v>
      </c>
      <c r="N160" s="25">
        <v>0</v>
      </c>
      <c r="O160" s="28">
        <v>0</v>
      </c>
      <c r="P160" s="28"/>
      <c r="Q160" s="28"/>
      <c r="R160" s="28"/>
      <c r="S160" s="28"/>
      <c r="T160"/>
      <c r="U160" s="23">
        <f t="shared" si="274"/>
        <v>1</v>
      </c>
      <c r="V160" s="1">
        <f t="shared" si="298"/>
        <v>7.6923076923076927E-2</v>
      </c>
      <c r="W160" s="11">
        <f t="shared" si="299"/>
        <v>0</v>
      </c>
      <c r="X160" s="23">
        <v>3</v>
      </c>
      <c r="Y160" s="24">
        <f t="shared" si="300"/>
        <v>7.6923076923076927E-2</v>
      </c>
      <c r="Z160" s="18">
        <v>0</v>
      </c>
      <c r="AA160" s="18">
        <v>0.3</v>
      </c>
      <c r="AB160" s="18">
        <v>0.8</v>
      </c>
      <c r="AC160" s="18">
        <v>1</v>
      </c>
      <c r="AD160" s="18"/>
      <c r="AE160" s="18"/>
      <c r="AF160" s="18"/>
      <c r="AG160" s="18"/>
      <c r="AH160" s="12"/>
      <c r="AI160" s="18">
        <f t="shared" si="275"/>
        <v>0</v>
      </c>
      <c r="AJ160" s="18">
        <f t="shared" si="276"/>
        <v>0.3</v>
      </c>
      <c r="AK160" s="18">
        <f t="shared" si="277"/>
        <v>0</v>
      </c>
      <c r="AL160" s="18">
        <f t="shared" si="278"/>
        <v>0</v>
      </c>
      <c r="AM160" s="18">
        <f t="shared" si="279"/>
        <v>0</v>
      </c>
      <c r="AN160" s="18">
        <f t="shared" si="280"/>
        <v>0</v>
      </c>
      <c r="AO160" s="18">
        <f t="shared" si="281"/>
        <v>0</v>
      </c>
      <c r="AP160" s="18">
        <f t="shared" si="282"/>
        <v>0</v>
      </c>
      <c r="AQ160" s="23"/>
      <c r="AR160" s="18">
        <f t="shared" si="283"/>
        <v>0</v>
      </c>
      <c r="AS160" s="18">
        <f t="shared" si="284"/>
        <v>0.3</v>
      </c>
      <c r="AT160" s="18">
        <f t="shared" si="285"/>
        <v>0</v>
      </c>
      <c r="AU160" s="18">
        <f t="shared" si="286"/>
        <v>0</v>
      </c>
      <c r="AV160" s="18">
        <f t="shared" si="287"/>
        <v>0</v>
      </c>
      <c r="AW160" s="18">
        <f t="shared" si="288"/>
        <v>0</v>
      </c>
      <c r="AX160" s="18">
        <f t="shared" si="289"/>
        <v>0</v>
      </c>
      <c r="AY160" s="18">
        <f t="shared" si="290"/>
        <v>0</v>
      </c>
      <c r="BA160" s="27">
        <f t="shared" si="301"/>
        <v>0</v>
      </c>
      <c r="BB160" s="27">
        <f t="shared" si="291"/>
        <v>0</v>
      </c>
      <c r="BC160" s="27">
        <f t="shared" si="292"/>
        <v>0</v>
      </c>
      <c r="BD160" s="27">
        <f t="shared" si="293"/>
        <v>0</v>
      </c>
      <c r="BE160" s="27">
        <f t="shared" si="294"/>
        <v>0</v>
      </c>
      <c r="BF160" s="27">
        <f t="shared" si="295"/>
        <v>0</v>
      </c>
      <c r="BG160" s="27">
        <f t="shared" si="296"/>
        <v>0</v>
      </c>
      <c r="BH160" s="27">
        <f t="shared" si="297"/>
        <v>0</v>
      </c>
      <c r="BI160" s="27">
        <f t="shared" si="302"/>
        <v>0</v>
      </c>
      <c r="BJ160" s="27">
        <f t="shared" si="303"/>
        <v>0</v>
      </c>
    </row>
    <row r="161" spans="1:62" s="22" customFormat="1" ht="22.5">
      <c r="A161" s="8" t="s">
        <v>16</v>
      </c>
      <c r="B161" s="21"/>
      <c r="C161" s="25">
        <v>0</v>
      </c>
      <c r="D161" s="25">
        <v>0</v>
      </c>
      <c r="E161" s="25">
        <v>0</v>
      </c>
      <c r="F161" s="28">
        <v>1</v>
      </c>
      <c r="G161" s="28">
        <v>9</v>
      </c>
      <c r="H161" s="28">
        <v>9</v>
      </c>
      <c r="I161" s="28">
        <v>9</v>
      </c>
      <c r="J161" s="28">
        <v>9</v>
      </c>
      <c r="K161" s="29"/>
      <c r="L161" s="25">
        <v>1</v>
      </c>
      <c r="M161" s="25">
        <v>0</v>
      </c>
      <c r="N161" s="25">
        <v>0</v>
      </c>
      <c r="O161" s="28">
        <v>0</v>
      </c>
      <c r="P161" s="28"/>
      <c r="Q161" s="28"/>
      <c r="R161" s="28"/>
      <c r="S161" s="28"/>
      <c r="T161"/>
      <c r="U161" s="23">
        <f t="shared" si="274"/>
        <v>0</v>
      </c>
      <c r="V161" s="1">
        <f t="shared" si="298"/>
        <v>0</v>
      </c>
      <c r="W161" s="11">
        <f t="shared" si="299"/>
        <v>1</v>
      </c>
      <c r="X161" s="23">
        <v>1</v>
      </c>
      <c r="Y161" s="24">
        <f t="shared" si="300"/>
        <v>2.564102564102564E-2</v>
      </c>
      <c r="Z161" s="18">
        <v>0</v>
      </c>
      <c r="AA161" s="18">
        <v>0.3</v>
      </c>
      <c r="AB161" s="18">
        <v>0.8</v>
      </c>
      <c r="AC161" s="18">
        <v>1</v>
      </c>
      <c r="AD161" s="18"/>
      <c r="AE161" s="18"/>
      <c r="AF161" s="18"/>
      <c r="AG161" s="18"/>
      <c r="AH161" s="12"/>
      <c r="AI161" s="18">
        <f t="shared" si="275"/>
        <v>0</v>
      </c>
      <c r="AJ161" s="18">
        <f t="shared" si="276"/>
        <v>0</v>
      </c>
      <c r="AK161" s="18">
        <f t="shared" si="277"/>
        <v>0</v>
      </c>
      <c r="AL161" s="18">
        <f t="shared" si="278"/>
        <v>1</v>
      </c>
      <c r="AM161" s="18">
        <f t="shared" si="279"/>
        <v>0</v>
      </c>
      <c r="AN161" s="18">
        <f t="shared" si="280"/>
        <v>0</v>
      </c>
      <c r="AO161" s="18">
        <f t="shared" si="281"/>
        <v>0</v>
      </c>
      <c r="AP161" s="18">
        <f t="shared" si="282"/>
        <v>0</v>
      </c>
      <c r="AQ161" s="23"/>
      <c r="AR161" s="18">
        <f t="shared" si="283"/>
        <v>0</v>
      </c>
      <c r="AS161" s="18">
        <f t="shared" si="284"/>
        <v>0</v>
      </c>
      <c r="AT161" s="18">
        <f t="shared" si="285"/>
        <v>0</v>
      </c>
      <c r="AU161" s="18">
        <f t="shared" si="286"/>
        <v>0</v>
      </c>
      <c r="AV161" s="18">
        <f t="shared" si="287"/>
        <v>0</v>
      </c>
      <c r="AW161" s="18">
        <f t="shared" si="288"/>
        <v>0</v>
      </c>
      <c r="AX161" s="18">
        <f t="shared" si="289"/>
        <v>0</v>
      </c>
      <c r="AY161" s="18">
        <f t="shared" si="290"/>
        <v>0</v>
      </c>
      <c r="BA161" s="27">
        <f t="shared" si="301"/>
        <v>0</v>
      </c>
      <c r="BB161" s="27">
        <f t="shared" si="291"/>
        <v>0</v>
      </c>
      <c r="BC161" s="27">
        <f t="shared" si="292"/>
        <v>0</v>
      </c>
      <c r="BD161" s="27">
        <f t="shared" si="293"/>
        <v>1</v>
      </c>
      <c r="BE161" s="27">
        <f t="shared" si="294"/>
        <v>0</v>
      </c>
      <c r="BF161" s="27">
        <f t="shared" si="295"/>
        <v>0</v>
      </c>
      <c r="BG161" s="27">
        <f t="shared" si="296"/>
        <v>0</v>
      </c>
      <c r="BH161" s="27">
        <f t="shared" si="297"/>
        <v>0</v>
      </c>
      <c r="BI161" s="27">
        <f t="shared" si="302"/>
        <v>1</v>
      </c>
      <c r="BJ161" s="27">
        <f t="shared" si="303"/>
        <v>2.564102564102564E-2</v>
      </c>
    </row>
    <row r="162" spans="1:62" ht="22.5">
      <c r="A162" s="4" t="s">
        <v>0</v>
      </c>
      <c r="B162" s="7"/>
      <c r="C162" s="25">
        <v>1</v>
      </c>
      <c r="D162" s="25">
        <v>0</v>
      </c>
      <c r="E162" s="25">
        <v>9</v>
      </c>
      <c r="F162" s="28">
        <v>9</v>
      </c>
      <c r="G162" s="28">
        <v>9</v>
      </c>
      <c r="H162" s="28">
        <v>9</v>
      </c>
      <c r="I162" s="28">
        <v>9</v>
      </c>
      <c r="J162" s="28">
        <v>9</v>
      </c>
      <c r="K162" s="29"/>
      <c r="L162" s="25">
        <v>0</v>
      </c>
      <c r="M162" s="25">
        <v>1</v>
      </c>
      <c r="N162" s="25"/>
      <c r="O162" s="28"/>
      <c r="P162" s="28"/>
      <c r="Q162" s="28"/>
      <c r="R162" s="28"/>
      <c r="S162" s="28"/>
      <c r="U162" s="9">
        <f t="shared" si="274"/>
        <v>0</v>
      </c>
      <c r="V162" s="1">
        <f t="shared" si="298"/>
        <v>0</v>
      </c>
      <c r="W162" s="11">
        <f t="shared" si="299"/>
        <v>1</v>
      </c>
      <c r="X162" s="12">
        <v>1</v>
      </c>
      <c r="Y162" s="10">
        <f t="shared" si="300"/>
        <v>2.564102564102564E-2</v>
      </c>
      <c r="Z162" s="18">
        <v>0</v>
      </c>
      <c r="AA162" s="18">
        <f>IF(M162=1,1,0)</f>
        <v>1</v>
      </c>
      <c r="AB162" s="18">
        <v>0</v>
      </c>
      <c r="AC162" s="18">
        <v>0</v>
      </c>
      <c r="AD162" s="18"/>
      <c r="AE162" s="18"/>
      <c r="AF162" s="18"/>
      <c r="AG162" s="18"/>
      <c r="AH162" s="12"/>
      <c r="AI162" s="18">
        <f t="shared" si="275"/>
        <v>0</v>
      </c>
      <c r="AJ162" s="18">
        <f t="shared" si="276"/>
        <v>0</v>
      </c>
      <c r="AK162" s="18">
        <f t="shared" si="277"/>
        <v>0</v>
      </c>
      <c r="AL162" s="18">
        <f t="shared" si="278"/>
        <v>0</v>
      </c>
      <c r="AM162" s="18">
        <f t="shared" si="279"/>
        <v>0</v>
      </c>
      <c r="AN162" s="18">
        <f t="shared" si="280"/>
        <v>0</v>
      </c>
      <c r="AO162" s="18">
        <f t="shared" si="281"/>
        <v>0</v>
      </c>
      <c r="AP162" s="18">
        <f t="shared" si="282"/>
        <v>0</v>
      </c>
      <c r="AQ162" s="9"/>
      <c r="AR162" s="18">
        <f t="shared" si="283"/>
        <v>0</v>
      </c>
      <c r="AS162" s="18">
        <f t="shared" si="284"/>
        <v>1</v>
      </c>
      <c r="AT162" s="18">
        <f t="shared" si="285"/>
        <v>0</v>
      </c>
      <c r="AU162" s="18">
        <f t="shared" si="286"/>
        <v>0</v>
      </c>
      <c r="AV162" s="18">
        <f t="shared" si="287"/>
        <v>0</v>
      </c>
      <c r="AW162" s="18">
        <f t="shared" si="288"/>
        <v>0</v>
      </c>
      <c r="AX162" s="18">
        <f t="shared" si="289"/>
        <v>0</v>
      </c>
      <c r="AY162" s="18">
        <f t="shared" si="290"/>
        <v>0</v>
      </c>
      <c r="BA162" s="27">
        <f t="shared" si="301"/>
        <v>0</v>
      </c>
      <c r="BB162" s="27">
        <f t="shared" si="291"/>
        <v>-1</v>
      </c>
      <c r="BC162" s="27">
        <f t="shared" si="292"/>
        <v>0</v>
      </c>
      <c r="BD162" s="27">
        <f t="shared" si="293"/>
        <v>0</v>
      </c>
      <c r="BE162" s="27">
        <f t="shared" si="294"/>
        <v>0</v>
      </c>
      <c r="BF162" s="27">
        <f t="shared" si="295"/>
        <v>0</v>
      </c>
      <c r="BG162" s="27">
        <f t="shared" si="296"/>
        <v>0</v>
      </c>
      <c r="BH162" s="27">
        <f t="shared" si="297"/>
        <v>0</v>
      </c>
      <c r="BI162" s="27">
        <f t="shared" si="302"/>
        <v>1</v>
      </c>
      <c r="BJ162" s="27">
        <f t="shared" si="303"/>
        <v>2.564102564102564E-2</v>
      </c>
    </row>
    <row r="163" spans="1:62" ht="22.5">
      <c r="A163" s="5" t="s">
        <v>1</v>
      </c>
      <c r="B163" s="7"/>
      <c r="C163" s="25">
        <v>9</v>
      </c>
      <c r="D163" s="25">
        <v>9</v>
      </c>
      <c r="E163" s="25">
        <v>9</v>
      </c>
      <c r="F163" s="25">
        <v>9</v>
      </c>
      <c r="G163" s="25">
        <v>0</v>
      </c>
      <c r="H163" s="25">
        <v>1</v>
      </c>
      <c r="I163" s="28">
        <v>9</v>
      </c>
      <c r="J163" s="28">
        <v>9</v>
      </c>
      <c r="K163" s="29"/>
      <c r="L163" s="25"/>
      <c r="M163" s="25"/>
      <c r="N163" s="25"/>
      <c r="O163" s="25"/>
      <c r="P163" s="25">
        <v>0</v>
      </c>
      <c r="Q163" s="25">
        <v>1</v>
      </c>
      <c r="R163" s="28"/>
      <c r="S163" s="28"/>
      <c r="U163" s="9">
        <f t="shared" si="274"/>
        <v>1</v>
      </c>
      <c r="V163" s="1">
        <f t="shared" si="298"/>
        <v>2.564102564102564E-2</v>
      </c>
      <c r="W163" s="11">
        <f t="shared" si="299"/>
        <v>0</v>
      </c>
      <c r="X163" s="12">
        <v>1</v>
      </c>
      <c r="Y163" s="10">
        <f t="shared" si="300"/>
        <v>2.564102564102564E-2</v>
      </c>
      <c r="Z163" s="18"/>
      <c r="AA163" s="18"/>
      <c r="AB163" s="18"/>
      <c r="AC163" s="18"/>
      <c r="AD163" s="18">
        <v>0</v>
      </c>
      <c r="AE163" s="18">
        <v>1</v>
      </c>
      <c r="AF163" s="18"/>
      <c r="AG163" s="18"/>
      <c r="AH163" s="12"/>
      <c r="AI163" s="18">
        <f t="shared" si="275"/>
        <v>0</v>
      </c>
      <c r="AJ163" s="18">
        <f t="shared" si="276"/>
        <v>0</v>
      </c>
      <c r="AK163" s="18">
        <f t="shared" si="277"/>
        <v>0</v>
      </c>
      <c r="AL163" s="18">
        <f t="shared" si="278"/>
        <v>0</v>
      </c>
      <c r="AM163" s="18">
        <f t="shared" si="279"/>
        <v>0</v>
      </c>
      <c r="AN163" s="18">
        <f t="shared" si="280"/>
        <v>1</v>
      </c>
      <c r="AO163" s="18">
        <f t="shared" si="281"/>
        <v>0</v>
      </c>
      <c r="AP163" s="18">
        <f t="shared" si="282"/>
        <v>0</v>
      </c>
      <c r="AQ163" s="9"/>
      <c r="AR163" s="18">
        <f t="shared" si="283"/>
        <v>0</v>
      </c>
      <c r="AS163" s="18">
        <f t="shared" si="284"/>
        <v>0</v>
      </c>
      <c r="AT163" s="18">
        <f t="shared" si="285"/>
        <v>0</v>
      </c>
      <c r="AU163" s="18">
        <f t="shared" si="286"/>
        <v>0</v>
      </c>
      <c r="AV163" s="18">
        <f t="shared" si="287"/>
        <v>0</v>
      </c>
      <c r="AW163" s="18">
        <f t="shared" si="288"/>
        <v>1</v>
      </c>
      <c r="AX163" s="18">
        <f t="shared" si="289"/>
        <v>0</v>
      </c>
      <c r="AY163" s="18">
        <f t="shared" si="290"/>
        <v>0</v>
      </c>
      <c r="BA163" s="27">
        <f t="shared" si="301"/>
        <v>0</v>
      </c>
      <c r="BB163" s="27">
        <f t="shared" si="291"/>
        <v>0</v>
      </c>
      <c r="BC163" s="27">
        <f t="shared" si="292"/>
        <v>0</v>
      </c>
      <c r="BD163" s="27">
        <f t="shared" si="293"/>
        <v>0</v>
      </c>
      <c r="BE163" s="27">
        <f t="shared" si="294"/>
        <v>0</v>
      </c>
      <c r="BF163" s="27">
        <f t="shared" si="295"/>
        <v>0</v>
      </c>
      <c r="BG163" s="27">
        <f t="shared" si="296"/>
        <v>0</v>
      </c>
      <c r="BH163" s="27">
        <f t="shared" si="297"/>
        <v>0</v>
      </c>
      <c r="BI163" s="27">
        <f t="shared" si="302"/>
        <v>0</v>
      </c>
      <c r="BJ163" s="27">
        <f t="shared" si="303"/>
        <v>0</v>
      </c>
    </row>
    <row r="164" spans="1:62" ht="22.5">
      <c r="A164" s="5" t="s">
        <v>21</v>
      </c>
      <c r="B164" s="7"/>
      <c r="C164" s="25">
        <v>9</v>
      </c>
      <c r="D164" s="25">
        <v>9</v>
      </c>
      <c r="E164" s="25">
        <v>9</v>
      </c>
      <c r="F164" s="25">
        <v>9</v>
      </c>
      <c r="G164" s="25">
        <v>0</v>
      </c>
      <c r="H164" s="25">
        <v>1</v>
      </c>
      <c r="I164" s="28">
        <v>9</v>
      </c>
      <c r="J164" s="28">
        <v>9</v>
      </c>
      <c r="K164" s="29"/>
      <c r="L164" s="25"/>
      <c r="M164" s="25"/>
      <c r="N164" s="25"/>
      <c r="O164" s="25"/>
      <c r="P164" s="25">
        <v>0</v>
      </c>
      <c r="Q164" s="25">
        <v>1</v>
      </c>
      <c r="R164" s="28"/>
      <c r="S164" s="28"/>
      <c r="U164" s="9">
        <f t="shared" si="274"/>
        <v>1</v>
      </c>
      <c r="V164" s="1">
        <f t="shared" si="298"/>
        <v>2.564102564102564E-2</v>
      </c>
      <c r="W164" s="11">
        <f t="shared" si="299"/>
        <v>0</v>
      </c>
      <c r="X164" s="12">
        <v>1</v>
      </c>
      <c r="Y164" s="10">
        <f t="shared" si="300"/>
        <v>2.564102564102564E-2</v>
      </c>
      <c r="Z164" s="18"/>
      <c r="AA164" s="18"/>
      <c r="AB164" s="18"/>
      <c r="AC164" s="18"/>
      <c r="AD164" s="18">
        <v>0</v>
      </c>
      <c r="AE164" s="18">
        <v>1</v>
      </c>
      <c r="AF164" s="18"/>
      <c r="AG164" s="18"/>
      <c r="AH164" s="12"/>
      <c r="AI164" s="18">
        <f t="shared" si="275"/>
        <v>0</v>
      </c>
      <c r="AJ164" s="18">
        <f t="shared" si="276"/>
        <v>0</v>
      </c>
      <c r="AK164" s="18">
        <f t="shared" si="277"/>
        <v>0</v>
      </c>
      <c r="AL164" s="18">
        <f t="shared" si="278"/>
        <v>0</v>
      </c>
      <c r="AM164" s="18">
        <f t="shared" si="279"/>
        <v>0</v>
      </c>
      <c r="AN164" s="18">
        <f t="shared" si="280"/>
        <v>1</v>
      </c>
      <c r="AO164" s="18">
        <f t="shared" si="281"/>
        <v>0</v>
      </c>
      <c r="AP164" s="18">
        <f t="shared" si="282"/>
        <v>0</v>
      </c>
      <c r="AQ164" s="9"/>
      <c r="AR164" s="18">
        <f t="shared" si="283"/>
        <v>0</v>
      </c>
      <c r="AS164" s="18">
        <f t="shared" si="284"/>
        <v>0</v>
      </c>
      <c r="AT164" s="18">
        <f t="shared" si="285"/>
        <v>0</v>
      </c>
      <c r="AU164" s="18">
        <f t="shared" si="286"/>
        <v>0</v>
      </c>
      <c r="AV164" s="18">
        <f t="shared" si="287"/>
        <v>0</v>
      </c>
      <c r="AW164" s="18">
        <f t="shared" si="288"/>
        <v>1</v>
      </c>
      <c r="AX164" s="18">
        <f t="shared" si="289"/>
        <v>0</v>
      </c>
      <c r="AY164" s="18">
        <f t="shared" si="290"/>
        <v>0</v>
      </c>
      <c r="BA164" s="27">
        <f t="shared" si="301"/>
        <v>0</v>
      </c>
      <c r="BB164" s="27">
        <f t="shared" si="291"/>
        <v>0</v>
      </c>
      <c r="BC164" s="27">
        <f t="shared" si="292"/>
        <v>0</v>
      </c>
      <c r="BD164" s="27">
        <f t="shared" si="293"/>
        <v>0</v>
      </c>
      <c r="BE164" s="27">
        <f t="shared" si="294"/>
        <v>0</v>
      </c>
      <c r="BF164" s="27">
        <f t="shared" si="295"/>
        <v>0</v>
      </c>
      <c r="BG164" s="27">
        <f t="shared" si="296"/>
        <v>0</v>
      </c>
      <c r="BH164" s="27">
        <f t="shared" si="297"/>
        <v>0</v>
      </c>
      <c r="BI164" s="27">
        <f t="shared" si="302"/>
        <v>0</v>
      </c>
      <c r="BJ164" s="27">
        <f t="shared" si="303"/>
        <v>0</v>
      </c>
    </row>
    <row r="165" spans="1:62" ht="22.5">
      <c r="A165" s="5" t="s">
        <v>2</v>
      </c>
      <c r="B165" s="7"/>
      <c r="C165" s="25">
        <v>9</v>
      </c>
      <c r="D165" s="25">
        <v>9</v>
      </c>
      <c r="E165" s="25">
        <v>9</v>
      </c>
      <c r="F165" s="25">
        <v>9</v>
      </c>
      <c r="G165" s="25">
        <v>0</v>
      </c>
      <c r="H165" s="25">
        <v>1</v>
      </c>
      <c r="I165" s="28">
        <v>9</v>
      </c>
      <c r="J165" s="28">
        <v>9</v>
      </c>
      <c r="K165" s="29"/>
      <c r="L165" s="25"/>
      <c r="M165" s="25"/>
      <c r="N165" s="25"/>
      <c r="O165" s="25"/>
      <c r="P165" s="25">
        <v>0</v>
      </c>
      <c r="Q165" s="25">
        <v>1</v>
      </c>
      <c r="R165" s="28"/>
      <c r="S165" s="28"/>
      <c r="U165" s="9">
        <f t="shared" si="274"/>
        <v>1</v>
      </c>
      <c r="V165" s="1">
        <f t="shared" si="298"/>
        <v>2.564102564102564E-2</v>
      </c>
      <c r="W165" s="11">
        <f t="shared" si="299"/>
        <v>0</v>
      </c>
      <c r="X165" s="12">
        <v>1</v>
      </c>
      <c r="Y165" s="10">
        <f t="shared" si="300"/>
        <v>2.564102564102564E-2</v>
      </c>
      <c r="Z165" s="18"/>
      <c r="AA165" s="18"/>
      <c r="AB165" s="18"/>
      <c r="AC165" s="18"/>
      <c r="AD165" s="18">
        <v>0</v>
      </c>
      <c r="AE165" s="18">
        <v>1</v>
      </c>
      <c r="AF165" s="18"/>
      <c r="AG165" s="18"/>
      <c r="AH165" s="12"/>
      <c r="AI165" s="18">
        <f t="shared" si="275"/>
        <v>0</v>
      </c>
      <c r="AJ165" s="18">
        <f t="shared" si="276"/>
        <v>0</v>
      </c>
      <c r="AK165" s="18">
        <f t="shared" si="277"/>
        <v>0</v>
      </c>
      <c r="AL165" s="18">
        <f t="shared" si="278"/>
        <v>0</v>
      </c>
      <c r="AM165" s="18">
        <f t="shared" si="279"/>
        <v>0</v>
      </c>
      <c r="AN165" s="18">
        <f t="shared" si="280"/>
        <v>1</v>
      </c>
      <c r="AO165" s="18">
        <f t="shared" si="281"/>
        <v>0</v>
      </c>
      <c r="AP165" s="18">
        <f t="shared" si="282"/>
        <v>0</v>
      </c>
      <c r="AQ165" s="9"/>
      <c r="AR165" s="18">
        <f t="shared" si="283"/>
        <v>0</v>
      </c>
      <c r="AS165" s="18">
        <f t="shared" si="284"/>
        <v>0</v>
      </c>
      <c r="AT165" s="18">
        <f t="shared" si="285"/>
        <v>0</v>
      </c>
      <c r="AU165" s="18">
        <f t="shared" si="286"/>
        <v>0</v>
      </c>
      <c r="AV165" s="18">
        <f t="shared" si="287"/>
        <v>0</v>
      </c>
      <c r="AW165" s="18">
        <f t="shared" si="288"/>
        <v>1</v>
      </c>
      <c r="AX165" s="18">
        <f t="shared" si="289"/>
        <v>0</v>
      </c>
      <c r="AY165" s="18">
        <f t="shared" si="290"/>
        <v>0</v>
      </c>
      <c r="BA165" s="27">
        <f t="shared" si="301"/>
        <v>0</v>
      </c>
      <c r="BB165" s="27">
        <f t="shared" si="291"/>
        <v>0</v>
      </c>
      <c r="BC165" s="27">
        <f t="shared" si="292"/>
        <v>0</v>
      </c>
      <c r="BD165" s="27">
        <f t="shared" si="293"/>
        <v>0</v>
      </c>
      <c r="BE165" s="27">
        <f t="shared" si="294"/>
        <v>0</v>
      </c>
      <c r="BF165" s="27">
        <f t="shared" si="295"/>
        <v>0</v>
      </c>
      <c r="BG165" s="27">
        <f t="shared" si="296"/>
        <v>0</v>
      </c>
      <c r="BH165" s="27">
        <f t="shared" si="297"/>
        <v>0</v>
      </c>
      <c r="BI165" s="27">
        <f t="shared" si="302"/>
        <v>0</v>
      </c>
      <c r="BJ165" s="27">
        <f t="shared" si="303"/>
        <v>0</v>
      </c>
    </row>
    <row r="166" spans="1:62" ht="22.5">
      <c r="A166" s="5" t="s">
        <v>3</v>
      </c>
      <c r="B166" s="7"/>
      <c r="C166" s="25">
        <v>9</v>
      </c>
      <c r="D166" s="25">
        <v>9</v>
      </c>
      <c r="E166" s="25">
        <v>9</v>
      </c>
      <c r="F166" s="25">
        <v>9</v>
      </c>
      <c r="G166" s="25">
        <v>1</v>
      </c>
      <c r="H166" s="25">
        <v>0</v>
      </c>
      <c r="I166" s="28">
        <v>9</v>
      </c>
      <c r="J166" s="28">
        <v>9</v>
      </c>
      <c r="K166" s="29"/>
      <c r="L166" s="25"/>
      <c r="M166" s="25"/>
      <c r="N166" s="25"/>
      <c r="O166" s="25"/>
      <c r="P166" s="25">
        <v>0</v>
      </c>
      <c r="Q166" s="25">
        <v>1</v>
      </c>
      <c r="R166" s="28"/>
      <c r="S166" s="28"/>
      <c r="U166" s="9">
        <f t="shared" si="274"/>
        <v>0</v>
      </c>
      <c r="V166" s="1">
        <f>(1-W166)*Y166</f>
        <v>0</v>
      </c>
      <c r="W166" s="11">
        <f t="shared" si="299"/>
        <v>1</v>
      </c>
      <c r="X166" s="12">
        <v>5</v>
      </c>
      <c r="Y166" s="10">
        <f t="shared" si="300"/>
        <v>0.12820512820512819</v>
      </c>
      <c r="Z166" s="18"/>
      <c r="AA166" s="18"/>
      <c r="AB166" s="18"/>
      <c r="AC166" s="18"/>
      <c r="AD166" s="18">
        <v>0</v>
      </c>
      <c r="AE166" s="18">
        <v>1</v>
      </c>
      <c r="AF166" s="18"/>
      <c r="AG166" s="18"/>
      <c r="AH166" s="12"/>
      <c r="AI166" s="18">
        <f t="shared" si="275"/>
        <v>0</v>
      </c>
      <c r="AJ166" s="18">
        <f t="shared" si="276"/>
        <v>0</v>
      </c>
      <c r="AK166" s="18">
        <f t="shared" si="277"/>
        <v>0</v>
      </c>
      <c r="AL166" s="18">
        <f t="shared" si="278"/>
        <v>0</v>
      </c>
      <c r="AM166" s="18">
        <f t="shared" si="279"/>
        <v>0</v>
      </c>
      <c r="AN166" s="18">
        <f t="shared" si="280"/>
        <v>0</v>
      </c>
      <c r="AO166" s="18">
        <f t="shared" si="281"/>
        <v>0</v>
      </c>
      <c r="AP166" s="18">
        <f t="shared" si="282"/>
        <v>0</v>
      </c>
      <c r="AQ166" s="9"/>
      <c r="AR166" s="18">
        <f t="shared" si="283"/>
        <v>0</v>
      </c>
      <c r="AS166" s="18">
        <f t="shared" si="284"/>
        <v>0</v>
      </c>
      <c r="AT166" s="18">
        <f t="shared" si="285"/>
        <v>0</v>
      </c>
      <c r="AU166" s="18">
        <f t="shared" si="286"/>
        <v>0</v>
      </c>
      <c r="AV166" s="18">
        <f t="shared" si="287"/>
        <v>0</v>
      </c>
      <c r="AW166" s="18">
        <f t="shared" si="288"/>
        <v>1</v>
      </c>
      <c r="AX166" s="18">
        <f t="shared" si="289"/>
        <v>0</v>
      </c>
      <c r="AY166" s="18">
        <f t="shared" si="290"/>
        <v>0</v>
      </c>
      <c r="BA166" s="27">
        <f t="shared" si="301"/>
        <v>0</v>
      </c>
      <c r="BB166" s="27">
        <f t="shared" si="291"/>
        <v>0</v>
      </c>
      <c r="BC166" s="27">
        <f t="shared" si="292"/>
        <v>0</v>
      </c>
      <c r="BD166" s="27">
        <f t="shared" si="293"/>
        <v>0</v>
      </c>
      <c r="BE166" s="27">
        <f t="shared" si="294"/>
        <v>0</v>
      </c>
      <c r="BF166" s="27">
        <f t="shared" si="295"/>
        <v>-1</v>
      </c>
      <c r="BG166" s="27">
        <f t="shared" si="296"/>
        <v>0</v>
      </c>
      <c r="BH166" s="27">
        <f t="shared" si="297"/>
        <v>0</v>
      </c>
      <c r="BI166" s="27">
        <f t="shared" si="302"/>
        <v>1</v>
      </c>
      <c r="BJ166" s="27">
        <f t="shared" si="303"/>
        <v>0.12820512820512819</v>
      </c>
    </row>
    <row r="167" spans="1:62" ht="22.5">
      <c r="A167" s="8" t="s">
        <v>4</v>
      </c>
      <c r="B167" s="7"/>
      <c r="C167" s="25">
        <v>9</v>
      </c>
      <c r="D167" s="25">
        <v>9</v>
      </c>
      <c r="E167" s="25">
        <v>9</v>
      </c>
      <c r="F167" s="25">
        <v>9</v>
      </c>
      <c r="G167" s="25">
        <v>9</v>
      </c>
      <c r="H167" s="25">
        <v>9</v>
      </c>
      <c r="I167" s="25">
        <v>0</v>
      </c>
      <c r="J167" s="25">
        <v>1</v>
      </c>
      <c r="K167" s="29"/>
      <c r="L167" s="25"/>
      <c r="M167" s="25"/>
      <c r="N167" s="25"/>
      <c r="O167" s="25"/>
      <c r="P167" s="25"/>
      <c r="Q167" s="25"/>
      <c r="R167" s="25">
        <v>0</v>
      </c>
      <c r="S167" s="25">
        <v>1</v>
      </c>
      <c r="U167" s="9">
        <f t="shared" si="274"/>
        <v>1</v>
      </c>
      <c r="V167" s="1">
        <f t="shared" ref="V167:V170" si="304">(1-W167)*Y167</f>
        <v>2.564102564102564E-2</v>
      </c>
      <c r="W167" s="11">
        <f t="shared" si="299"/>
        <v>0</v>
      </c>
      <c r="X167" s="12">
        <v>1</v>
      </c>
      <c r="Y167" s="10">
        <f t="shared" si="300"/>
        <v>2.564102564102564E-2</v>
      </c>
      <c r="Z167" s="18"/>
      <c r="AA167" s="18"/>
      <c r="AB167" s="18"/>
      <c r="AC167" s="18"/>
      <c r="AD167" s="18"/>
      <c r="AE167" s="18"/>
      <c r="AF167" s="18">
        <v>0</v>
      </c>
      <c r="AG167" s="18">
        <v>1</v>
      </c>
      <c r="AH167" s="12"/>
      <c r="AI167" s="18">
        <f t="shared" si="275"/>
        <v>0</v>
      </c>
      <c r="AJ167" s="18">
        <f t="shared" si="276"/>
        <v>0</v>
      </c>
      <c r="AK167" s="18">
        <f t="shared" si="277"/>
        <v>0</v>
      </c>
      <c r="AL167" s="18">
        <f t="shared" si="278"/>
        <v>0</v>
      </c>
      <c r="AM167" s="18">
        <f t="shared" si="279"/>
        <v>0</v>
      </c>
      <c r="AN167" s="18">
        <f t="shared" si="280"/>
        <v>0</v>
      </c>
      <c r="AO167" s="18">
        <f t="shared" si="281"/>
        <v>0</v>
      </c>
      <c r="AP167" s="18">
        <f t="shared" si="282"/>
        <v>1</v>
      </c>
      <c r="AQ167" s="9"/>
      <c r="AR167" s="18">
        <f t="shared" si="283"/>
        <v>0</v>
      </c>
      <c r="AS167" s="18">
        <f t="shared" si="284"/>
        <v>0</v>
      </c>
      <c r="AT167" s="18">
        <f t="shared" si="285"/>
        <v>0</v>
      </c>
      <c r="AU167" s="18">
        <f t="shared" si="286"/>
        <v>0</v>
      </c>
      <c r="AV167" s="18">
        <f t="shared" si="287"/>
        <v>0</v>
      </c>
      <c r="AW167" s="18">
        <f t="shared" si="288"/>
        <v>0</v>
      </c>
      <c r="AX167" s="18">
        <f t="shared" si="289"/>
        <v>0</v>
      </c>
      <c r="AY167" s="18">
        <f t="shared" si="290"/>
        <v>1</v>
      </c>
      <c r="BA167" s="27">
        <f t="shared" si="301"/>
        <v>0</v>
      </c>
      <c r="BB167" s="27">
        <f t="shared" si="291"/>
        <v>0</v>
      </c>
      <c r="BC167" s="27">
        <f t="shared" si="292"/>
        <v>0</v>
      </c>
      <c r="BD167" s="27">
        <f t="shared" si="293"/>
        <v>0</v>
      </c>
      <c r="BE167" s="27">
        <f t="shared" si="294"/>
        <v>0</v>
      </c>
      <c r="BF167" s="27">
        <f t="shared" si="295"/>
        <v>0</v>
      </c>
      <c r="BG167" s="27">
        <f t="shared" si="296"/>
        <v>0</v>
      </c>
      <c r="BH167" s="27">
        <f t="shared" si="297"/>
        <v>0</v>
      </c>
      <c r="BI167" s="27">
        <f t="shared" si="302"/>
        <v>0</v>
      </c>
      <c r="BJ167" s="27">
        <f t="shared" si="303"/>
        <v>0</v>
      </c>
    </row>
    <row r="168" spans="1:62" ht="22.5">
      <c r="A168" s="8" t="s">
        <v>22</v>
      </c>
      <c r="B168" s="7"/>
      <c r="C168" s="25">
        <v>9</v>
      </c>
      <c r="D168" s="25">
        <v>9</v>
      </c>
      <c r="E168" s="25">
        <v>9</v>
      </c>
      <c r="F168" s="25">
        <v>9</v>
      </c>
      <c r="G168" s="25">
        <v>9</v>
      </c>
      <c r="H168" s="25">
        <v>9</v>
      </c>
      <c r="I168" s="25">
        <v>0</v>
      </c>
      <c r="J168" s="25">
        <v>1</v>
      </c>
      <c r="K168" s="29"/>
      <c r="L168" s="25"/>
      <c r="M168" s="25"/>
      <c r="N168" s="25"/>
      <c r="O168" s="25"/>
      <c r="P168" s="25"/>
      <c r="Q168" s="25"/>
      <c r="R168" s="25">
        <v>0</v>
      </c>
      <c r="S168" s="25">
        <v>1</v>
      </c>
      <c r="U168" s="9">
        <f t="shared" si="274"/>
        <v>1</v>
      </c>
      <c r="V168" s="1">
        <f t="shared" si="304"/>
        <v>2.564102564102564E-2</v>
      </c>
      <c r="W168" s="11">
        <f t="shared" si="299"/>
        <v>0</v>
      </c>
      <c r="X168" s="12">
        <v>1</v>
      </c>
      <c r="Y168" s="10">
        <f t="shared" si="300"/>
        <v>2.564102564102564E-2</v>
      </c>
      <c r="Z168" s="18"/>
      <c r="AA168" s="18"/>
      <c r="AB168" s="18"/>
      <c r="AC168" s="18"/>
      <c r="AD168" s="18"/>
      <c r="AE168" s="18"/>
      <c r="AF168" s="18">
        <v>0</v>
      </c>
      <c r="AG168" s="18">
        <v>1</v>
      </c>
      <c r="AH168" s="12"/>
      <c r="AI168" s="18">
        <f t="shared" si="275"/>
        <v>0</v>
      </c>
      <c r="AJ168" s="18">
        <f t="shared" si="276"/>
        <v>0</v>
      </c>
      <c r="AK168" s="18">
        <f t="shared" si="277"/>
        <v>0</v>
      </c>
      <c r="AL168" s="18">
        <f t="shared" si="278"/>
        <v>0</v>
      </c>
      <c r="AM168" s="18">
        <f t="shared" si="279"/>
        <v>0</v>
      </c>
      <c r="AN168" s="18">
        <f t="shared" si="280"/>
        <v>0</v>
      </c>
      <c r="AO168" s="18">
        <f t="shared" si="281"/>
        <v>0</v>
      </c>
      <c r="AP168" s="18">
        <f t="shared" si="282"/>
        <v>1</v>
      </c>
      <c r="AQ168" s="9"/>
      <c r="AR168" s="18">
        <f t="shared" si="283"/>
        <v>0</v>
      </c>
      <c r="AS168" s="18">
        <f t="shared" si="284"/>
        <v>0</v>
      </c>
      <c r="AT168" s="18">
        <f t="shared" si="285"/>
        <v>0</v>
      </c>
      <c r="AU168" s="18">
        <f t="shared" si="286"/>
        <v>0</v>
      </c>
      <c r="AV168" s="18">
        <f t="shared" si="287"/>
        <v>0</v>
      </c>
      <c r="AW168" s="18">
        <f t="shared" si="288"/>
        <v>0</v>
      </c>
      <c r="AX168" s="18">
        <f t="shared" si="289"/>
        <v>0</v>
      </c>
      <c r="AY168" s="18">
        <f t="shared" si="290"/>
        <v>1</v>
      </c>
      <c r="BA168" s="27">
        <f t="shared" si="301"/>
        <v>0</v>
      </c>
      <c r="BB168" s="27">
        <f t="shared" si="291"/>
        <v>0</v>
      </c>
      <c r="BC168" s="27">
        <f t="shared" si="292"/>
        <v>0</v>
      </c>
      <c r="BD168" s="27">
        <f t="shared" si="293"/>
        <v>0</v>
      </c>
      <c r="BE168" s="27">
        <f t="shared" si="294"/>
        <v>0</v>
      </c>
      <c r="BF168" s="27">
        <f t="shared" si="295"/>
        <v>0</v>
      </c>
      <c r="BG168" s="27">
        <f t="shared" si="296"/>
        <v>0</v>
      </c>
      <c r="BH168" s="27">
        <f t="shared" si="297"/>
        <v>0</v>
      </c>
      <c r="BI168" s="27">
        <f t="shared" si="302"/>
        <v>0</v>
      </c>
      <c r="BJ168" s="27">
        <f t="shared" si="303"/>
        <v>0</v>
      </c>
    </row>
    <row r="169" spans="1:62" ht="22.5">
      <c r="A169" s="8" t="s">
        <v>23</v>
      </c>
      <c r="B169" s="7"/>
      <c r="C169" s="25">
        <v>9</v>
      </c>
      <c r="D169" s="25">
        <v>9</v>
      </c>
      <c r="E169" s="25">
        <v>9</v>
      </c>
      <c r="F169" s="25">
        <v>9</v>
      </c>
      <c r="G169" s="25">
        <v>9</v>
      </c>
      <c r="H169" s="25">
        <v>9</v>
      </c>
      <c r="I169" s="25">
        <v>0</v>
      </c>
      <c r="J169" s="25">
        <v>1</v>
      </c>
      <c r="K169" s="29"/>
      <c r="L169" s="25"/>
      <c r="M169" s="25"/>
      <c r="N169" s="25"/>
      <c r="O169" s="25"/>
      <c r="P169" s="25"/>
      <c r="Q169" s="25"/>
      <c r="R169" s="25">
        <v>0</v>
      </c>
      <c r="S169" s="25">
        <v>1</v>
      </c>
      <c r="U169" s="9">
        <f>IF(MATCH(1,C169:J169,0)=MATCH(1,L169:S169,0),1,0)</f>
        <v>1</v>
      </c>
      <c r="V169" s="1">
        <f t="shared" si="304"/>
        <v>2.564102564102564E-2</v>
      </c>
      <c r="W169" s="11">
        <f>BI169</f>
        <v>0</v>
      </c>
      <c r="X169" s="12">
        <v>1</v>
      </c>
      <c r="Y169" s="10">
        <f t="shared" si="300"/>
        <v>2.564102564102564E-2</v>
      </c>
      <c r="Z169" s="18"/>
      <c r="AA169" s="18"/>
      <c r="AB169" s="18"/>
      <c r="AC169" s="18"/>
      <c r="AD169" s="18"/>
      <c r="AE169" s="18"/>
      <c r="AF169" s="18">
        <v>0</v>
      </c>
      <c r="AG169" s="18">
        <v>1</v>
      </c>
      <c r="AI169" s="18">
        <f t="shared" si="275"/>
        <v>0</v>
      </c>
      <c r="AJ169" s="18">
        <f t="shared" si="276"/>
        <v>0</v>
      </c>
      <c r="AK169" s="18">
        <f t="shared" si="277"/>
        <v>0</v>
      </c>
      <c r="AL169" s="18">
        <f t="shared" si="278"/>
        <v>0</v>
      </c>
      <c r="AM169" s="18">
        <f t="shared" si="279"/>
        <v>0</v>
      </c>
      <c r="AN169" s="18">
        <f t="shared" si="280"/>
        <v>0</v>
      </c>
      <c r="AO169" s="18">
        <f t="shared" si="281"/>
        <v>0</v>
      </c>
      <c r="AP169" s="18">
        <f t="shared" si="282"/>
        <v>1</v>
      </c>
      <c r="AQ169" s="9" t="s">
        <v>24</v>
      </c>
      <c r="AR169" s="18">
        <f t="shared" si="283"/>
        <v>0</v>
      </c>
      <c r="AS169" s="18">
        <f t="shared" si="284"/>
        <v>0</v>
      </c>
      <c r="AT169" s="18">
        <f t="shared" si="285"/>
        <v>0</v>
      </c>
      <c r="AU169" s="18">
        <f t="shared" si="286"/>
        <v>0</v>
      </c>
      <c r="AV169" s="18"/>
      <c r="AW169" s="18">
        <f t="shared" si="288"/>
        <v>0</v>
      </c>
      <c r="AX169" s="18">
        <f t="shared" si="289"/>
        <v>0</v>
      </c>
      <c r="AY169" s="18">
        <f t="shared" si="290"/>
        <v>1</v>
      </c>
      <c r="BA169" s="27">
        <f t="shared" si="301"/>
        <v>0</v>
      </c>
      <c r="BB169" s="27">
        <f t="shared" si="291"/>
        <v>0</v>
      </c>
      <c r="BC169" s="27">
        <f t="shared" si="292"/>
        <v>0</v>
      </c>
      <c r="BD169" s="27">
        <f t="shared" si="293"/>
        <v>0</v>
      </c>
      <c r="BE169" s="27">
        <f t="shared" si="294"/>
        <v>0</v>
      </c>
      <c r="BF169" s="27">
        <f t="shared" si="295"/>
        <v>0</v>
      </c>
      <c r="BG169" s="27">
        <f t="shared" si="296"/>
        <v>0</v>
      </c>
      <c r="BH169" s="27">
        <f t="shared" si="297"/>
        <v>0</v>
      </c>
      <c r="BI169" s="27">
        <f t="shared" si="302"/>
        <v>0</v>
      </c>
      <c r="BJ169" s="27">
        <f t="shared" si="303"/>
        <v>0</v>
      </c>
    </row>
    <row r="170" spans="1:62" ht="22.5">
      <c r="A170" s="14" t="s">
        <v>5</v>
      </c>
      <c r="B170" s="7"/>
      <c r="C170" s="25">
        <v>9</v>
      </c>
      <c r="D170" s="25">
        <v>9</v>
      </c>
      <c r="E170" s="25">
        <v>9</v>
      </c>
      <c r="F170" s="25">
        <v>9</v>
      </c>
      <c r="G170" s="25">
        <v>9</v>
      </c>
      <c r="H170" s="25">
        <v>9</v>
      </c>
      <c r="I170" s="25">
        <v>1</v>
      </c>
      <c r="J170" s="25">
        <v>0</v>
      </c>
      <c r="K170" s="29"/>
      <c r="L170" s="25"/>
      <c r="M170" s="25"/>
      <c r="N170" s="25"/>
      <c r="O170" s="25"/>
      <c r="P170" s="25"/>
      <c r="Q170" s="25"/>
      <c r="R170" s="25">
        <v>1</v>
      </c>
      <c r="S170" s="25">
        <v>0</v>
      </c>
      <c r="U170" s="9">
        <f t="shared" ref="U170" si="305">IF(MATCH(1,C170:J170,0)=MATCH(1,L170:S170,0),1,0)</f>
        <v>1</v>
      </c>
      <c r="V170" s="1">
        <f t="shared" si="304"/>
        <v>0.12820512820512819</v>
      </c>
      <c r="W170" s="11">
        <f t="shared" ref="W170" si="306">BI170</f>
        <v>0</v>
      </c>
      <c r="X170" s="12">
        <v>5</v>
      </c>
      <c r="Y170" s="10">
        <f t="shared" si="300"/>
        <v>0.12820512820512819</v>
      </c>
      <c r="Z170" s="18"/>
      <c r="AA170" s="18"/>
      <c r="AB170" s="18"/>
      <c r="AC170" s="18"/>
      <c r="AD170" s="18"/>
      <c r="AE170" s="18"/>
      <c r="AF170" s="18">
        <v>0</v>
      </c>
      <c r="AG170" s="18">
        <v>1</v>
      </c>
      <c r="AH170" s="20"/>
      <c r="AI170" s="18">
        <f t="shared" si="275"/>
        <v>0</v>
      </c>
      <c r="AJ170" s="18">
        <f t="shared" si="276"/>
        <v>0</v>
      </c>
      <c r="AK170" s="18">
        <f t="shared" si="277"/>
        <v>0</v>
      </c>
      <c r="AL170" s="18">
        <f t="shared" si="278"/>
        <v>0</v>
      </c>
      <c r="AM170" s="18">
        <f t="shared" si="279"/>
        <v>0</v>
      </c>
      <c r="AN170" s="18">
        <f t="shared" si="280"/>
        <v>0</v>
      </c>
      <c r="AO170" s="18">
        <f t="shared" si="281"/>
        <v>0</v>
      </c>
      <c r="AP170" s="18">
        <f t="shared" si="282"/>
        <v>0</v>
      </c>
      <c r="AQ170" s="9"/>
      <c r="AR170" s="18">
        <f t="shared" si="283"/>
        <v>0</v>
      </c>
      <c r="AS170" s="18">
        <f t="shared" si="284"/>
        <v>0</v>
      </c>
      <c r="AT170" s="18">
        <f t="shared" si="285"/>
        <v>0</v>
      </c>
      <c r="AU170" s="18">
        <f t="shared" si="286"/>
        <v>0</v>
      </c>
      <c r="AV170" s="18">
        <f>P170*AD170</f>
        <v>0</v>
      </c>
      <c r="AW170" s="18">
        <f t="shared" si="288"/>
        <v>0</v>
      </c>
      <c r="AX170" s="18">
        <f t="shared" si="289"/>
        <v>0</v>
      </c>
      <c r="AY170" s="18">
        <f t="shared" si="290"/>
        <v>0</v>
      </c>
      <c r="BA170" s="27">
        <f>(AI170-AR170)</f>
        <v>0</v>
      </c>
      <c r="BB170" s="27">
        <f t="shared" si="291"/>
        <v>0</v>
      </c>
      <c r="BC170" s="27">
        <f t="shared" si="292"/>
        <v>0</v>
      </c>
      <c r="BD170" s="27">
        <f t="shared" si="293"/>
        <v>0</v>
      </c>
      <c r="BE170" s="27">
        <f t="shared" si="294"/>
        <v>0</v>
      </c>
      <c r="BF170" s="27">
        <f t="shared" si="295"/>
        <v>0</v>
      </c>
      <c r="BG170" s="27">
        <f t="shared" si="296"/>
        <v>0</v>
      </c>
      <c r="BH170" s="27">
        <f t="shared" si="297"/>
        <v>0</v>
      </c>
      <c r="BI170" s="27">
        <f t="shared" si="302"/>
        <v>0</v>
      </c>
      <c r="BJ170" s="27">
        <f t="shared" si="303"/>
        <v>0</v>
      </c>
    </row>
    <row r="171" spans="1:62">
      <c r="B171" t="s">
        <v>55</v>
      </c>
      <c r="C171" s="30"/>
      <c r="D171" s="30"/>
      <c r="E171" s="30"/>
      <c r="F171" s="30"/>
      <c r="G171" s="30"/>
      <c r="H171" s="30"/>
      <c r="I171" s="30"/>
      <c r="J171" s="30"/>
      <c r="K171" t="s">
        <v>53</v>
      </c>
      <c r="AI171" s="11">
        <f t="shared" si="275"/>
        <v>0</v>
      </c>
      <c r="AJ171" s="11">
        <f t="shared" si="276"/>
        <v>0</v>
      </c>
      <c r="AK171" s="11">
        <f t="shared" si="277"/>
        <v>0</v>
      </c>
      <c r="AL171" s="11">
        <f t="shared" si="278"/>
        <v>0</v>
      </c>
      <c r="AM171" s="11">
        <f t="shared" si="279"/>
        <v>0</v>
      </c>
      <c r="AN171" s="11">
        <f t="shared" si="280"/>
        <v>0</v>
      </c>
    </row>
    <row r="172" spans="1:62" ht="22.5">
      <c r="A172" s="6" t="s">
        <v>10</v>
      </c>
      <c r="B172" s="7"/>
      <c r="C172" s="25">
        <v>1</v>
      </c>
      <c r="D172" s="28">
        <v>0</v>
      </c>
      <c r="E172" s="28"/>
      <c r="F172" s="28"/>
      <c r="G172" s="28"/>
      <c r="H172" s="28"/>
      <c r="I172" s="28"/>
      <c r="J172" s="28"/>
      <c r="K172" s="29"/>
      <c r="L172" s="25">
        <v>0</v>
      </c>
      <c r="M172" s="28">
        <v>1</v>
      </c>
      <c r="N172" s="28"/>
      <c r="O172" s="28"/>
      <c r="P172" s="28"/>
      <c r="Q172" s="28"/>
      <c r="R172" s="28"/>
      <c r="S172" s="28"/>
      <c r="U172" s="9">
        <f t="shared" ref="U172:U185" si="307">IF(MATCH(1,C172:J172,0)=MATCH(1,L172:S172,0),1,0)</f>
        <v>0</v>
      </c>
      <c r="V172" s="1">
        <f>(1-W172)*Y172</f>
        <v>0</v>
      </c>
      <c r="W172" s="11">
        <f>BI172</f>
        <v>1</v>
      </c>
      <c r="X172" s="9">
        <v>5</v>
      </c>
      <c r="Y172" s="10">
        <f>X172/SUM($X$2:$X$17)</f>
        <v>0.12820512820512819</v>
      </c>
      <c r="Z172" s="18">
        <v>0</v>
      </c>
      <c r="AA172" s="18">
        <v>1</v>
      </c>
      <c r="AB172" s="18"/>
      <c r="AC172" s="18"/>
      <c r="AD172" s="18"/>
      <c r="AE172" s="18"/>
      <c r="AF172" s="18"/>
      <c r="AG172" s="18"/>
      <c r="AH172" s="12"/>
      <c r="AI172" s="18">
        <f t="shared" ref="AI172:AI187" si="308">C172*Z172</f>
        <v>0</v>
      </c>
      <c r="AJ172" s="18">
        <f t="shared" ref="AJ172:AJ187" si="309">D172*AA172</f>
        <v>0</v>
      </c>
      <c r="AK172" s="18">
        <f t="shared" ref="AK172:AK187" si="310">E172*AB172</f>
        <v>0</v>
      </c>
      <c r="AL172" s="18">
        <f t="shared" ref="AL172:AL187" si="311">F172*AC172</f>
        <v>0</v>
      </c>
      <c r="AM172" s="18">
        <f t="shared" ref="AM172:AM187" si="312">G172*AD172</f>
        <v>0</v>
      </c>
      <c r="AN172" s="18">
        <f t="shared" ref="AN172:AN187" si="313">H172*AE172</f>
        <v>0</v>
      </c>
      <c r="AO172" s="18">
        <f t="shared" ref="AO172:AO187" si="314">I172*AF172</f>
        <v>0</v>
      </c>
      <c r="AP172" s="18">
        <f t="shared" ref="AP172:AP187" si="315">J172*AG172</f>
        <v>0</v>
      </c>
      <c r="AQ172" s="9"/>
      <c r="AR172" s="18">
        <f t="shared" ref="AR172:AR187" si="316">L172*Z172</f>
        <v>0</v>
      </c>
      <c r="AS172" s="18">
        <f t="shared" ref="AS172:AS187" si="317">M172*AA172</f>
        <v>1</v>
      </c>
      <c r="AT172" s="18">
        <f t="shared" ref="AT172:AT187" si="318">N172*AB172</f>
        <v>0</v>
      </c>
      <c r="AU172" s="18">
        <f t="shared" ref="AU172:AU187" si="319">O172*AC172</f>
        <v>0</v>
      </c>
      <c r="AV172" s="18">
        <f t="shared" ref="AV172:AV185" si="320">P172*AD172</f>
        <v>0</v>
      </c>
      <c r="AW172" s="18">
        <f t="shared" ref="AW172:AW187" si="321">Q172*AE172</f>
        <v>0</v>
      </c>
      <c r="AX172" s="18">
        <f t="shared" ref="AX172:AX187" si="322">R172*AF172</f>
        <v>0</v>
      </c>
      <c r="AY172" s="18">
        <f t="shared" ref="AY172:AY187" si="323">S172*AG172</f>
        <v>0</v>
      </c>
      <c r="BA172" s="27">
        <f>(AI172-AR172)</f>
        <v>0</v>
      </c>
      <c r="BB172" s="27">
        <f t="shared" ref="BB172:BB187" si="324">(AJ172-AS172)</f>
        <v>-1</v>
      </c>
      <c r="BC172" s="27">
        <f t="shared" ref="BC172:BC187" si="325">(AK172-AT172)</f>
        <v>0</v>
      </c>
      <c r="BD172" s="27">
        <f t="shared" ref="BD172:BD187" si="326">(AL172-AU172)</f>
        <v>0</v>
      </c>
      <c r="BE172" s="27">
        <f t="shared" ref="BE172:BE187" si="327">(AM172-AV172)</f>
        <v>0</v>
      </c>
      <c r="BF172" s="27">
        <f t="shared" ref="BF172:BF187" si="328">(AN172-AW172)</f>
        <v>0</v>
      </c>
      <c r="BG172" s="27">
        <f t="shared" ref="BG172:BG187" si="329">(AO172-AX172)</f>
        <v>0</v>
      </c>
      <c r="BH172" s="27">
        <f t="shared" ref="BH172:BH187" si="330">(AP172-AY172)</f>
        <v>0</v>
      </c>
      <c r="BI172" s="27">
        <f>ABS(SUM(BA172:BH172))</f>
        <v>1</v>
      </c>
      <c r="BJ172" s="27">
        <f>BI172*Y172</f>
        <v>0.12820512820512819</v>
      </c>
    </row>
    <row r="173" spans="1:62" ht="22.5">
      <c r="A173" s="6" t="s">
        <v>11</v>
      </c>
      <c r="B173" s="7"/>
      <c r="C173" s="25">
        <v>1</v>
      </c>
      <c r="D173" s="28">
        <v>0</v>
      </c>
      <c r="E173" s="28"/>
      <c r="F173" s="28"/>
      <c r="G173" s="28"/>
      <c r="H173" s="28"/>
      <c r="I173" s="28"/>
      <c r="J173" s="28"/>
      <c r="K173" s="29"/>
      <c r="L173" s="25">
        <v>0</v>
      </c>
      <c r="M173" s="28">
        <v>1</v>
      </c>
      <c r="N173" s="28"/>
      <c r="O173" s="28"/>
      <c r="P173" s="28"/>
      <c r="Q173" s="28"/>
      <c r="R173" s="28"/>
      <c r="S173" s="28"/>
      <c r="U173" s="9">
        <f t="shared" si="307"/>
        <v>0</v>
      </c>
      <c r="V173" s="1">
        <f t="shared" ref="V173:V182" si="331">(1-W173)*Y173</f>
        <v>0</v>
      </c>
      <c r="W173" s="11">
        <f t="shared" ref="W173:W185" si="332">BI173</f>
        <v>1</v>
      </c>
      <c r="X173" s="9">
        <v>5</v>
      </c>
      <c r="Y173" s="10">
        <f t="shared" ref="Y173:Y187" si="333">X173/SUM($X$2:$X$17)</f>
        <v>0.12820512820512819</v>
      </c>
      <c r="Z173" s="18">
        <v>0</v>
      </c>
      <c r="AA173" s="18">
        <v>1</v>
      </c>
      <c r="AB173" s="18"/>
      <c r="AC173" s="18"/>
      <c r="AD173" s="18"/>
      <c r="AE173" s="18"/>
      <c r="AF173" s="18"/>
      <c r="AG173" s="18"/>
      <c r="AH173" s="12"/>
      <c r="AI173" s="18">
        <f t="shared" si="308"/>
        <v>0</v>
      </c>
      <c r="AJ173" s="18">
        <f t="shared" si="309"/>
        <v>0</v>
      </c>
      <c r="AK173" s="18">
        <f t="shared" si="310"/>
        <v>0</v>
      </c>
      <c r="AL173" s="18">
        <f t="shared" si="311"/>
        <v>0</v>
      </c>
      <c r="AM173" s="18">
        <f t="shared" si="312"/>
        <v>0</v>
      </c>
      <c r="AN173" s="18">
        <f t="shared" si="313"/>
        <v>0</v>
      </c>
      <c r="AO173" s="18">
        <f t="shared" si="314"/>
        <v>0</v>
      </c>
      <c r="AP173" s="18">
        <f t="shared" si="315"/>
        <v>0</v>
      </c>
      <c r="AQ173" s="9"/>
      <c r="AR173" s="18">
        <f t="shared" si="316"/>
        <v>0</v>
      </c>
      <c r="AS173" s="18">
        <f t="shared" si="317"/>
        <v>1</v>
      </c>
      <c r="AT173" s="18">
        <f t="shared" si="318"/>
        <v>0</v>
      </c>
      <c r="AU173" s="18">
        <f t="shared" si="319"/>
        <v>0</v>
      </c>
      <c r="AV173" s="18">
        <f t="shared" si="320"/>
        <v>0</v>
      </c>
      <c r="AW173" s="18">
        <f t="shared" si="321"/>
        <v>0</v>
      </c>
      <c r="AX173" s="18">
        <f t="shared" si="322"/>
        <v>0</v>
      </c>
      <c r="AY173" s="18">
        <f t="shared" si="323"/>
        <v>0</v>
      </c>
      <c r="BA173" s="27">
        <f t="shared" ref="BA173:BA186" si="334">(AI173-AR173)</f>
        <v>0</v>
      </c>
      <c r="BB173" s="27">
        <f t="shared" si="324"/>
        <v>-1</v>
      </c>
      <c r="BC173" s="27">
        <f t="shared" si="325"/>
        <v>0</v>
      </c>
      <c r="BD173" s="27">
        <f t="shared" si="326"/>
        <v>0</v>
      </c>
      <c r="BE173" s="27">
        <f t="shared" si="327"/>
        <v>0</v>
      </c>
      <c r="BF173" s="27">
        <f t="shared" si="328"/>
        <v>0</v>
      </c>
      <c r="BG173" s="27">
        <f t="shared" si="329"/>
        <v>0</v>
      </c>
      <c r="BH173" s="27">
        <f t="shared" si="330"/>
        <v>0</v>
      </c>
      <c r="BI173" s="27">
        <f t="shared" ref="BI173:BI187" si="335">ABS(SUM(BA173:BH173))</f>
        <v>1</v>
      </c>
      <c r="BJ173" s="27">
        <f t="shared" ref="BJ173:BJ187" si="336">BI173*Y173</f>
        <v>0.12820512820512819</v>
      </c>
    </row>
    <row r="174" spans="1:62" s="22" customFormat="1" ht="22.5">
      <c r="A174" s="8" t="s">
        <v>12</v>
      </c>
      <c r="B174" s="21"/>
      <c r="C174" s="25">
        <v>0</v>
      </c>
      <c r="D174" s="25">
        <v>1</v>
      </c>
      <c r="E174" s="25">
        <v>0</v>
      </c>
      <c r="F174" s="28">
        <v>0</v>
      </c>
      <c r="G174" s="28"/>
      <c r="H174" s="28"/>
      <c r="I174" s="28"/>
      <c r="J174" s="28"/>
      <c r="K174" s="29"/>
      <c r="L174" s="25">
        <v>0</v>
      </c>
      <c r="M174" s="25">
        <v>1</v>
      </c>
      <c r="N174" s="25">
        <v>0</v>
      </c>
      <c r="O174" s="28">
        <v>0</v>
      </c>
      <c r="P174" s="28"/>
      <c r="Q174" s="28"/>
      <c r="R174" s="28"/>
      <c r="S174" s="28"/>
      <c r="T174"/>
      <c r="U174" s="23">
        <f t="shared" si="307"/>
        <v>1</v>
      </c>
      <c r="V174" s="1">
        <f t="shared" si="331"/>
        <v>7.6923076923076927E-2</v>
      </c>
      <c r="W174" s="11">
        <f t="shared" si="332"/>
        <v>0</v>
      </c>
      <c r="X174" s="23">
        <v>3</v>
      </c>
      <c r="Y174" s="24">
        <f t="shared" si="333"/>
        <v>7.6923076923076927E-2</v>
      </c>
      <c r="Z174" s="18">
        <v>0</v>
      </c>
      <c r="AA174" s="18">
        <v>0.3</v>
      </c>
      <c r="AB174" s="18">
        <v>0.8</v>
      </c>
      <c r="AC174" s="18">
        <v>1</v>
      </c>
      <c r="AD174" s="18"/>
      <c r="AE174" s="18"/>
      <c r="AF174" s="18"/>
      <c r="AG174" s="18"/>
      <c r="AH174" s="12"/>
      <c r="AI174" s="18">
        <f t="shared" si="308"/>
        <v>0</v>
      </c>
      <c r="AJ174" s="18">
        <f t="shared" si="309"/>
        <v>0.3</v>
      </c>
      <c r="AK174" s="18">
        <f t="shared" si="310"/>
        <v>0</v>
      </c>
      <c r="AL174" s="18">
        <f t="shared" si="311"/>
        <v>0</v>
      </c>
      <c r="AM174" s="18">
        <f t="shared" si="312"/>
        <v>0</v>
      </c>
      <c r="AN174" s="18">
        <f t="shared" si="313"/>
        <v>0</v>
      </c>
      <c r="AO174" s="18">
        <f t="shared" si="314"/>
        <v>0</v>
      </c>
      <c r="AP174" s="18">
        <f t="shared" si="315"/>
        <v>0</v>
      </c>
      <c r="AQ174" s="23"/>
      <c r="AR174" s="18">
        <f t="shared" si="316"/>
        <v>0</v>
      </c>
      <c r="AS174" s="18">
        <f t="shared" si="317"/>
        <v>0.3</v>
      </c>
      <c r="AT174" s="18">
        <f t="shared" si="318"/>
        <v>0</v>
      </c>
      <c r="AU174" s="18">
        <f t="shared" si="319"/>
        <v>0</v>
      </c>
      <c r="AV174" s="18">
        <f t="shared" si="320"/>
        <v>0</v>
      </c>
      <c r="AW174" s="18">
        <f t="shared" si="321"/>
        <v>0</v>
      </c>
      <c r="AX174" s="18">
        <f t="shared" si="322"/>
        <v>0</v>
      </c>
      <c r="AY174" s="18">
        <f t="shared" si="323"/>
        <v>0</v>
      </c>
      <c r="BA174" s="27">
        <f t="shared" si="334"/>
        <v>0</v>
      </c>
      <c r="BB174" s="27">
        <f t="shared" si="324"/>
        <v>0</v>
      </c>
      <c r="BC174" s="27">
        <f t="shared" si="325"/>
        <v>0</v>
      </c>
      <c r="BD174" s="27">
        <f t="shared" si="326"/>
        <v>0</v>
      </c>
      <c r="BE174" s="27">
        <f t="shared" si="327"/>
        <v>0</v>
      </c>
      <c r="BF174" s="27">
        <f t="shared" si="328"/>
        <v>0</v>
      </c>
      <c r="BG174" s="27">
        <f t="shared" si="329"/>
        <v>0</v>
      </c>
      <c r="BH174" s="27">
        <f t="shared" si="330"/>
        <v>0</v>
      </c>
      <c r="BI174" s="27">
        <f t="shared" si="335"/>
        <v>0</v>
      </c>
      <c r="BJ174" s="27">
        <f t="shared" si="336"/>
        <v>0</v>
      </c>
    </row>
    <row r="175" spans="1:62" s="22" customFormat="1" ht="22.5">
      <c r="A175" s="8" t="s">
        <v>13</v>
      </c>
      <c r="B175" s="21"/>
      <c r="C175" s="25">
        <v>0</v>
      </c>
      <c r="D175" s="25">
        <v>0</v>
      </c>
      <c r="E175" s="25">
        <v>0</v>
      </c>
      <c r="F175" s="28">
        <v>1</v>
      </c>
      <c r="G175" s="28"/>
      <c r="H175" s="28"/>
      <c r="I175" s="28"/>
      <c r="J175" s="28"/>
      <c r="K175" s="29"/>
      <c r="L175" s="25">
        <v>0</v>
      </c>
      <c r="M175" s="25">
        <v>0</v>
      </c>
      <c r="N175" s="25">
        <v>0</v>
      </c>
      <c r="O175" s="28">
        <v>1</v>
      </c>
      <c r="P175" s="28"/>
      <c r="Q175" s="28"/>
      <c r="R175" s="28"/>
      <c r="S175" s="28"/>
      <c r="T175"/>
      <c r="U175" s="23">
        <f t="shared" si="307"/>
        <v>1</v>
      </c>
      <c r="V175" s="1">
        <f t="shared" si="331"/>
        <v>2.564102564102564E-2</v>
      </c>
      <c r="W175" s="11">
        <f t="shared" si="332"/>
        <v>0</v>
      </c>
      <c r="X175" s="23">
        <v>1</v>
      </c>
      <c r="Y175" s="24">
        <f t="shared" si="333"/>
        <v>2.564102564102564E-2</v>
      </c>
      <c r="Z175" s="18">
        <v>0</v>
      </c>
      <c r="AA175" s="18">
        <v>0.3</v>
      </c>
      <c r="AB175" s="18">
        <v>0.8</v>
      </c>
      <c r="AC175" s="18">
        <v>1</v>
      </c>
      <c r="AD175" s="18"/>
      <c r="AE175" s="18"/>
      <c r="AF175" s="18"/>
      <c r="AG175" s="18"/>
      <c r="AH175" s="12"/>
      <c r="AI175" s="18">
        <f t="shared" si="308"/>
        <v>0</v>
      </c>
      <c r="AJ175" s="18">
        <f t="shared" si="309"/>
        <v>0</v>
      </c>
      <c r="AK175" s="18">
        <f t="shared" si="310"/>
        <v>0</v>
      </c>
      <c r="AL175" s="18">
        <f t="shared" si="311"/>
        <v>1</v>
      </c>
      <c r="AM175" s="18">
        <f t="shared" si="312"/>
        <v>0</v>
      </c>
      <c r="AN175" s="18">
        <f t="shared" si="313"/>
        <v>0</v>
      </c>
      <c r="AO175" s="18">
        <f t="shared" si="314"/>
        <v>0</v>
      </c>
      <c r="AP175" s="18">
        <f t="shared" si="315"/>
        <v>0</v>
      </c>
      <c r="AQ175" s="23"/>
      <c r="AR175" s="18">
        <f t="shared" si="316"/>
        <v>0</v>
      </c>
      <c r="AS175" s="18">
        <f t="shared" si="317"/>
        <v>0</v>
      </c>
      <c r="AT175" s="18">
        <f t="shared" si="318"/>
        <v>0</v>
      </c>
      <c r="AU175" s="18">
        <f t="shared" si="319"/>
        <v>1</v>
      </c>
      <c r="AV175" s="18">
        <f t="shared" si="320"/>
        <v>0</v>
      </c>
      <c r="AW175" s="18">
        <f t="shared" si="321"/>
        <v>0</v>
      </c>
      <c r="AX175" s="18">
        <f t="shared" si="322"/>
        <v>0</v>
      </c>
      <c r="AY175" s="18">
        <f t="shared" si="323"/>
        <v>0</v>
      </c>
      <c r="BA175" s="27">
        <f t="shared" si="334"/>
        <v>0</v>
      </c>
      <c r="BB175" s="27">
        <f t="shared" si="324"/>
        <v>0</v>
      </c>
      <c r="BC175" s="27">
        <f t="shared" si="325"/>
        <v>0</v>
      </c>
      <c r="BD175" s="27">
        <f t="shared" si="326"/>
        <v>0</v>
      </c>
      <c r="BE175" s="27">
        <f t="shared" si="327"/>
        <v>0</v>
      </c>
      <c r="BF175" s="27">
        <f t="shared" si="328"/>
        <v>0</v>
      </c>
      <c r="BG175" s="27">
        <f t="shared" si="329"/>
        <v>0</v>
      </c>
      <c r="BH175" s="27">
        <f t="shared" si="330"/>
        <v>0</v>
      </c>
      <c r="BI175" s="27">
        <f t="shared" si="335"/>
        <v>0</v>
      </c>
      <c r="BJ175" s="27">
        <f t="shared" si="336"/>
        <v>0</v>
      </c>
    </row>
    <row r="176" spans="1:62" s="22" customFormat="1" ht="22.5">
      <c r="A176" s="8" t="s">
        <v>14</v>
      </c>
      <c r="B176" s="21"/>
      <c r="C176" s="25">
        <v>1</v>
      </c>
      <c r="D176" s="25">
        <v>0</v>
      </c>
      <c r="E176" s="25">
        <v>0</v>
      </c>
      <c r="F176" s="28">
        <v>0</v>
      </c>
      <c r="G176" s="28"/>
      <c r="H176" s="28"/>
      <c r="I176" s="28"/>
      <c r="J176" s="28"/>
      <c r="K176" s="29"/>
      <c r="L176" s="25">
        <v>0</v>
      </c>
      <c r="M176" s="25">
        <v>0</v>
      </c>
      <c r="N176" s="25">
        <v>1</v>
      </c>
      <c r="O176" s="28">
        <v>0</v>
      </c>
      <c r="P176" s="28"/>
      <c r="Q176" s="28"/>
      <c r="R176" s="28"/>
      <c r="S176" s="28"/>
      <c r="T176"/>
      <c r="U176" s="23">
        <f t="shared" si="307"/>
        <v>0</v>
      </c>
      <c r="V176" s="1">
        <f t="shared" si="331"/>
        <v>2.5641025641025633E-2</v>
      </c>
      <c r="W176" s="11">
        <f t="shared" si="332"/>
        <v>0.8</v>
      </c>
      <c r="X176" s="23">
        <v>5</v>
      </c>
      <c r="Y176" s="24">
        <f t="shared" si="333"/>
        <v>0.12820512820512819</v>
      </c>
      <c r="Z176" s="18">
        <v>0</v>
      </c>
      <c r="AA176" s="18">
        <v>0.3</v>
      </c>
      <c r="AB176" s="18">
        <v>0.8</v>
      </c>
      <c r="AC176" s="18">
        <v>1</v>
      </c>
      <c r="AD176" s="18"/>
      <c r="AE176" s="18"/>
      <c r="AF176" s="18"/>
      <c r="AG176" s="18"/>
      <c r="AH176" s="12"/>
      <c r="AI176" s="18">
        <f t="shared" si="308"/>
        <v>0</v>
      </c>
      <c r="AJ176" s="18">
        <f t="shared" si="309"/>
        <v>0</v>
      </c>
      <c r="AK176" s="18">
        <f t="shared" si="310"/>
        <v>0</v>
      </c>
      <c r="AL176" s="18">
        <f t="shared" si="311"/>
        <v>0</v>
      </c>
      <c r="AM176" s="18">
        <f t="shared" si="312"/>
        <v>0</v>
      </c>
      <c r="AN176" s="18">
        <f t="shared" si="313"/>
        <v>0</v>
      </c>
      <c r="AO176" s="18">
        <f t="shared" si="314"/>
        <v>0</v>
      </c>
      <c r="AP176" s="18">
        <f t="shared" si="315"/>
        <v>0</v>
      </c>
      <c r="AQ176" s="23"/>
      <c r="AR176" s="18">
        <f t="shared" si="316"/>
        <v>0</v>
      </c>
      <c r="AS176" s="18">
        <f t="shared" si="317"/>
        <v>0</v>
      </c>
      <c r="AT176" s="18">
        <f t="shared" si="318"/>
        <v>0.8</v>
      </c>
      <c r="AU176" s="18">
        <f t="shared" si="319"/>
        <v>0</v>
      </c>
      <c r="AV176" s="18">
        <f t="shared" si="320"/>
        <v>0</v>
      </c>
      <c r="AW176" s="18">
        <f t="shared" si="321"/>
        <v>0</v>
      </c>
      <c r="AX176" s="18">
        <f t="shared" si="322"/>
        <v>0</v>
      </c>
      <c r="AY176" s="18">
        <f t="shared" si="323"/>
        <v>0</v>
      </c>
      <c r="BA176" s="27">
        <f t="shared" si="334"/>
        <v>0</v>
      </c>
      <c r="BB176" s="27">
        <f t="shared" si="324"/>
        <v>0</v>
      </c>
      <c r="BC176" s="27">
        <f t="shared" si="325"/>
        <v>-0.8</v>
      </c>
      <c r="BD176" s="27">
        <f t="shared" si="326"/>
        <v>0</v>
      </c>
      <c r="BE176" s="27">
        <f t="shared" si="327"/>
        <v>0</v>
      </c>
      <c r="BF176" s="27">
        <f t="shared" si="328"/>
        <v>0</v>
      </c>
      <c r="BG176" s="27">
        <f t="shared" si="329"/>
        <v>0</v>
      </c>
      <c r="BH176" s="27">
        <f t="shared" si="330"/>
        <v>0</v>
      </c>
      <c r="BI176" s="27">
        <f t="shared" si="335"/>
        <v>0.8</v>
      </c>
      <c r="BJ176" s="27">
        <f t="shared" si="336"/>
        <v>0.10256410256410256</v>
      </c>
    </row>
    <row r="177" spans="1:62" s="22" customFormat="1" ht="22.5">
      <c r="A177" s="8" t="s">
        <v>15</v>
      </c>
      <c r="B177" s="21"/>
      <c r="C177" s="25">
        <v>1</v>
      </c>
      <c r="D177" s="25">
        <v>0</v>
      </c>
      <c r="E177" s="25">
        <v>0</v>
      </c>
      <c r="F177" s="28">
        <v>0</v>
      </c>
      <c r="G177" s="28"/>
      <c r="H177" s="28"/>
      <c r="I177" s="28"/>
      <c r="J177" s="28"/>
      <c r="K177" s="29"/>
      <c r="L177" s="25">
        <v>0</v>
      </c>
      <c r="M177" s="25">
        <v>1</v>
      </c>
      <c r="N177" s="25">
        <v>0</v>
      </c>
      <c r="O177" s="28">
        <v>0</v>
      </c>
      <c r="P177" s="28"/>
      <c r="Q177" s="28"/>
      <c r="R177" s="28"/>
      <c r="S177" s="28"/>
      <c r="T177"/>
      <c r="U177" s="23">
        <f t="shared" si="307"/>
        <v>0</v>
      </c>
      <c r="V177" s="1">
        <f t="shared" si="331"/>
        <v>8.974358974358973E-2</v>
      </c>
      <c r="W177" s="11">
        <f t="shared" si="332"/>
        <v>0.3</v>
      </c>
      <c r="X177" s="23">
        <v>5</v>
      </c>
      <c r="Y177" s="24">
        <f t="shared" si="333"/>
        <v>0.12820512820512819</v>
      </c>
      <c r="Z177" s="18">
        <v>0</v>
      </c>
      <c r="AA177" s="18">
        <v>0.3</v>
      </c>
      <c r="AB177" s="18">
        <v>0.8</v>
      </c>
      <c r="AC177" s="18">
        <v>1</v>
      </c>
      <c r="AD177" s="18"/>
      <c r="AE177" s="18"/>
      <c r="AF177" s="18"/>
      <c r="AG177" s="18"/>
      <c r="AH177" s="12"/>
      <c r="AI177" s="18">
        <f t="shared" si="308"/>
        <v>0</v>
      </c>
      <c r="AJ177" s="18">
        <f t="shared" si="309"/>
        <v>0</v>
      </c>
      <c r="AK177" s="18">
        <f t="shared" si="310"/>
        <v>0</v>
      </c>
      <c r="AL177" s="18">
        <f t="shared" si="311"/>
        <v>0</v>
      </c>
      <c r="AM177" s="18">
        <f t="shared" si="312"/>
        <v>0</v>
      </c>
      <c r="AN177" s="18">
        <f t="shared" si="313"/>
        <v>0</v>
      </c>
      <c r="AO177" s="18">
        <f t="shared" si="314"/>
        <v>0</v>
      </c>
      <c r="AP177" s="18">
        <f t="shared" si="315"/>
        <v>0</v>
      </c>
      <c r="AQ177" s="23"/>
      <c r="AR177" s="18">
        <f t="shared" si="316"/>
        <v>0</v>
      </c>
      <c r="AS177" s="18">
        <f t="shared" si="317"/>
        <v>0.3</v>
      </c>
      <c r="AT177" s="18">
        <f t="shared" si="318"/>
        <v>0</v>
      </c>
      <c r="AU177" s="18">
        <f t="shared" si="319"/>
        <v>0</v>
      </c>
      <c r="AV177" s="18">
        <f t="shared" si="320"/>
        <v>0</v>
      </c>
      <c r="AW177" s="18">
        <f t="shared" si="321"/>
        <v>0</v>
      </c>
      <c r="AX177" s="18">
        <f t="shared" si="322"/>
        <v>0</v>
      </c>
      <c r="AY177" s="18">
        <f t="shared" si="323"/>
        <v>0</v>
      </c>
      <c r="BA177" s="27">
        <f t="shared" si="334"/>
        <v>0</v>
      </c>
      <c r="BB177" s="27">
        <f t="shared" si="324"/>
        <v>-0.3</v>
      </c>
      <c r="BC177" s="27">
        <f t="shared" si="325"/>
        <v>0</v>
      </c>
      <c r="BD177" s="27">
        <f t="shared" si="326"/>
        <v>0</v>
      </c>
      <c r="BE177" s="27">
        <f t="shared" si="327"/>
        <v>0</v>
      </c>
      <c r="BF177" s="27">
        <f t="shared" si="328"/>
        <v>0</v>
      </c>
      <c r="BG177" s="27">
        <f t="shared" si="329"/>
        <v>0</v>
      </c>
      <c r="BH177" s="27">
        <f t="shared" si="330"/>
        <v>0</v>
      </c>
      <c r="BI177" s="27">
        <f t="shared" si="335"/>
        <v>0.3</v>
      </c>
      <c r="BJ177" s="27">
        <f t="shared" si="336"/>
        <v>3.8461538461538457E-2</v>
      </c>
    </row>
    <row r="178" spans="1:62" s="22" customFormat="1" ht="22.5">
      <c r="A178" s="8" t="s">
        <v>16</v>
      </c>
      <c r="B178" s="21"/>
      <c r="C178" s="25">
        <v>1</v>
      </c>
      <c r="D178" s="25">
        <v>0</v>
      </c>
      <c r="E178" s="25">
        <v>0</v>
      </c>
      <c r="F178" s="28">
        <v>0</v>
      </c>
      <c r="G178" s="28"/>
      <c r="H178" s="28"/>
      <c r="I178" s="28"/>
      <c r="J178" s="28"/>
      <c r="K178" s="29"/>
      <c r="L178" s="25">
        <v>1</v>
      </c>
      <c r="M178" s="25">
        <v>0</v>
      </c>
      <c r="N178" s="25">
        <v>0</v>
      </c>
      <c r="O178" s="28">
        <v>0</v>
      </c>
      <c r="P178" s="28"/>
      <c r="Q178" s="28"/>
      <c r="R178" s="28"/>
      <c r="S178" s="28"/>
      <c r="T178"/>
      <c r="U178" s="23">
        <f t="shared" si="307"/>
        <v>1</v>
      </c>
      <c r="V178" s="1">
        <f t="shared" si="331"/>
        <v>0.12820512820512819</v>
      </c>
      <c r="W178" s="11">
        <f t="shared" si="332"/>
        <v>0</v>
      </c>
      <c r="X178" s="23">
        <v>5</v>
      </c>
      <c r="Y178" s="24">
        <f t="shared" si="333"/>
        <v>0.12820512820512819</v>
      </c>
      <c r="Z178" s="18">
        <v>0</v>
      </c>
      <c r="AA178" s="18">
        <v>0.3</v>
      </c>
      <c r="AB178" s="18">
        <v>0.8</v>
      </c>
      <c r="AC178" s="18">
        <v>1</v>
      </c>
      <c r="AD178" s="18"/>
      <c r="AE178" s="18"/>
      <c r="AF178" s="18"/>
      <c r="AG178" s="18"/>
      <c r="AH178" s="12"/>
      <c r="AI178" s="18">
        <f t="shared" si="308"/>
        <v>0</v>
      </c>
      <c r="AJ178" s="18">
        <f t="shared" si="309"/>
        <v>0</v>
      </c>
      <c r="AK178" s="18">
        <f t="shared" si="310"/>
        <v>0</v>
      </c>
      <c r="AL178" s="18">
        <f t="shared" si="311"/>
        <v>0</v>
      </c>
      <c r="AM178" s="18">
        <f t="shared" si="312"/>
        <v>0</v>
      </c>
      <c r="AN178" s="18">
        <f t="shared" si="313"/>
        <v>0</v>
      </c>
      <c r="AO178" s="18">
        <f t="shared" si="314"/>
        <v>0</v>
      </c>
      <c r="AP178" s="18">
        <f t="shared" si="315"/>
        <v>0</v>
      </c>
      <c r="AQ178" s="23"/>
      <c r="AR178" s="18">
        <f t="shared" si="316"/>
        <v>0</v>
      </c>
      <c r="AS178" s="18">
        <f t="shared" si="317"/>
        <v>0</v>
      </c>
      <c r="AT178" s="18">
        <f t="shared" si="318"/>
        <v>0</v>
      </c>
      <c r="AU178" s="18">
        <f t="shared" si="319"/>
        <v>0</v>
      </c>
      <c r="AV178" s="18">
        <f t="shared" si="320"/>
        <v>0</v>
      </c>
      <c r="AW178" s="18">
        <f t="shared" si="321"/>
        <v>0</v>
      </c>
      <c r="AX178" s="18">
        <f t="shared" si="322"/>
        <v>0</v>
      </c>
      <c r="AY178" s="18">
        <f t="shared" si="323"/>
        <v>0</v>
      </c>
      <c r="BA178" s="27">
        <f t="shared" si="334"/>
        <v>0</v>
      </c>
      <c r="BB178" s="27">
        <f t="shared" si="324"/>
        <v>0</v>
      </c>
      <c r="BC178" s="27">
        <f t="shared" si="325"/>
        <v>0</v>
      </c>
      <c r="BD178" s="27">
        <f t="shared" si="326"/>
        <v>0</v>
      </c>
      <c r="BE178" s="27">
        <f t="shared" si="327"/>
        <v>0</v>
      </c>
      <c r="BF178" s="27">
        <f t="shared" si="328"/>
        <v>0</v>
      </c>
      <c r="BG178" s="27">
        <f t="shared" si="329"/>
        <v>0</v>
      </c>
      <c r="BH178" s="27">
        <f t="shared" si="330"/>
        <v>0</v>
      </c>
      <c r="BI178" s="27">
        <f t="shared" si="335"/>
        <v>0</v>
      </c>
      <c r="BJ178" s="27">
        <f t="shared" si="336"/>
        <v>0</v>
      </c>
    </row>
    <row r="179" spans="1:62" ht="22.5">
      <c r="A179" s="4" t="s">
        <v>0</v>
      </c>
      <c r="B179" s="7"/>
      <c r="C179" s="25">
        <v>1</v>
      </c>
      <c r="D179" s="25">
        <v>0</v>
      </c>
      <c r="E179" s="25"/>
      <c r="F179" s="28"/>
      <c r="G179" s="28"/>
      <c r="H179" s="28"/>
      <c r="I179" s="28"/>
      <c r="J179" s="28"/>
      <c r="K179" s="29"/>
      <c r="L179" s="25">
        <v>0</v>
      </c>
      <c r="M179" s="25">
        <v>1</v>
      </c>
      <c r="N179" s="25"/>
      <c r="O179" s="28"/>
      <c r="P179" s="28"/>
      <c r="Q179" s="28"/>
      <c r="R179" s="28"/>
      <c r="S179" s="28"/>
      <c r="U179" s="9">
        <f t="shared" si="307"/>
        <v>0</v>
      </c>
      <c r="V179" s="1">
        <f t="shared" si="331"/>
        <v>0</v>
      </c>
      <c r="W179" s="11">
        <f t="shared" si="332"/>
        <v>1</v>
      </c>
      <c r="X179" s="12">
        <v>5</v>
      </c>
      <c r="Y179" s="10">
        <f t="shared" si="333"/>
        <v>0.12820512820512819</v>
      </c>
      <c r="Z179" s="18">
        <v>0</v>
      </c>
      <c r="AA179" s="18">
        <f>IF(M179=1,1,0)</f>
        <v>1</v>
      </c>
      <c r="AB179" s="18">
        <v>0</v>
      </c>
      <c r="AC179" s="18">
        <v>0</v>
      </c>
      <c r="AD179" s="18"/>
      <c r="AE179" s="18"/>
      <c r="AF179" s="18"/>
      <c r="AG179" s="18"/>
      <c r="AH179" s="12"/>
      <c r="AI179" s="18">
        <f t="shared" si="308"/>
        <v>0</v>
      </c>
      <c r="AJ179" s="18">
        <f t="shared" si="309"/>
        <v>0</v>
      </c>
      <c r="AK179" s="18">
        <f t="shared" si="310"/>
        <v>0</v>
      </c>
      <c r="AL179" s="18">
        <f t="shared" si="311"/>
        <v>0</v>
      </c>
      <c r="AM179" s="18">
        <f t="shared" si="312"/>
        <v>0</v>
      </c>
      <c r="AN179" s="18">
        <f t="shared" si="313"/>
        <v>0</v>
      </c>
      <c r="AO179" s="18">
        <f t="shared" si="314"/>
        <v>0</v>
      </c>
      <c r="AP179" s="18">
        <f t="shared" si="315"/>
        <v>0</v>
      </c>
      <c r="AQ179" s="9"/>
      <c r="AR179" s="18">
        <f t="shared" si="316"/>
        <v>0</v>
      </c>
      <c r="AS179" s="18">
        <f t="shared" si="317"/>
        <v>1</v>
      </c>
      <c r="AT179" s="18">
        <f t="shared" si="318"/>
        <v>0</v>
      </c>
      <c r="AU179" s="18">
        <f t="shared" si="319"/>
        <v>0</v>
      </c>
      <c r="AV179" s="18">
        <f t="shared" si="320"/>
        <v>0</v>
      </c>
      <c r="AW179" s="18">
        <f t="shared" si="321"/>
        <v>0</v>
      </c>
      <c r="AX179" s="18">
        <f t="shared" si="322"/>
        <v>0</v>
      </c>
      <c r="AY179" s="18">
        <f t="shared" si="323"/>
        <v>0</v>
      </c>
      <c r="BA179" s="27">
        <f t="shared" si="334"/>
        <v>0</v>
      </c>
      <c r="BB179" s="27">
        <f t="shared" si="324"/>
        <v>-1</v>
      </c>
      <c r="BC179" s="27">
        <f t="shared" si="325"/>
        <v>0</v>
      </c>
      <c r="BD179" s="27">
        <f t="shared" si="326"/>
        <v>0</v>
      </c>
      <c r="BE179" s="27">
        <f t="shared" si="327"/>
        <v>0</v>
      </c>
      <c r="BF179" s="27">
        <f t="shared" si="328"/>
        <v>0</v>
      </c>
      <c r="BG179" s="27">
        <f t="shared" si="329"/>
        <v>0</v>
      </c>
      <c r="BH179" s="27">
        <f t="shared" si="330"/>
        <v>0</v>
      </c>
      <c r="BI179" s="27">
        <f t="shared" si="335"/>
        <v>1</v>
      </c>
      <c r="BJ179" s="27">
        <f t="shared" si="336"/>
        <v>0.12820512820512819</v>
      </c>
    </row>
    <row r="180" spans="1:62" ht="22.5">
      <c r="A180" s="5" t="s">
        <v>1</v>
      </c>
      <c r="B180" s="7"/>
      <c r="C180" s="25"/>
      <c r="D180" s="25"/>
      <c r="E180" s="25"/>
      <c r="F180" s="25"/>
      <c r="G180" s="25">
        <v>0</v>
      </c>
      <c r="H180" s="25">
        <v>1</v>
      </c>
      <c r="I180" s="28"/>
      <c r="J180" s="28"/>
      <c r="K180" s="29"/>
      <c r="L180" s="25"/>
      <c r="M180" s="25"/>
      <c r="N180" s="25"/>
      <c r="O180" s="25"/>
      <c r="P180" s="25">
        <v>0</v>
      </c>
      <c r="Q180" s="25">
        <v>1</v>
      </c>
      <c r="R180" s="28"/>
      <c r="S180" s="28"/>
      <c r="U180" s="9">
        <f t="shared" si="307"/>
        <v>1</v>
      </c>
      <c r="V180" s="1">
        <f t="shared" si="331"/>
        <v>2.564102564102564E-2</v>
      </c>
      <c r="W180" s="11">
        <f t="shared" si="332"/>
        <v>0</v>
      </c>
      <c r="X180" s="12">
        <v>1</v>
      </c>
      <c r="Y180" s="10">
        <f t="shared" si="333"/>
        <v>2.564102564102564E-2</v>
      </c>
      <c r="Z180" s="18"/>
      <c r="AA180" s="18"/>
      <c r="AB180" s="18"/>
      <c r="AC180" s="18"/>
      <c r="AD180" s="18">
        <v>0</v>
      </c>
      <c r="AE180" s="18">
        <v>1</v>
      </c>
      <c r="AF180" s="18"/>
      <c r="AG180" s="18"/>
      <c r="AH180" s="12"/>
      <c r="AI180" s="18">
        <f t="shared" si="308"/>
        <v>0</v>
      </c>
      <c r="AJ180" s="18">
        <f t="shared" si="309"/>
        <v>0</v>
      </c>
      <c r="AK180" s="18">
        <f t="shared" si="310"/>
        <v>0</v>
      </c>
      <c r="AL180" s="18">
        <f t="shared" si="311"/>
        <v>0</v>
      </c>
      <c r="AM180" s="18">
        <f t="shared" si="312"/>
        <v>0</v>
      </c>
      <c r="AN180" s="18">
        <f t="shared" si="313"/>
        <v>1</v>
      </c>
      <c r="AO180" s="18">
        <f t="shared" si="314"/>
        <v>0</v>
      </c>
      <c r="AP180" s="18">
        <f t="shared" si="315"/>
        <v>0</v>
      </c>
      <c r="AQ180" s="9"/>
      <c r="AR180" s="18">
        <f t="shared" si="316"/>
        <v>0</v>
      </c>
      <c r="AS180" s="18">
        <f t="shared" si="317"/>
        <v>0</v>
      </c>
      <c r="AT180" s="18">
        <f t="shared" si="318"/>
        <v>0</v>
      </c>
      <c r="AU180" s="18">
        <f t="shared" si="319"/>
        <v>0</v>
      </c>
      <c r="AV180" s="18">
        <f t="shared" si="320"/>
        <v>0</v>
      </c>
      <c r="AW180" s="18">
        <f t="shared" si="321"/>
        <v>1</v>
      </c>
      <c r="AX180" s="18">
        <f t="shared" si="322"/>
        <v>0</v>
      </c>
      <c r="AY180" s="18">
        <f t="shared" si="323"/>
        <v>0</v>
      </c>
      <c r="BA180" s="27">
        <f t="shared" si="334"/>
        <v>0</v>
      </c>
      <c r="BB180" s="27">
        <f t="shared" si="324"/>
        <v>0</v>
      </c>
      <c r="BC180" s="27">
        <f t="shared" si="325"/>
        <v>0</v>
      </c>
      <c r="BD180" s="27">
        <f t="shared" si="326"/>
        <v>0</v>
      </c>
      <c r="BE180" s="27">
        <f t="shared" si="327"/>
        <v>0</v>
      </c>
      <c r="BF180" s="27">
        <f t="shared" si="328"/>
        <v>0</v>
      </c>
      <c r="BG180" s="27">
        <f t="shared" si="329"/>
        <v>0</v>
      </c>
      <c r="BH180" s="27">
        <f t="shared" si="330"/>
        <v>0</v>
      </c>
      <c r="BI180" s="27">
        <f t="shared" si="335"/>
        <v>0</v>
      </c>
      <c r="BJ180" s="27">
        <f t="shared" si="336"/>
        <v>0</v>
      </c>
    </row>
    <row r="181" spans="1:62" ht="22.5">
      <c r="A181" s="5" t="s">
        <v>21</v>
      </c>
      <c r="B181" s="7"/>
      <c r="C181" s="25"/>
      <c r="D181" s="25"/>
      <c r="E181" s="25"/>
      <c r="F181" s="25"/>
      <c r="G181" s="25">
        <v>0</v>
      </c>
      <c r="H181" s="25">
        <v>1</v>
      </c>
      <c r="I181" s="28"/>
      <c r="J181" s="28"/>
      <c r="K181" s="29"/>
      <c r="L181" s="25"/>
      <c r="M181" s="25"/>
      <c r="N181" s="25"/>
      <c r="O181" s="25"/>
      <c r="P181" s="25">
        <v>0</v>
      </c>
      <c r="Q181" s="25">
        <v>1</v>
      </c>
      <c r="R181" s="28"/>
      <c r="S181" s="28"/>
      <c r="U181" s="9">
        <f t="shared" si="307"/>
        <v>1</v>
      </c>
      <c r="V181" s="1">
        <f t="shared" si="331"/>
        <v>2.564102564102564E-2</v>
      </c>
      <c r="W181" s="11">
        <f t="shared" si="332"/>
        <v>0</v>
      </c>
      <c r="X181" s="12">
        <v>1</v>
      </c>
      <c r="Y181" s="10">
        <f t="shared" si="333"/>
        <v>2.564102564102564E-2</v>
      </c>
      <c r="Z181" s="18"/>
      <c r="AA181" s="18"/>
      <c r="AB181" s="18"/>
      <c r="AC181" s="18"/>
      <c r="AD181" s="18">
        <v>0</v>
      </c>
      <c r="AE181" s="18">
        <v>1</v>
      </c>
      <c r="AF181" s="18"/>
      <c r="AG181" s="18"/>
      <c r="AH181" s="12"/>
      <c r="AI181" s="18">
        <f t="shared" si="308"/>
        <v>0</v>
      </c>
      <c r="AJ181" s="18">
        <f t="shared" si="309"/>
        <v>0</v>
      </c>
      <c r="AK181" s="18">
        <f t="shared" si="310"/>
        <v>0</v>
      </c>
      <c r="AL181" s="18">
        <f t="shared" si="311"/>
        <v>0</v>
      </c>
      <c r="AM181" s="18">
        <f t="shared" si="312"/>
        <v>0</v>
      </c>
      <c r="AN181" s="18">
        <f t="shared" si="313"/>
        <v>1</v>
      </c>
      <c r="AO181" s="18">
        <f t="shared" si="314"/>
        <v>0</v>
      </c>
      <c r="AP181" s="18">
        <f t="shared" si="315"/>
        <v>0</v>
      </c>
      <c r="AQ181" s="9"/>
      <c r="AR181" s="18">
        <f t="shared" si="316"/>
        <v>0</v>
      </c>
      <c r="AS181" s="18">
        <f t="shared" si="317"/>
        <v>0</v>
      </c>
      <c r="AT181" s="18">
        <f t="shared" si="318"/>
        <v>0</v>
      </c>
      <c r="AU181" s="18">
        <f t="shared" si="319"/>
        <v>0</v>
      </c>
      <c r="AV181" s="18">
        <f t="shared" si="320"/>
        <v>0</v>
      </c>
      <c r="AW181" s="18">
        <f t="shared" si="321"/>
        <v>1</v>
      </c>
      <c r="AX181" s="18">
        <f t="shared" si="322"/>
        <v>0</v>
      </c>
      <c r="AY181" s="18">
        <f t="shared" si="323"/>
        <v>0</v>
      </c>
      <c r="BA181" s="27">
        <f t="shared" si="334"/>
        <v>0</v>
      </c>
      <c r="BB181" s="27">
        <f t="shared" si="324"/>
        <v>0</v>
      </c>
      <c r="BC181" s="27">
        <f t="shared" si="325"/>
        <v>0</v>
      </c>
      <c r="BD181" s="27">
        <f t="shared" si="326"/>
        <v>0</v>
      </c>
      <c r="BE181" s="27">
        <f t="shared" si="327"/>
        <v>0</v>
      </c>
      <c r="BF181" s="27">
        <f t="shared" si="328"/>
        <v>0</v>
      </c>
      <c r="BG181" s="27">
        <f t="shared" si="329"/>
        <v>0</v>
      </c>
      <c r="BH181" s="27">
        <f t="shared" si="330"/>
        <v>0</v>
      </c>
      <c r="BI181" s="27">
        <f t="shared" si="335"/>
        <v>0</v>
      </c>
      <c r="BJ181" s="27">
        <f t="shared" si="336"/>
        <v>0</v>
      </c>
    </row>
    <row r="182" spans="1:62" ht="22.5">
      <c r="A182" s="5" t="s">
        <v>2</v>
      </c>
      <c r="B182" s="7"/>
      <c r="C182" s="25"/>
      <c r="D182" s="25"/>
      <c r="E182" s="25"/>
      <c r="F182" s="25"/>
      <c r="G182" s="25">
        <v>0</v>
      </c>
      <c r="H182" s="25">
        <v>1</v>
      </c>
      <c r="I182" s="28"/>
      <c r="J182" s="28"/>
      <c r="K182" s="29"/>
      <c r="L182" s="25"/>
      <c r="M182" s="25"/>
      <c r="N182" s="25"/>
      <c r="O182" s="25"/>
      <c r="P182" s="25">
        <v>0</v>
      </c>
      <c r="Q182" s="25">
        <v>1</v>
      </c>
      <c r="R182" s="28"/>
      <c r="S182" s="28"/>
      <c r="U182" s="9">
        <f t="shared" si="307"/>
        <v>1</v>
      </c>
      <c r="V182" s="1">
        <f t="shared" si="331"/>
        <v>2.564102564102564E-2</v>
      </c>
      <c r="W182" s="11">
        <f t="shared" si="332"/>
        <v>0</v>
      </c>
      <c r="X182" s="12">
        <v>1</v>
      </c>
      <c r="Y182" s="10">
        <f t="shared" si="333"/>
        <v>2.564102564102564E-2</v>
      </c>
      <c r="Z182" s="18"/>
      <c r="AA182" s="18"/>
      <c r="AB182" s="18"/>
      <c r="AC182" s="18"/>
      <c r="AD182" s="18">
        <v>0</v>
      </c>
      <c r="AE182" s="18">
        <v>1</v>
      </c>
      <c r="AF182" s="18"/>
      <c r="AG182" s="18"/>
      <c r="AH182" s="12"/>
      <c r="AI182" s="18">
        <f t="shared" si="308"/>
        <v>0</v>
      </c>
      <c r="AJ182" s="18">
        <f t="shared" si="309"/>
        <v>0</v>
      </c>
      <c r="AK182" s="18">
        <f t="shared" si="310"/>
        <v>0</v>
      </c>
      <c r="AL182" s="18">
        <f t="shared" si="311"/>
        <v>0</v>
      </c>
      <c r="AM182" s="18">
        <f t="shared" si="312"/>
        <v>0</v>
      </c>
      <c r="AN182" s="18">
        <f t="shared" si="313"/>
        <v>1</v>
      </c>
      <c r="AO182" s="18">
        <f t="shared" si="314"/>
        <v>0</v>
      </c>
      <c r="AP182" s="18">
        <f t="shared" si="315"/>
        <v>0</v>
      </c>
      <c r="AQ182" s="9"/>
      <c r="AR182" s="18">
        <f t="shared" si="316"/>
        <v>0</v>
      </c>
      <c r="AS182" s="18">
        <f t="shared" si="317"/>
        <v>0</v>
      </c>
      <c r="AT182" s="18">
        <f t="shared" si="318"/>
        <v>0</v>
      </c>
      <c r="AU182" s="18">
        <f t="shared" si="319"/>
        <v>0</v>
      </c>
      <c r="AV182" s="18">
        <f t="shared" si="320"/>
        <v>0</v>
      </c>
      <c r="AW182" s="18">
        <f t="shared" si="321"/>
        <v>1</v>
      </c>
      <c r="AX182" s="18">
        <f t="shared" si="322"/>
        <v>0</v>
      </c>
      <c r="AY182" s="18">
        <f t="shared" si="323"/>
        <v>0</v>
      </c>
      <c r="BA182" s="27">
        <f t="shared" si="334"/>
        <v>0</v>
      </c>
      <c r="BB182" s="27">
        <f t="shared" si="324"/>
        <v>0</v>
      </c>
      <c r="BC182" s="27">
        <f t="shared" si="325"/>
        <v>0</v>
      </c>
      <c r="BD182" s="27">
        <f t="shared" si="326"/>
        <v>0</v>
      </c>
      <c r="BE182" s="27">
        <f t="shared" si="327"/>
        <v>0</v>
      </c>
      <c r="BF182" s="27">
        <f t="shared" si="328"/>
        <v>0</v>
      </c>
      <c r="BG182" s="27">
        <f t="shared" si="329"/>
        <v>0</v>
      </c>
      <c r="BH182" s="27">
        <f t="shared" si="330"/>
        <v>0</v>
      </c>
      <c r="BI182" s="27">
        <f t="shared" si="335"/>
        <v>0</v>
      </c>
      <c r="BJ182" s="27">
        <f t="shared" si="336"/>
        <v>0</v>
      </c>
    </row>
    <row r="183" spans="1:62" ht="22.5">
      <c r="A183" s="5" t="s">
        <v>3</v>
      </c>
      <c r="B183" s="7"/>
      <c r="C183" s="25"/>
      <c r="D183" s="25"/>
      <c r="E183" s="25"/>
      <c r="F183" s="25"/>
      <c r="G183" s="25">
        <v>0</v>
      </c>
      <c r="H183" s="25">
        <v>1</v>
      </c>
      <c r="I183" s="28"/>
      <c r="J183" s="28"/>
      <c r="K183" s="29"/>
      <c r="L183" s="25"/>
      <c r="M183" s="25"/>
      <c r="N183" s="25"/>
      <c r="O183" s="25"/>
      <c r="P183" s="25">
        <v>0</v>
      </c>
      <c r="Q183" s="25">
        <v>1</v>
      </c>
      <c r="R183" s="28"/>
      <c r="S183" s="28"/>
      <c r="U183" s="9">
        <f t="shared" si="307"/>
        <v>1</v>
      </c>
      <c r="V183" s="1">
        <f>(1-W183)*Y183</f>
        <v>2.564102564102564E-2</v>
      </c>
      <c r="W183" s="11">
        <f t="shared" si="332"/>
        <v>0</v>
      </c>
      <c r="X183" s="12">
        <v>1</v>
      </c>
      <c r="Y183" s="10">
        <f t="shared" si="333"/>
        <v>2.564102564102564E-2</v>
      </c>
      <c r="Z183" s="18"/>
      <c r="AA183" s="18"/>
      <c r="AB183" s="18"/>
      <c r="AC183" s="18"/>
      <c r="AD183" s="18">
        <v>0</v>
      </c>
      <c r="AE183" s="18">
        <v>1</v>
      </c>
      <c r="AF183" s="18"/>
      <c r="AG183" s="18"/>
      <c r="AH183" s="12"/>
      <c r="AI183" s="18">
        <f t="shared" si="308"/>
        <v>0</v>
      </c>
      <c r="AJ183" s="18">
        <f t="shared" si="309"/>
        <v>0</v>
      </c>
      <c r="AK183" s="18">
        <f t="shared" si="310"/>
        <v>0</v>
      </c>
      <c r="AL183" s="18">
        <f t="shared" si="311"/>
        <v>0</v>
      </c>
      <c r="AM183" s="18">
        <f t="shared" si="312"/>
        <v>0</v>
      </c>
      <c r="AN183" s="18">
        <f t="shared" si="313"/>
        <v>1</v>
      </c>
      <c r="AO183" s="18">
        <f t="shared" si="314"/>
        <v>0</v>
      </c>
      <c r="AP183" s="18">
        <f t="shared" si="315"/>
        <v>0</v>
      </c>
      <c r="AQ183" s="9"/>
      <c r="AR183" s="18">
        <f t="shared" si="316"/>
        <v>0</v>
      </c>
      <c r="AS183" s="18">
        <f t="shared" si="317"/>
        <v>0</v>
      </c>
      <c r="AT183" s="18">
        <f t="shared" si="318"/>
        <v>0</v>
      </c>
      <c r="AU183" s="18">
        <f t="shared" si="319"/>
        <v>0</v>
      </c>
      <c r="AV183" s="18">
        <f t="shared" si="320"/>
        <v>0</v>
      </c>
      <c r="AW183" s="18">
        <f t="shared" si="321"/>
        <v>1</v>
      </c>
      <c r="AX183" s="18">
        <f t="shared" si="322"/>
        <v>0</v>
      </c>
      <c r="AY183" s="18">
        <f t="shared" si="323"/>
        <v>0</v>
      </c>
      <c r="BA183" s="27">
        <f t="shared" si="334"/>
        <v>0</v>
      </c>
      <c r="BB183" s="27">
        <f t="shared" si="324"/>
        <v>0</v>
      </c>
      <c r="BC183" s="27">
        <f t="shared" si="325"/>
        <v>0</v>
      </c>
      <c r="BD183" s="27">
        <f t="shared" si="326"/>
        <v>0</v>
      </c>
      <c r="BE183" s="27">
        <f t="shared" si="327"/>
        <v>0</v>
      </c>
      <c r="BF183" s="27">
        <f t="shared" si="328"/>
        <v>0</v>
      </c>
      <c r="BG183" s="27">
        <f t="shared" si="329"/>
        <v>0</v>
      </c>
      <c r="BH183" s="27">
        <f t="shared" si="330"/>
        <v>0</v>
      </c>
      <c r="BI183" s="27">
        <f t="shared" si="335"/>
        <v>0</v>
      </c>
      <c r="BJ183" s="27">
        <f t="shared" si="336"/>
        <v>0</v>
      </c>
    </row>
    <row r="184" spans="1:62" ht="22.5">
      <c r="A184" s="8" t="s">
        <v>4</v>
      </c>
      <c r="B184" s="7"/>
      <c r="C184" s="25"/>
      <c r="D184" s="25"/>
      <c r="E184" s="25"/>
      <c r="F184" s="25"/>
      <c r="G184" s="25"/>
      <c r="H184" s="25"/>
      <c r="I184" s="25">
        <v>0</v>
      </c>
      <c r="J184" s="25">
        <v>1</v>
      </c>
      <c r="K184" s="29"/>
      <c r="L184" s="25"/>
      <c r="M184" s="25"/>
      <c r="N184" s="25"/>
      <c r="O184" s="25"/>
      <c r="P184" s="25"/>
      <c r="Q184" s="25"/>
      <c r="R184" s="25">
        <v>0</v>
      </c>
      <c r="S184" s="25">
        <v>1</v>
      </c>
      <c r="U184" s="9">
        <f t="shared" si="307"/>
        <v>1</v>
      </c>
      <c r="V184" s="1">
        <f t="shared" ref="V184:V187" si="337">(1-W184)*Y184</f>
        <v>2.564102564102564E-2</v>
      </c>
      <c r="W184" s="11">
        <f t="shared" si="332"/>
        <v>0</v>
      </c>
      <c r="X184" s="12">
        <v>1</v>
      </c>
      <c r="Y184" s="10">
        <f t="shared" si="333"/>
        <v>2.564102564102564E-2</v>
      </c>
      <c r="Z184" s="18"/>
      <c r="AA184" s="18"/>
      <c r="AB184" s="18"/>
      <c r="AC184" s="18"/>
      <c r="AD184" s="18"/>
      <c r="AE184" s="18"/>
      <c r="AF184" s="18">
        <v>0</v>
      </c>
      <c r="AG184" s="18">
        <v>1</v>
      </c>
      <c r="AH184" s="12"/>
      <c r="AI184" s="18">
        <f t="shared" si="308"/>
        <v>0</v>
      </c>
      <c r="AJ184" s="18">
        <f t="shared" si="309"/>
        <v>0</v>
      </c>
      <c r="AK184" s="18">
        <f t="shared" si="310"/>
        <v>0</v>
      </c>
      <c r="AL184" s="18">
        <f t="shared" si="311"/>
        <v>0</v>
      </c>
      <c r="AM184" s="18">
        <f t="shared" si="312"/>
        <v>0</v>
      </c>
      <c r="AN184" s="18">
        <f t="shared" si="313"/>
        <v>0</v>
      </c>
      <c r="AO184" s="18">
        <f t="shared" si="314"/>
        <v>0</v>
      </c>
      <c r="AP184" s="18">
        <f t="shared" si="315"/>
        <v>1</v>
      </c>
      <c r="AQ184" s="9"/>
      <c r="AR184" s="18">
        <f t="shared" si="316"/>
        <v>0</v>
      </c>
      <c r="AS184" s="18">
        <f t="shared" si="317"/>
        <v>0</v>
      </c>
      <c r="AT184" s="18">
        <f t="shared" si="318"/>
        <v>0</v>
      </c>
      <c r="AU184" s="18">
        <f t="shared" si="319"/>
        <v>0</v>
      </c>
      <c r="AV184" s="18">
        <f t="shared" si="320"/>
        <v>0</v>
      </c>
      <c r="AW184" s="18">
        <f t="shared" si="321"/>
        <v>0</v>
      </c>
      <c r="AX184" s="18">
        <f t="shared" si="322"/>
        <v>0</v>
      </c>
      <c r="AY184" s="18">
        <f t="shared" si="323"/>
        <v>1</v>
      </c>
      <c r="BA184" s="27">
        <f t="shared" si="334"/>
        <v>0</v>
      </c>
      <c r="BB184" s="27">
        <f t="shared" si="324"/>
        <v>0</v>
      </c>
      <c r="BC184" s="27">
        <f t="shared" si="325"/>
        <v>0</v>
      </c>
      <c r="BD184" s="27">
        <f t="shared" si="326"/>
        <v>0</v>
      </c>
      <c r="BE184" s="27">
        <f t="shared" si="327"/>
        <v>0</v>
      </c>
      <c r="BF184" s="27">
        <f t="shared" si="328"/>
        <v>0</v>
      </c>
      <c r="BG184" s="27">
        <f t="shared" si="329"/>
        <v>0</v>
      </c>
      <c r="BH184" s="27">
        <f t="shared" si="330"/>
        <v>0</v>
      </c>
      <c r="BI184" s="27">
        <f t="shared" si="335"/>
        <v>0</v>
      </c>
      <c r="BJ184" s="27">
        <f t="shared" si="336"/>
        <v>0</v>
      </c>
    </row>
    <row r="185" spans="1:62" ht="22.5">
      <c r="A185" s="8" t="s">
        <v>22</v>
      </c>
      <c r="B185" s="7"/>
      <c r="C185" s="25"/>
      <c r="D185" s="25"/>
      <c r="E185" s="25"/>
      <c r="F185" s="25"/>
      <c r="G185" s="25"/>
      <c r="H185" s="25"/>
      <c r="I185" s="25">
        <v>0</v>
      </c>
      <c r="J185" s="25">
        <v>1</v>
      </c>
      <c r="K185" s="29"/>
      <c r="L185" s="25"/>
      <c r="M185" s="25"/>
      <c r="N185" s="25"/>
      <c r="O185" s="25"/>
      <c r="P185" s="25"/>
      <c r="Q185" s="25"/>
      <c r="R185" s="25">
        <v>0</v>
      </c>
      <c r="S185" s="25">
        <v>1</v>
      </c>
      <c r="U185" s="9">
        <f t="shared" si="307"/>
        <v>1</v>
      </c>
      <c r="V185" s="1">
        <f t="shared" si="337"/>
        <v>2.564102564102564E-2</v>
      </c>
      <c r="W185" s="11">
        <f t="shared" si="332"/>
        <v>0</v>
      </c>
      <c r="X185" s="12">
        <v>1</v>
      </c>
      <c r="Y185" s="10">
        <f t="shared" si="333"/>
        <v>2.564102564102564E-2</v>
      </c>
      <c r="Z185" s="18"/>
      <c r="AA185" s="18"/>
      <c r="AB185" s="18"/>
      <c r="AC185" s="18"/>
      <c r="AD185" s="18"/>
      <c r="AE185" s="18"/>
      <c r="AF185" s="18">
        <v>0</v>
      </c>
      <c r="AG185" s="18">
        <v>1</v>
      </c>
      <c r="AH185" s="12"/>
      <c r="AI185" s="18">
        <f t="shared" si="308"/>
        <v>0</v>
      </c>
      <c r="AJ185" s="18">
        <f t="shared" si="309"/>
        <v>0</v>
      </c>
      <c r="AK185" s="18">
        <f t="shared" si="310"/>
        <v>0</v>
      </c>
      <c r="AL185" s="18">
        <f t="shared" si="311"/>
        <v>0</v>
      </c>
      <c r="AM185" s="18">
        <f t="shared" si="312"/>
        <v>0</v>
      </c>
      <c r="AN185" s="18">
        <f t="shared" si="313"/>
        <v>0</v>
      </c>
      <c r="AO185" s="18">
        <f t="shared" si="314"/>
        <v>0</v>
      </c>
      <c r="AP185" s="18">
        <f t="shared" si="315"/>
        <v>1</v>
      </c>
      <c r="AQ185" s="9"/>
      <c r="AR185" s="18">
        <f t="shared" si="316"/>
        <v>0</v>
      </c>
      <c r="AS185" s="18">
        <f t="shared" si="317"/>
        <v>0</v>
      </c>
      <c r="AT185" s="18">
        <f t="shared" si="318"/>
        <v>0</v>
      </c>
      <c r="AU185" s="18">
        <f t="shared" si="319"/>
        <v>0</v>
      </c>
      <c r="AV185" s="18">
        <f t="shared" si="320"/>
        <v>0</v>
      </c>
      <c r="AW185" s="18">
        <f t="shared" si="321"/>
        <v>0</v>
      </c>
      <c r="AX185" s="18">
        <f t="shared" si="322"/>
        <v>0</v>
      </c>
      <c r="AY185" s="18">
        <f t="shared" si="323"/>
        <v>1</v>
      </c>
      <c r="BA185" s="27">
        <f t="shared" si="334"/>
        <v>0</v>
      </c>
      <c r="BB185" s="27">
        <f t="shared" si="324"/>
        <v>0</v>
      </c>
      <c r="BC185" s="27">
        <f t="shared" si="325"/>
        <v>0</v>
      </c>
      <c r="BD185" s="27">
        <f t="shared" si="326"/>
        <v>0</v>
      </c>
      <c r="BE185" s="27">
        <f t="shared" si="327"/>
        <v>0</v>
      </c>
      <c r="BF185" s="27">
        <f t="shared" si="328"/>
        <v>0</v>
      </c>
      <c r="BG185" s="27">
        <f t="shared" si="329"/>
        <v>0</v>
      </c>
      <c r="BH185" s="27">
        <f t="shared" si="330"/>
        <v>0</v>
      </c>
      <c r="BI185" s="27">
        <f t="shared" si="335"/>
        <v>0</v>
      </c>
      <c r="BJ185" s="27">
        <f t="shared" si="336"/>
        <v>0</v>
      </c>
    </row>
    <row r="186" spans="1:62" ht="22.5">
      <c r="A186" s="8" t="s">
        <v>23</v>
      </c>
      <c r="B186" s="7"/>
      <c r="C186" s="25"/>
      <c r="D186" s="25"/>
      <c r="E186" s="25"/>
      <c r="F186" s="25"/>
      <c r="G186" s="25"/>
      <c r="H186" s="25"/>
      <c r="I186" s="25">
        <v>0</v>
      </c>
      <c r="J186" s="25">
        <v>1</v>
      </c>
      <c r="K186" s="29"/>
      <c r="L186" s="25"/>
      <c r="M186" s="25"/>
      <c r="N186" s="25"/>
      <c r="O186" s="25"/>
      <c r="P186" s="25"/>
      <c r="Q186" s="25"/>
      <c r="R186" s="25">
        <v>0</v>
      </c>
      <c r="S186" s="25">
        <v>1</v>
      </c>
      <c r="U186" s="9">
        <f>IF(MATCH(1,C186:J186,0)=MATCH(1,L186:S186,0),1,0)</f>
        <v>1</v>
      </c>
      <c r="V186" s="1">
        <f t="shared" si="337"/>
        <v>2.564102564102564E-2</v>
      </c>
      <c r="W186" s="11">
        <f>BI186</f>
        <v>0</v>
      </c>
      <c r="X186" s="12">
        <v>1</v>
      </c>
      <c r="Y186" s="10">
        <f t="shared" si="333"/>
        <v>2.564102564102564E-2</v>
      </c>
      <c r="Z186" s="18"/>
      <c r="AA186" s="18"/>
      <c r="AB186" s="18"/>
      <c r="AC186" s="18"/>
      <c r="AD186" s="18"/>
      <c r="AE186" s="18"/>
      <c r="AF186" s="18">
        <v>0</v>
      </c>
      <c r="AG186" s="18">
        <v>1</v>
      </c>
      <c r="AI186" s="18">
        <f t="shared" si="308"/>
        <v>0</v>
      </c>
      <c r="AJ186" s="18">
        <f t="shared" si="309"/>
        <v>0</v>
      </c>
      <c r="AK186" s="18">
        <f t="shared" si="310"/>
        <v>0</v>
      </c>
      <c r="AL186" s="18">
        <f t="shared" si="311"/>
        <v>0</v>
      </c>
      <c r="AM186" s="18">
        <f t="shared" si="312"/>
        <v>0</v>
      </c>
      <c r="AN186" s="18">
        <f t="shared" si="313"/>
        <v>0</v>
      </c>
      <c r="AO186" s="18">
        <f t="shared" si="314"/>
        <v>0</v>
      </c>
      <c r="AP186" s="18">
        <f t="shared" si="315"/>
        <v>1</v>
      </c>
      <c r="AQ186" s="9" t="s">
        <v>24</v>
      </c>
      <c r="AR186" s="18">
        <f t="shared" si="316"/>
        <v>0</v>
      </c>
      <c r="AS186" s="18">
        <f t="shared" si="317"/>
        <v>0</v>
      </c>
      <c r="AT186" s="18">
        <f t="shared" si="318"/>
        <v>0</v>
      </c>
      <c r="AU186" s="18">
        <f t="shared" si="319"/>
        <v>0</v>
      </c>
      <c r="AV186" s="18"/>
      <c r="AW186" s="18">
        <f t="shared" si="321"/>
        <v>0</v>
      </c>
      <c r="AX186" s="18">
        <f t="shared" si="322"/>
        <v>0</v>
      </c>
      <c r="AY186" s="18">
        <f t="shared" si="323"/>
        <v>1</v>
      </c>
      <c r="BA186" s="27">
        <f t="shared" si="334"/>
        <v>0</v>
      </c>
      <c r="BB186" s="27">
        <f t="shared" si="324"/>
        <v>0</v>
      </c>
      <c r="BC186" s="27">
        <f t="shared" si="325"/>
        <v>0</v>
      </c>
      <c r="BD186" s="27">
        <f t="shared" si="326"/>
        <v>0</v>
      </c>
      <c r="BE186" s="27">
        <f t="shared" si="327"/>
        <v>0</v>
      </c>
      <c r="BF186" s="27">
        <f t="shared" si="328"/>
        <v>0</v>
      </c>
      <c r="BG186" s="27">
        <f t="shared" si="329"/>
        <v>0</v>
      </c>
      <c r="BH186" s="27">
        <f t="shared" si="330"/>
        <v>0</v>
      </c>
      <c r="BI186" s="27">
        <f t="shared" si="335"/>
        <v>0</v>
      </c>
      <c r="BJ186" s="27">
        <f t="shared" si="336"/>
        <v>0</v>
      </c>
    </row>
    <row r="187" spans="1:62" ht="22.5">
      <c r="A187" s="14" t="s">
        <v>5</v>
      </c>
      <c r="B187" s="7"/>
      <c r="C187" s="25"/>
      <c r="D187" s="25"/>
      <c r="E187" s="25"/>
      <c r="F187" s="25"/>
      <c r="G187" s="25"/>
      <c r="H187" s="25"/>
      <c r="I187" s="25">
        <v>0</v>
      </c>
      <c r="J187" s="25">
        <v>1</v>
      </c>
      <c r="K187" s="29"/>
      <c r="L187" s="25"/>
      <c r="M187" s="25"/>
      <c r="N187" s="25"/>
      <c r="O187" s="25"/>
      <c r="P187" s="25"/>
      <c r="Q187" s="25"/>
      <c r="R187" s="25">
        <v>1</v>
      </c>
      <c r="S187" s="25">
        <v>0</v>
      </c>
      <c r="U187" s="9">
        <f t="shared" ref="U187" si="338">IF(MATCH(1,C187:J187,0)=MATCH(1,L187:S187,0),1,0)</f>
        <v>0</v>
      </c>
      <c r="V187" s="1">
        <f t="shared" si="337"/>
        <v>0</v>
      </c>
      <c r="W187" s="11">
        <f t="shared" ref="W187" si="339">BI187</f>
        <v>1</v>
      </c>
      <c r="X187" s="12">
        <v>1</v>
      </c>
      <c r="Y187" s="10">
        <f t="shared" si="333"/>
        <v>2.564102564102564E-2</v>
      </c>
      <c r="Z187" s="18"/>
      <c r="AA187" s="18"/>
      <c r="AB187" s="18"/>
      <c r="AC187" s="18"/>
      <c r="AD187" s="18"/>
      <c r="AE187" s="18"/>
      <c r="AF187" s="18">
        <v>0</v>
      </c>
      <c r="AG187" s="18">
        <v>1</v>
      </c>
      <c r="AH187" s="20"/>
      <c r="AI187" s="18">
        <f t="shared" si="308"/>
        <v>0</v>
      </c>
      <c r="AJ187" s="18">
        <f t="shared" si="309"/>
        <v>0</v>
      </c>
      <c r="AK187" s="18">
        <f t="shared" si="310"/>
        <v>0</v>
      </c>
      <c r="AL187" s="18">
        <f t="shared" si="311"/>
        <v>0</v>
      </c>
      <c r="AM187" s="18">
        <f t="shared" si="312"/>
        <v>0</v>
      </c>
      <c r="AN187" s="18">
        <f t="shared" si="313"/>
        <v>0</v>
      </c>
      <c r="AO187" s="18">
        <f t="shared" si="314"/>
        <v>0</v>
      </c>
      <c r="AP187" s="18">
        <f t="shared" si="315"/>
        <v>1</v>
      </c>
      <c r="AQ187" s="9"/>
      <c r="AR187" s="18">
        <f t="shared" si="316"/>
        <v>0</v>
      </c>
      <c r="AS187" s="18">
        <f t="shared" si="317"/>
        <v>0</v>
      </c>
      <c r="AT187" s="18">
        <f t="shared" si="318"/>
        <v>0</v>
      </c>
      <c r="AU187" s="18">
        <f t="shared" si="319"/>
        <v>0</v>
      </c>
      <c r="AV187" s="18">
        <f>P187*AD187</f>
        <v>0</v>
      </c>
      <c r="AW187" s="18">
        <f t="shared" si="321"/>
        <v>0</v>
      </c>
      <c r="AX187" s="18">
        <f t="shared" si="322"/>
        <v>0</v>
      </c>
      <c r="AY187" s="18">
        <f t="shared" si="323"/>
        <v>0</v>
      </c>
      <c r="BA187" s="27">
        <f>(AI187-AR187)</f>
        <v>0</v>
      </c>
      <c r="BB187" s="27">
        <f t="shared" si="324"/>
        <v>0</v>
      </c>
      <c r="BC187" s="27">
        <f t="shared" si="325"/>
        <v>0</v>
      </c>
      <c r="BD187" s="27">
        <f t="shared" si="326"/>
        <v>0</v>
      </c>
      <c r="BE187" s="27">
        <f t="shared" si="327"/>
        <v>0</v>
      </c>
      <c r="BF187" s="27">
        <f t="shared" si="328"/>
        <v>0</v>
      </c>
      <c r="BG187" s="27">
        <f t="shared" si="329"/>
        <v>0</v>
      </c>
      <c r="BH187" s="27">
        <f t="shared" si="330"/>
        <v>1</v>
      </c>
      <c r="BI187" s="27">
        <f t="shared" si="335"/>
        <v>1</v>
      </c>
      <c r="BJ187" s="27">
        <f t="shared" si="336"/>
        <v>2.564102564102564E-2</v>
      </c>
    </row>
    <row r="188" spans="1:62">
      <c r="B188" t="s">
        <v>36</v>
      </c>
      <c r="K188" t="s">
        <v>54</v>
      </c>
    </row>
  </sheetData>
  <conditionalFormatting sqref="C23 AH5:AH15 Z2:AH4 AI2:AP17 Z5:AG17 AR2:AY17 BA2:BJ17 AI18:AN18">
    <cfRule type="cellIs" dxfId="32" priority="15" operator="greaterThan">
      <formula>0</formula>
    </cfRule>
  </conditionalFormatting>
  <conditionalFormatting sqref="AH22:AH32 Z19:AH21 AI19:AP34 Z22:AG34 AR19:AY34 BA19:BJ34 AI35:AN35">
    <cfRule type="cellIs" dxfId="31" priority="14" operator="greaterThan">
      <formula>0</formula>
    </cfRule>
  </conditionalFormatting>
  <conditionalFormatting sqref="AH22:AH32 Z19:AH21 AI19:AP34 Z22:AG34 AR19:AY34 BA19:BJ34 AI35:AN35">
    <cfRule type="cellIs" dxfId="30" priority="13" operator="greaterThan">
      <formula>0</formula>
    </cfRule>
  </conditionalFormatting>
  <conditionalFormatting sqref="AH22:AH32 Z19:AH21 AI19:AP34 Z22:AG34 AR19:AY34 BA19:BJ34 AI35:AN35">
    <cfRule type="cellIs" dxfId="29" priority="12" operator="greaterThan">
      <formula>0</formula>
    </cfRule>
  </conditionalFormatting>
  <conditionalFormatting sqref="AH22:AH32 Z19:AH21 AI19:AP34 Z22:AG34 AR19:AY34 BA19:BJ34 AI35:AN35">
    <cfRule type="cellIs" dxfId="28" priority="11" operator="greaterThan">
      <formula>0</formula>
    </cfRule>
  </conditionalFormatting>
  <conditionalFormatting sqref="AH22:AH32 Z19:AH21 AI19:AP34 Z22:AG34 AR19:AY34 BA19:BJ34 AI35:AN35">
    <cfRule type="cellIs" dxfId="27" priority="10" operator="greaterThan">
      <formula>0</formula>
    </cfRule>
  </conditionalFormatting>
  <conditionalFormatting sqref="AH39:AH49 Z36:AH38 AI36:AP51 Z39:AG51 AR36:AY51 BA36:BJ51 AI52:AN52">
    <cfRule type="cellIs" dxfId="26" priority="9" operator="greaterThan">
      <formula>0</formula>
    </cfRule>
  </conditionalFormatting>
  <conditionalFormatting sqref="AH56:AH66 Z53:AH55 AI53:AP68 Z56:AG68 AR53:AY68 BA53:BJ68 AI69:AN69">
    <cfRule type="cellIs" dxfId="25" priority="8" operator="greaterThan">
      <formula>0</formula>
    </cfRule>
  </conditionalFormatting>
  <conditionalFormatting sqref="AH73:AH83 Z70:AH72 AI70:AP85 Z73:AG85 AR70:AY85 BA70:BJ85 AI86:AN86">
    <cfRule type="cellIs" dxfId="24" priority="7" operator="greaterThan">
      <formula>0</formula>
    </cfRule>
  </conditionalFormatting>
  <conditionalFormatting sqref="AH90:AH100 Z87:AH89 AI87:AP102 Z90:AG102 AR87:AY102 BA87:BJ102 AI103:AN103">
    <cfRule type="cellIs" dxfId="23" priority="6" operator="greaterThan">
      <formula>0</formula>
    </cfRule>
  </conditionalFormatting>
  <conditionalFormatting sqref="AH107:AH117 Z104:AH106 AI104:AP119 Z107:AG119 AR104:AY119 BA104:BJ119 AI120:AN120">
    <cfRule type="cellIs" dxfId="22" priority="5" operator="greaterThan">
      <formula>0</formula>
    </cfRule>
  </conditionalFormatting>
  <conditionalFormatting sqref="AH124:AH134 Z121:AH123 AI121:AP136 Z124:AG136 AR121:AY136 BA121:BJ136 AI137:AN137">
    <cfRule type="cellIs" dxfId="21" priority="4" operator="greaterThan">
      <formula>0</formula>
    </cfRule>
  </conditionalFormatting>
  <conditionalFormatting sqref="AH141:AH151 Z138:AH140 AI138:AP153 Z141:AG153 AR138:AY153 BA138:BJ153 AI154:AN154">
    <cfRule type="cellIs" dxfId="20" priority="3" operator="greaterThan">
      <formula>0</formula>
    </cfRule>
  </conditionalFormatting>
  <conditionalFormatting sqref="AH158:AH168 Z155:AH157 AI155:AP170 Z158:AG170 AR155:AY170 BA155:BJ170 AI171:AN171">
    <cfRule type="cellIs" dxfId="19" priority="2" operator="greaterThan">
      <formula>0</formula>
    </cfRule>
  </conditionalFormatting>
  <conditionalFormatting sqref="AH175:AH185 Z172:AH174 AI172:AP187 Z175:AG187 AR172:AY187 BA172:BJ187">
    <cfRule type="cellIs" dxfId="18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F21"/>
  <sheetViews>
    <sheetView workbookViewId="0">
      <selection activeCell="F24" sqref="F24"/>
    </sheetView>
  </sheetViews>
  <sheetFormatPr defaultRowHeight="15"/>
  <cols>
    <col min="1" max="1" width="68.28515625" customWidth="1"/>
    <col min="6" max="6" width="10.28515625" bestFit="1" customWidth="1"/>
  </cols>
  <sheetData>
    <row r="1" spans="1:6">
      <c r="A1" t="s">
        <v>58</v>
      </c>
      <c r="B1" t="s">
        <v>59</v>
      </c>
      <c r="C1" t="str">
        <f>CONCATENATE(A1,",",B1)</f>
        <v>1,0,0,1,0,1,0,0,0,1,0,0,0,1,0,0,0,1,0,0,0,0,0,1,0,1,0,1,1,0,0,1,1,0,1,0,0,1,0,1,1,0,5,2,2,3,2,2,2,2,1,3,3,2,4,1,1,4</v>
      </c>
      <c r="F1" s="32"/>
    </row>
    <row r="2" spans="1:6">
      <c r="A2" t="s">
        <v>61</v>
      </c>
      <c r="B2" t="s">
        <v>62</v>
      </c>
      <c r="C2" t="str">
        <f t="shared" ref="C2:C11" si="0">CONCATENATE(A2,",",B2)</f>
        <v>0,1,0,1,0,1,0,0,0,1,0,0,0,0,1,0,0,1,0,0,1,0,0,0,0,1,0,1,1,0,0,1,0,1,0,1,0,1,1,0,0,1,2,2,3,3,1,3,5,1,1,3,1,1,1,1,5,1</v>
      </c>
      <c r="F2" s="31"/>
    </row>
    <row r="3" spans="1:6">
      <c r="A3" t="s">
        <v>37</v>
      </c>
      <c r="B3" t="s">
        <v>46</v>
      </c>
      <c r="C3" t="str">
        <f t="shared" si="0"/>
        <v>0,1,0,1,1,0,0,0,0,0,0,1,0,0,1,0,0,1,0,0,0,1,0,0,1,0,0,1,0,1,0,1,0,1,0,1,0,1,0,1,0,1,2,2,5,1,1,2,2,5,3,2,2,5,1,1,1,1</v>
      </c>
      <c r="F3" s="31"/>
    </row>
    <row r="4" spans="1:6">
      <c r="A4" t="s">
        <v>38</v>
      </c>
      <c r="B4" t="s">
        <v>47</v>
      </c>
      <c r="C4" t="str">
        <f t="shared" si="0"/>
        <v>0,1,0,1,0,1,0,0,0,0,0,1,0,0,1,0,0,1,0,0,1,0,0,0,0,1,0,1,0,1,0,1,1,0,0,1,0,1,0,1,1,0,1,1,2,2,2,3,5,2,2,2,2,4,1,1,1,5</v>
      </c>
      <c r="F4" s="31"/>
    </row>
    <row r="5" spans="1:6">
      <c r="A5" t="s">
        <v>39</v>
      </c>
      <c r="B5" t="s">
        <v>48</v>
      </c>
      <c r="C5" t="str">
        <f t="shared" si="0"/>
        <v>0,1,0,1,0,1,0,0,1,0,0,0,0,0,1,0,0,1,0,0,0,0,1,0,1,0,0,1,0,1,0,1,1,0,0,1,0,1,0,1,1,0,1,1,1,5,2,3,2,5,3,1,1,5,1,1,1,5</v>
      </c>
      <c r="F5" s="31"/>
    </row>
    <row r="6" spans="1:6">
      <c r="A6" t="s">
        <v>40</v>
      </c>
      <c r="B6" t="s">
        <v>49</v>
      </c>
      <c r="C6" t="str">
        <f t="shared" si="0"/>
        <v>1,0,1,0,0,1,0,0,0,1,0,0,0,1,0,0,0,1,0,0,0,1,0,0,0,1,0,1,0,1,0,1,0,1,0,1,0,1,0,1,1,0,1,1,3,3,3,3,3,2,1,1,1,1,1,1,1,5</v>
      </c>
      <c r="F6" s="31"/>
    </row>
    <row r="7" spans="1:6">
      <c r="A7" t="s">
        <v>41</v>
      </c>
      <c r="B7" t="s">
        <v>50</v>
      </c>
      <c r="C7" t="str">
        <f t="shared" si="0"/>
        <v>0,1,0,1,0,1,0,0,0,0,0,1,0,0,1,0,0,1,0,0,1,0,0,0,0,1,0,1,0,1,1,0,0,1,0,1,0,1,0,1,0,1,1,1,3,1,1,3,5,1,1,1,5,1,1,1,1,1</v>
      </c>
      <c r="F7" s="31"/>
    </row>
    <row r="8" spans="1:6">
      <c r="A8" t="s">
        <v>42</v>
      </c>
      <c r="B8" t="s">
        <v>51</v>
      </c>
      <c r="C8" t="str">
        <f t="shared" si="0"/>
        <v>0,1,0,1,0,1,0,0,1,0,0,0,0,0,1,0,0,1,0,0,1,0,0,0,1,0,0,1,1,0,0,1,0,1,0,1,1,0,0,1,0,1,1,1,3,5,1,3,5,1,1,3,1,1,1,5,1,1</v>
      </c>
      <c r="F8" s="31"/>
    </row>
    <row r="9" spans="1:6">
      <c r="A9" t="s">
        <v>38</v>
      </c>
      <c r="B9" t="s">
        <v>52</v>
      </c>
      <c r="C9" t="str">
        <f t="shared" si="0"/>
        <v>0,1,0,1,0,1,0,0,0,0,0,1,0,0,1,0,0,1,0,0,1,0,0,0,0,1,0,1,0,1,0,1,1,0,0,1,0,1,0,1,1,0,1,1,3,1,1,3,5,1,1,1,1,3,1,1,1,5</v>
      </c>
      <c r="F9" s="31"/>
    </row>
    <row r="10" spans="1:6">
      <c r="A10" t="s">
        <v>56</v>
      </c>
      <c r="B10" t="s">
        <v>53</v>
      </c>
      <c r="C10" t="str">
        <f t="shared" si="0"/>
        <v>1,0,1,0,1,0,0,0,0,0,0,1,0,0,1,0,0,1,0,0,0,0,0,1,1,0,0,1,0,1,0,1,1,0,0,1,0,1,0,1,1,0,5,5,5,1,1,3,1,1,1,1,1,5,1,1,1,5</v>
      </c>
      <c r="F10" s="31"/>
    </row>
    <row r="11" spans="1:6">
      <c r="A11" t="s">
        <v>43</v>
      </c>
      <c r="B11" t="s">
        <v>54</v>
      </c>
      <c r="C11" t="str">
        <f t="shared" si="0"/>
        <v>1,0,1,0,0,1,0,0,0,0,0,1,1,0,0,0,1,0,0,0,1,0,0,0,1,0,0,1,0,1,0,1,0,1,0,1,0,1,0,1,0,1,5,5,3,1,5,5,5,5,1,1,1,1,1,1,1,1</v>
      </c>
      <c r="F11" s="31"/>
    </row>
    <row r="12" spans="1:6">
      <c r="F12" s="31"/>
    </row>
    <row r="13" spans="1:6">
      <c r="F13" s="31"/>
    </row>
    <row r="14" spans="1:6">
      <c r="A14" t="s">
        <v>43</v>
      </c>
      <c r="F14" s="31"/>
    </row>
    <row r="15" spans="1:6">
      <c r="F15" s="31"/>
    </row>
    <row r="16" spans="1:6">
      <c r="F16" s="31"/>
    </row>
    <row r="17" spans="6:6">
      <c r="F17" s="31"/>
    </row>
    <row r="18" spans="6:6">
      <c r="F18" s="31"/>
    </row>
    <row r="19" spans="6:6">
      <c r="F19" s="31"/>
    </row>
    <row r="20" spans="6:6">
      <c r="F20" s="31"/>
    </row>
    <row r="21" spans="6:6">
      <c r="F21" s="31"/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5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4"/>
  <dimension ref="A1:BJ148"/>
  <sheetViews>
    <sheetView zoomScaleNormal="100" workbookViewId="0">
      <pane ySplit="1" topLeftCell="A95" activePane="bottomLeft" state="frozen"/>
      <selection pane="bottomLeft" activeCell="N109" sqref="N109"/>
    </sheetView>
  </sheetViews>
  <sheetFormatPr defaultRowHeight="15"/>
  <cols>
    <col min="3" max="3" width="9.5703125" customWidth="1"/>
    <col min="4" max="4" width="9.140625" customWidth="1"/>
    <col min="14" max="14" width="10.28515625" bestFit="1" customWidth="1"/>
  </cols>
  <sheetData>
    <row r="1" spans="1:62" s="3" customFormat="1" ht="22.5">
      <c r="A1" s="2"/>
      <c r="B1" s="13"/>
      <c r="C1" s="26" t="s">
        <v>7</v>
      </c>
      <c r="D1" s="26" t="s">
        <v>6</v>
      </c>
      <c r="E1" s="19" t="s">
        <v>17</v>
      </c>
      <c r="F1" s="19" t="s">
        <v>18</v>
      </c>
      <c r="G1" s="19" t="s">
        <v>19</v>
      </c>
      <c r="H1" s="19" t="s">
        <v>8</v>
      </c>
      <c r="I1" s="19" t="s">
        <v>9</v>
      </c>
      <c r="J1" s="19" t="s">
        <v>20</v>
      </c>
      <c r="L1" s="26" t="s">
        <v>7</v>
      </c>
      <c r="M1" s="26" t="s">
        <v>6</v>
      </c>
      <c r="N1" s="19" t="s">
        <v>17</v>
      </c>
      <c r="O1" s="19" t="s">
        <v>18</v>
      </c>
      <c r="P1" s="19" t="s">
        <v>19</v>
      </c>
      <c r="Q1" s="19" t="s">
        <v>8</v>
      </c>
      <c r="R1" s="19" t="s">
        <v>9</v>
      </c>
      <c r="S1" s="19" t="s">
        <v>20</v>
      </c>
      <c r="T1" s="3">
        <f>SUM(V2:V17)</f>
        <v>0.89999999999999991</v>
      </c>
      <c r="Z1" s="26" t="s">
        <v>7</v>
      </c>
      <c r="AA1" s="26" t="s">
        <v>6</v>
      </c>
      <c r="AB1" s="19" t="s">
        <v>17</v>
      </c>
      <c r="AC1" s="19" t="s">
        <v>18</v>
      </c>
      <c r="AD1" s="19" t="s">
        <v>19</v>
      </c>
      <c r="AE1" s="19" t="s">
        <v>8</v>
      </c>
      <c r="AF1" s="19" t="s">
        <v>9</v>
      </c>
      <c r="AG1" s="19" t="s">
        <v>20</v>
      </c>
      <c r="AH1" s="16"/>
      <c r="AI1" s="16"/>
      <c r="AJ1" s="16"/>
      <c r="AK1" s="16"/>
      <c r="AL1" s="16"/>
      <c r="AM1" s="16"/>
      <c r="AN1" s="16"/>
      <c r="AO1" s="16"/>
      <c r="AP1" s="16"/>
      <c r="AQ1" s="15"/>
      <c r="AR1" s="15"/>
      <c r="AS1" s="15"/>
      <c r="AT1" s="17"/>
      <c r="AU1" s="15"/>
    </row>
    <row r="2" spans="1:62" ht="22.5">
      <c r="A2" s="6" t="s">
        <v>10</v>
      </c>
      <c r="B2" s="7"/>
      <c r="C2" s="25">
        <v>0</v>
      </c>
      <c r="D2" s="28">
        <v>1</v>
      </c>
      <c r="E2" s="28"/>
      <c r="F2" s="28"/>
      <c r="G2" s="28"/>
      <c r="H2" s="28"/>
      <c r="I2" s="28"/>
      <c r="J2" s="28"/>
      <c r="K2" s="29"/>
      <c r="L2" s="25">
        <v>0</v>
      </c>
      <c r="M2" s="28">
        <v>1</v>
      </c>
      <c r="N2" s="28"/>
      <c r="O2" s="28"/>
      <c r="P2" s="28"/>
      <c r="Q2" s="28"/>
      <c r="R2" s="28"/>
      <c r="S2" s="28"/>
      <c r="U2" s="9">
        <f t="shared" ref="U2:U18" si="0">IF(MATCH(1,C2:J2,0)=MATCH(1,L2:S2,0),1,0)</f>
        <v>1</v>
      </c>
      <c r="V2" s="1">
        <f>(1-W2)*Y2</f>
        <v>3.3333333333333333E-2</v>
      </c>
      <c r="W2" s="11">
        <f>BI2</f>
        <v>0</v>
      </c>
      <c r="X2" s="9">
        <v>1</v>
      </c>
      <c r="Y2" s="10">
        <f>X2/SUM($X$2:$X$17)</f>
        <v>3.3333333333333333E-2</v>
      </c>
      <c r="Z2" s="18">
        <v>0</v>
      </c>
      <c r="AA2" s="18">
        <v>1</v>
      </c>
      <c r="AB2" s="18"/>
      <c r="AC2" s="18"/>
      <c r="AD2" s="18"/>
      <c r="AE2" s="18"/>
      <c r="AF2" s="18"/>
      <c r="AG2" s="18"/>
      <c r="AH2" s="12"/>
      <c r="AI2" s="18">
        <f t="shared" ref="AI2:AP18" si="1">C2*Z2</f>
        <v>0</v>
      </c>
      <c r="AJ2" s="18">
        <f t="shared" si="1"/>
        <v>1</v>
      </c>
      <c r="AK2" s="18">
        <f t="shared" si="1"/>
        <v>0</v>
      </c>
      <c r="AL2" s="18">
        <f t="shared" si="1"/>
        <v>0</v>
      </c>
      <c r="AM2" s="18">
        <f t="shared" si="1"/>
        <v>0</v>
      </c>
      <c r="AN2" s="18">
        <f t="shared" si="1"/>
        <v>0</v>
      </c>
      <c r="AO2" s="18">
        <f t="shared" si="1"/>
        <v>0</v>
      </c>
      <c r="AP2" s="18">
        <f t="shared" si="1"/>
        <v>0</v>
      </c>
      <c r="AQ2" s="9"/>
      <c r="AR2" s="18">
        <f t="shared" ref="AR2:AY18" si="2">L2*Z2</f>
        <v>0</v>
      </c>
      <c r="AS2" s="18">
        <f t="shared" si="2"/>
        <v>1</v>
      </c>
      <c r="AT2" s="18">
        <f t="shared" si="2"/>
        <v>0</v>
      </c>
      <c r="AU2" s="18">
        <f t="shared" si="2"/>
        <v>0</v>
      </c>
      <c r="AV2" s="18">
        <f t="shared" si="2"/>
        <v>0</v>
      </c>
      <c r="AW2" s="18">
        <f t="shared" si="2"/>
        <v>0</v>
      </c>
      <c r="AX2" s="18">
        <f t="shared" si="2"/>
        <v>0</v>
      </c>
      <c r="AY2" s="18">
        <f t="shared" si="2"/>
        <v>0</v>
      </c>
      <c r="BA2" s="27">
        <f>(AI2-AR2)</f>
        <v>0</v>
      </c>
      <c r="BB2" s="27">
        <f t="shared" ref="BB2:BH18" si="3">(AJ2-AS2)</f>
        <v>0</v>
      </c>
      <c r="BC2" s="27">
        <f t="shared" si="3"/>
        <v>0</v>
      </c>
      <c r="BD2" s="27">
        <f t="shared" si="3"/>
        <v>0</v>
      </c>
      <c r="BE2" s="27">
        <f t="shared" si="3"/>
        <v>0</v>
      </c>
      <c r="BF2" s="27">
        <f t="shared" si="3"/>
        <v>0</v>
      </c>
      <c r="BG2" s="27">
        <f t="shared" si="3"/>
        <v>0</v>
      </c>
      <c r="BH2" s="27">
        <f t="shared" si="3"/>
        <v>0</v>
      </c>
      <c r="BI2" s="27">
        <f>ABS(SUM(BA2:BH2))</f>
        <v>0</v>
      </c>
      <c r="BJ2" s="27">
        <f>BI2*Y2</f>
        <v>0</v>
      </c>
    </row>
    <row r="3" spans="1:62" ht="22.5">
      <c r="A3" s="6" t="s">
        <v>11</v>
      </c>
      <c r="B3" s="7"/>
      <c r="C3" s="25">
        <v>0</v>
      </c>
      <c r="D3" s="28">
        <v>1</v>
      </c>
      <c r="E3" s="28"/>
      <c r="F3" s="28"/>
      <c r="G3" s="28"/>
      <c r="H3" s="28"/>
      <c r="I3" s="28"/>
      <c r="J3" s="28"/>
      <c r="K3" s="29"/>
      <c r="L3" s="25">
        <v>0</v>
      </c>
      <c r="M3" s="28">
        <v>1</v>
      </c>
      <c r="N3" s="28"/>
      <c r="O3" s="28"/>
      <c r="P3" s="28"/>
      <c r="Q3" s="28"/>
      <c r="R3" s="28"/>
      <c r="S3" s="28"/>
      <c r="U3" s="9">
        <f t="shared" si="0"/>
        <v>1</v>
      </c>
      <c r="V3" s="1">
        <f t="shared" ref="V3:V17" si="4">(1-W3)*Y3</f>
        <v>3.3333333333333333E-2</v>
      </c>
      <c r="W3" s="11">
        <f t="shared" ref="W3:W17" si="5">BI3</f>
        <v>0</v>
      </c>
      <c r="X3" s="9">
        <v>1</v>
      </c>
      <c r="Y3" s="10">
        <f t="shared" ref="Y3:Y17" si="6">X3/SUM($X$2:$X$17)</f>
        <v>3.3333333333333333E-2</v>
      </c>
      <c r="Z3" s="18">
        <v>0</v>
      </c>
      <c r="AA3" s="18">
        <v>1</v>
      </c>
      <c r="AB3" s="18"/>
      <c r="AC3" s="18"/>
      <c r="AD3" s="18"/>
      <c r="AE3" s="18"/>
      <c r="AF3" s="18"/>
      <c r="AG3" s="18"/>
      <c r="AH3" s="12"/>
      <c r="AI3" s="18">
        <f t="shared" si="1"/>
        <v>0</v>
      </c>
      <c r="AJ3" s="18">
        <f t="shared" si="1"/>
        <v>1</v>
      </c>
      <c r="AK3" s="18">
        <f t="shared" si="1"/>
        <v>0</v>
      </c>
      <c r="AL3" s="18">
        <f t="shared" si="1"/>
        <v>0</v>
      </c>
      <c r="AM3" s="18">
        <f t="shared" si="1"/>
        <v>0</v>
      </c>
      <c r="AN3" s="18">
        <f t="shared" si="1"/>
        <v>0</v>
      </c>
      <c r="AO3" s="18">
        <f t="shared" si="1"/>
        <v>0</v>
      </c>
      <c r="AP3" s="18">
        <f t="shared" si="1"/>
        <v>0</v>
      </c>
      <c r="AQ3" s="9"/>
      <c r="AR3" s="18">
        <f t="shared" si="2"/>
        <v>0</v>
      </c>
      <c r="AS3" s="18">
        <f t="shared" si="2"/>
        <v>1</v>
      </c>
      <c r="AT3" s="18">
        <f t="shared" si="2"/>
        <v>0</v>
      </c>
      <c r="AU3" s="18">
        <f t="shared" si="2"/>
        <v>0</v>
      </c>
      <c r="AV3" s="18">
        <f t="shared" si="2"/>
        <v>0</v>
      </c>
      <c r="AW3" s="18">
        <f t="shared" si="2"/>
        <v>0</v>
      </c>
      <c r="AX3" s="18">
        <f t="shared" si="2"/>
        <v>0</v>
      </c>
      <c r="AY3" s="18">
        <f t="shared" si="2"/>
        <v>0</v>
      </c>
      <c r="BA3" s="27">
        <f t="shared" ref="BA3:BA16" si="7">(AI3-AR3)</f>
        <v>0</v>
      </c>
      <c r="BB3" s="27">
        <f t="shared" si="3"/>
        <v>0</v>
      </c>
      <c r="BC3" s="27">
        <f t="shared" si="3"/>
        <v>0</v>
      </c>
      <c r="BD3" s="27">
        <f t="shared" si="3"/>
        <v>0</v>
      </c>
      <c r="BE3" s="27">
        <f t="shared" si="3"/>
        <v>0</v>
      </c>
      <c r="BF3" s="27">
        <f t="shared" si="3"/>
        <v>0</v>
      </c>
      <c r="BG3" s="27">
        <f t="shared" si="3"/>
        <v>0</v>
      </c>
      <c r="BH3" s="27">
        <f t="shared" si="3"/>
        <v>0</v>
      </c>
      <c r="BI3" s="27">
        <f t="shared" ref="BI3:BI17" si="8">ABS(SUM(BA3:BH3))</f>
        <v>0</v>
      </c>
      <c r="BJ3" s="27">
        <f t="shared" ref="BJ3:BJ17" si="9">BI3*Y3</f>
        <v>0</v>
      </c>
    </row>
    <row r="4" spans="1:62" s="22" customFormat="1" ht="22.5">
      <c r="A4" s="8" t="s">
        <v>12</v>
      </c>
      <c r="B4" s="21"/>
      <c r="C4" s="25">
        <v>0</v>
      </c>
      <c r="D4" s="25">
        <v>1</v>
      </c>
      <c r="E4" s="25">
        <v>0</v>
      </c>
      <c r="F4" s="28">
        <v>0</v>
      </c>
      <c r="G4" s="28"/>
      <c r="H4" s="28"/>
      <c r="I4" s="28"/>
      <c r="J4" s="28"/>
      <c r="K4" s="29"/>
      <c r="L4" s="25">
        <v>0</v>
      </c>
      <c r="M4" s="25">
        <v>1</v>
      </c>
      <c r="N4" s="25">
        <v>0</v>
      </c>
      <c r="O4" s="28">
        <v>0</v>
      </c>
      <c r="P4" s="28"/>
      <c r="Q4" s="28"/>
      <c r="R4" s="28"/>
      <c r="S4" s="28"/>
      <c r="T4"/>
      <c r="U4" s="23">
        <f t="shared" si="0"/>
        <v>1</v>
      </c>
      <c r="V4" s="1">
        <f t="shared" si="4"/>
        <v>0.1</v>
      </c>
      <c r="W4" s="11">
        <f t="shared" si="5"/>
        <v>0</v>
      </c>
      <c r="X4" s="23">
        <v>3</v>
      </c>
      <c r="Y4" s="24">
        <f t="shared" si="6"/>
        <v>0.1</v>
      </c>
      <c r="Z4" s="18">
        <v>0</v>
      </c>
      <c r="AA4" s="18">
        <v>0.3</v>
      </c>
      <c r="AB4" s="18">
        <v>0.8</v>
      </c>
      <c r="AC4" s="18">
        <v>1</v>
      </c>
      <c r="AD4" s="18"/>
      <c r="AE4" s="18"/>
      <c r="AF4" s="18"/>
      <c r="AG4" s="18"/>
      <c r="AH4" s="12"/>
      <c r="AI4" s="18">
        <f t="shared" si="1"/>
        <v>0</v>
      </c>
      <c r="AJ4" s="18">
        <f t="shared" si="1"/>
        <v>0.3</v>
      </c>
      <c r="AK4" s="18">
        <f t="shared" si="1"/>
        <v>0</v>
      </c>
      <c r="AL4" s="18">
        <f t="shared" si="1"/>
        <v>0</v>
      </c>
      <c r="AM4" s="18">
        <f t="shared" si="1"/>
        <v>0</v>
      </c>
      <c r="AN4" s="18">
        <f t="shared" si="1"/>
        <v>0</v>
      </c>
      <c r="AO4" s="18">
        <f t="shared" si="1"/>
        <v>0</v>
      </c>
      <c r="AP4" s="18">
        <f t="shared" si="1"/>
        <v>0</v>
      </c>
      <c r="AQ4" s="23"/>
      <c r="AR4" s="18">
        <f t="shared" si="2"/>
        <v>0</v>
      </c>
      <c r="AS4" s="18">
        <f t="shared" si="2"/>
        <v>0.3</v>
      </c>
      <c r="AT4" s="18">
        <f t="shared" si="2"/>
        <v>0</v>
      </c>
      <c r="AU4" s="18">
        <f t="shared" si="2"/>
        <v>0</v>
      </c>
      <c r="AV4" s="18">
        <f t="shared" si="2"/>
        <v>0</v>
      </c>
      <c r="AW4" s="18">
        <f t="shared" si="2"/>
        <v>0</v>
      </c>
      <c r="AX4" s="18">
        <f t="shared" si="2"/>
        <v>0</v>
      </c>
      <c r="AY4" s="18">
        <f t="shared" si="2"/>
        <v>0</v>
      </c>
      <c r="BA4" s="27">
        <f t="shared" si="7"/>
        <v>0</v>
      </c>
      <c r="BB4" s="27">
        <f t="shared" si="3"/>
        <v>0</v>
      </c>
      <c r="BC4" s="27">
        <f t="shared" si="3"/>
        <v>0</v>
      </c>
      <c r="BD4" s="27">
        <f t="shared" si="3"/>
        <v>0</v>
      </c>
      <c r="BE4" s="27">
        <f t="shared" si="3"/>
        <v>0</v>
      </c>
      <c r="BF4" s="27">
        <f t="shared" si="3"/>
        <v>0</v>
      </c>
      <c r="BG4" s="27">
        <f t="shared" si="3"/>
        <v>0</v>
      </c>
      <c r="BH4" s="27">
        <f t="shared" si="3"/>
        <v>0</v>
      </c>
      <c r="BI4" s="27">
        <f t="shared" si="8"/>
        <v>0</v>
      </c>
      <c r="BJ4" s="27">
        <f t="shared" si="9"/>
        <v>0</v>
      </c>
    </row>
    <row r="5" spans="1:62" s="22" customFormat="1" ht="22.5">
      <c r="A5" s="8" t="s">
        <v>13</v>
      </c>
      <c r="B5" s="21"/>
      <c r="C5" s="25">
        <v>0</v>
      </c>
      <c r="D5" s="25">
        <v>0</v>
      </c>
      <c r="E5" s="25">
        <v>0</v>
      </c>
      <c r="F5" s="28">
        <v>1</v>
      </c>
      <c r="G5" s="28"/>
      <c r="H5" s="28"/>
      <c r="I5" s="28"/>
      <c r="J5" s="28"/>
      <c r="K5" s="29"/>
      <c r="L5" s="25">
        <v>0</v>
      </c>
      <c r="M5" s="25">
        <v>0</v>
      </c>
      <c r="N5" s="25">
        <v>0</v>
      </c>
      <c r="O5" s="28">
        <v>1</v>
      </c>
      <c r="P5" s="28"/>
      <c r="Q5" s="28"/>
      <c r="R5" s="28"/>
      <c r="S5" s="28"/>
      <c r="T5"/>
      <c r="U5" s="23">
        <f t="shared" si="0"/>
        <v>1</v>
      </c>
      <c r="V5" s="1">
        <f t="shared" si="4"/>
        <v>3.3333333333333333E-2</v>
      </c>
      <c r="W5" s="11">
        <f t="shared" si="5"/>
        <v>0</v>
      </c>
      <c r="X5" s="23">
        <v>1</v>
      </c>
      <c r="Y5" s="24">
        <f t="shared" si="6"/>
        <v>3.3333333333333333E-2</v>
      </c>
      <c r="Z5" s="18">
        <v>0</v>
      </c>
      <c r="AA5" s="18">
        <v>0.3</v>
      </c>
      <c r="AB5" s="18">
        <v>0.8</v>
      </c>
      <c r="AC5" s="18">
        <v>1</v>
      </c>
      <c r="AD5" s="18"/>
      <c r="AE5" s="18"/>
      <c r="AF5" s="18"/>
      <c r="AG5" s="18"/>
      <c r="AH5" s="12"/>
      <c r="AI5" s="18">
        <f t="shared" si="1"/>
        <v>0</v>
      </c>
      <c r="AJ5" s="18">
        <f t="shared" si="1"/>
        <v>0</v>
      </c>
      <c r="AK5" s="18">
        <f t="shared" si="1"/>
        <v>0</v>
      </c>
      <c r="AL5" s="18">
        <f t="shared" si="1"/>
        <v>1</v>
      </c>
      <c r="AM5" s="18">
        <f t="shared" si="1"/>
        <v>0</v>
      </c>
      <c r="AN5" s="18">
        <f t="shared" si="1"/>
        <v>0</v>
      </c>
      <c r="AO5" s="18">
        <f t="shared" si="1"/>
        <v>0</v>
      </c>
      <c r="AP5" s="18">
        <f t="shared" si="1"/>
        <v>0</v>
      </c>
      <c r="AQ5" s="23"/>
      <c r="AR5" s="18">
        <f t="shared" si="2"/>
        <v>0</v>
      </c>
      <c r="AS5" s="18">
        <f t="shared" si="2"/>
        <v>0</v>
      </c>
      <c r="AT5" s="18">
        <f t="shared" si="2"/>
        <v>0</v>
      </c>
      <c r="AU5" s="18">
        <f t="shared" si="2"/>
        <v>1</v>
      </c>
      <c r="AV5" s="18">
        <f t="shared" si="2"/>
        <v>0</v>
      </c>
      <c r="AW5" s="18">
        <f t="shared" si="2"/>
        <v>0</v>
      </c>
      <c r="AX5" s="18">
        <f t="shared" si="2"/>
        <v>0</v>
      </c>
      <c r="AY5" s="18">
        <f t="shared" si="2"/>
        <v>0</v>
      </c>
      <c r="BA5" s="27">
        <f t="shared" si="7"/>
        <v>0</v>
      </c>
      <c r="BB5" s="27">
        <f t="shared" si="3"/>
        <v>0</v>
      </c>
      <c r="BC5" s="27">
        <f t="shared" si="3"/>
        <v>0</v>
      </c>
      <c r="BD5" s="27">
        <f t="shared" si="3"/>
        <v>0</v>
      </c>
      <c r="BE5" s="27">
        <f t="shared" si="3"/>
        <v>0</v>
      </c>
      <c r="BF5" s="27">
        <f t="shared" si="3"/>
        <v>0</v>
      </c>
      <c r="BG5" s="27">
        <f t="shared" si="3"/>
        <v>0</v>
      </c>
      <c r="BH5" s="27">
        <f t="shared" si="3"/>
        <v>0</v>
      </c>
      <c r="BI5" s="27">
        <f t="shared" si="8"/>
        <v>0</v>
      </c>
      <c r="BJ5" s="27">
        <f t="shared" si="9"/>
        <v>0</v>
      </c>
    </row>
    <row r="6" spans="1:62" s="22" customFormat="1" ht="22.5">
      <c r="A6" s="8" t="s">
        <v>14</v>
      </c>
      <c r="B6" s="21"/>
      <c r="C6" s="25">
        <v>0</v>
      </c>
      <c r="D6" s="25">
        <v>0</v>
      </c>
      <c r="E6" s="25">
        <v>1</v>
      </c>
      <c r="F6" s="28">
        <v>0</v>
      </c>
      <c r="G6" s="28"/>
      <c r="H6" s="28"/>
      <c r="I6" s="28"/>
      <c r="J6" s="28"/>
      <c r="K6" s="29"/>
      <c r="L6" s="25">
        <v>0</v>
      </c>
      <c r="M6" s="25">
        <v>0</v>
      </c>
      <c r="N6" s="25">
        <v>1</v>
      </c>
      <c r="O6" s="28">
        <v>0</v>
      </c>
      <c r="P6" s="28"/>
      <c r="Q6" s="28"/>
      <c r="R6" s="28"/>
      <c r="S6" s="28"/>
      <c r="T6"/>
      <c r="U6" s="23">
        <f t="shared" si="0"/>
        <v>1</v>
      </c>
      <c r="V6" s="1">
        <f t="shared" si="4"/>
        <v>3.3333333333333333E-2</v>
      </c>
      <c r="W6" s="11">
        <f t="shared" si="5"/>
        <v>0</v>
      </c>
      <c r="X6" s="23">
        <v>1</v>
      </c>
      <c r="Y6" s="24">
        <f t="shared" si="6"/>
        <v>3.3333333333333333E-2</v>
      </c>
      <c r="Z6" s="18">
        <v>0</v>
      </c>
      <c r="AA6" s="18">
        <v>0.3</v>
      </c>
      <c r="AB6" s="18">
        <v>0.8</v>
      </c>
      <c r="AC6" s="18">
        <v>1</v>
      </c>
      <c r="AD6" s="18"/>
      <c r="AE6" s="18"/>
      <c r="AF6" s="18"/>
      <c r="AG6" s="18"/>
      <c r="AH6" s="12"/>
      <c r="AI6" s="18">
        <f t="shared" si="1"/>
        <v>0</v>
      </c>
      <c r="AJ6" s="18">
        <f t="shared" si="1"/>
        <v>0</v>
      </c>
      <c r="AK6" s="18">
        <f t="shared" si="1"/>
        <v>0.8</v>
      </c>
      <c r="AL6" s="18">
        <f t="shared" si="1"/>
        <v>0</v>
      </c>
      <c r="AM6" s="18">
        <f t="shared" si="1"/>
        <v>0</v>
      </c>
      <c r="AN6" s="18">
        <f t="shared" si="1"/>
        <v>0</v>
      </c>
      <c r="AO6" s="18">
        <f t="shared" si="1"/>
        <v>0</v>
      </c>
      <c r="AP6" s="18">
        <f t="shared" si="1"/>
        <v>0</v>
      </c>
      <c r="AQ6" s="23"/>
      <c r="AR6" s="18">
        <f t="shared" si="2"/>
        <v>0</v>
      </c>
      <c r="AS6" s="18">
        <f t="shared" si="2"/>
        <v>0</v>
      </c>
      <c r="AT6" s="18">
        <f t="shared" si="2"/>
        <v>0.8</v>
      </c>
      <c r="AU6" s="18">
        <f t="shared" si="2"/>
        <v>0</v>
      </c>
      <c r="AV6" s="18">
        <f t="shared" si="2"/>
        <v>0</v>
      </c>
      <c r="AW6" s="18">
        <f t="shared" si="2"/>
        <v>0</v>
      </c>
      <c r="AX6" s="18">
        <f t="shared" si="2"/>
        <v>0</v>
      </c>
      <c r="AY6" s="18">
        <f t="shared" si="2"/>
        <v>0</v>
      </c>
      <c r="BA6" s="27">
        <f t="shared" si="7"/>
        <v>0</v>
      </c>
      <c r="BB6" s="27">
        <f t="shared" si="3"/>
        <v>0</v>
      </c>
      <c r="BC6" s="27">
        <f t="shared" si="3"/>
        <v>0</v>
      </c>
      <c r="BD6" s="27">
        <f t="shared" si="3"/>
        <v>0</v>
      </c>
      <c r="BE6" s="27">
        <f t="shared" si="3"/>
        <v>0</v>
      </c>
      <c r="BF6" s="27">
        <f t="shared" si="3"/>
        <v>0</v>
      </c>
      <c r="BG6" s="27">
        <f t="shared" si="3"/>
        <v>0</v>
      </c>
      <c r="BH6" s="27">
        <f t="shared" si="3"/>
        <v>0</v>
      </c>
      <c r="BI6" s="27">
        <f t="shared" si="8"/>
        <v>0</v>
      </c>
      <c r="BJ6" s="27">
        <f t="shared" si="9"/>
        <v>0</v>
      </c>
    </row>
    <row r="7" spans="1:62" s="22" customFormat="1" ht="22.5">
      <c r="A7" s="8" t="s">
        <v>15</v>
      </c>
      <c r="B7" s="21"/>
      <c r="C7" s="25">
        <v>0</v>
      </c>
      <c r="D7" s="25">
        <v>1</v>
      </c>
      <c r="E7" s="25">
        <v>0</v>
      </c>
      <c r="F7" s="28">
        <v>0</v>
      </c>
      <c r="G7" s="28"/>
      <c r="H7" s="28"/>
      <c r="I7" s="28"/>
      <c r="J7" s="28"/>
      <c r="K7" s="29"/>
      <c r="L7" s="25">
        <v>0</v>
      </c>
      <c r="M7" s="25">
        <v>1</v>
      </c>
      <c r="N7" s="25">
        <v>0</v>
      </c>
      <c r="O7" s="28">
        <v>0</v>
      </c>
      <c r="P7" s="28"/>
      <c r="Q7" s="28"/>
      <c r="R7" s="28"/>
      <c r="S7" s="28"/>
      <c r="T7"/>
      <c r="U7" s="23">
        <f t="shared" si="0"/>
        <v>1</v>
      </c>
      <c r="V7" s="1">
        <f t="shared" si="4"/>
        <v>0.1</v>
      </c>
      <c r="W7" s="11">
        <f t="shared" si="5"/>
        <v>0</v>
      </c>
      <c r="X7" s="23">
        <v>3</v>
      </c>
      <c r="Y7" s="24">
        <f t="shared" si="6"/>
        <v>0.1</v>
      </c>
      <c r="Z7" s="18">
        <v>0</v>
      </c>
      <c r="AA7" s="18">
        <v>0.3</v>
      </c>
      <c r="AB7" s="18">
        <v>0.8</v>
      </c>
      <c r="AC7" s="18">
        <v>1</v>
      </c>
      <c r="AD7" s="18"/>
      <c r="AE7" s="18"/>
      <c r="AF7" s="18"/>
      <c r="AG7" s="18"/>
      <c r="AH7" s="12"/>
      <c r="AI7" s="18">
        <f t="shared" si="1"/>
        <v>0</v>
      </c>
      <c r="AJ7" s="18">
        <f t="shared" si="1"/>
        <v>0.3</v>
      </c>
      <c r="AK7" s="18">
        <f t="shared" si="1"/>
        <v>0</v>
      </c>
      <c r="AL7" s="18">
        <f t="shared" si="1"/>
        <v>0</v>
      </c>
      <c r="AM7" s="18">
        <f t="shared" si="1"/>
        <v>0</v>
      </c>
      <c r="AN7" s="18">
        <f t="shared" si="1"/>
        <v>0</v>
      </c>
      <c r="AO7" s="18">
        <f t="shared" si="1"/>
        <v>0</v>
      </c>
      <c r="AP7" s="18">
        <f t="shared" si="1"/>
        <v>0</v>
      </c>
      <c r="AQ7" s="23"/>
      <c r="AR7" s="18">
        <f t="shared" si="2"/>
        <v>0</v>
      </c>
      <c r="AS7" s="18">
        <f t="shared" si="2"/>
        <v>0.3</v>
      </c>
      <c r="AT7" s="18">
        <f t="shared" si="2"/>
        <v>0</v>
      </c>
      <c r="AU7" s="18">
        <f t="shared" si="2"/>
        <v>0</v>
      </c>
      <c r="AV7" s="18">
        <f t="shared" si="2"/>
        <v>0</v>
      </c>
      <c r="AW7" s="18">
        <f t="shared" si="2"/>
        <v>0</v>
      </c>
      <c r="AX7" s="18">
        <f t="shared" si="2"/>
        <v>0</v>
      </c>
      <c r="AY7" s="18">
        <f t="shared" si="2"/>
        <v>0</v>
      </c>
      <c r="BA7" s="27">
        <f t="shared" si="7"/>
        <v>0</v>
      </c>
      <c r="BB7" s="27">
        <f t="shared" si="3"/>
        <v>0</v>
      </c>
      <c r="BC7" s="27">
        <f t="shared" si="3"/>
        <v>0</v>
      </c>
      <c r="BD7" s="27">
        <f t="shared" si="3"/>
        <v>0</v>
      </c>
      <c r="BE7" s="27">
        <f t="shared" si="3"/>
        <v>0</v>
      </c>
      <c r="BF7" s="27">
        <f t="shared" si="3"/>
        <v>0</v>
      </c>
      <c r="BG7" s="27">
        <f t="shared" si="3"/>
        <v>0</v>
      </c>
      <c r="BH7" s="27">
        <f t="shared" si="3"/>
        <v>0</v>
      </c>
      <c r="BI7" s="27">
        <f t="shared" si="8"/>
        <v>0</v>
      </c>
      <c r="BJ7" s="27">
        <f t="shared" si="9"/>
        <v>0</v>
      </c>
    </row>
    <row r="8" spans="1:62" s="22" customFormat="1" ht="22.5">
      <c r="A8" s="8" t="s">
        <v>16</v>
      </c>
      <c r="B8" s="21"/>
      <c r="C8" s="25">
        <v>1</v>
      </c>
      <c r="D8" s="25">
        <v>0</v>
      </c>
      <c r="E8" s="25">
        <v>0</v>
      </c>
      <c r="F8" s="28">
        <v>0</v>
      </c>
      <c r="G8" s="28"/>
      <c r="H8" s="28"/>
      <c r="I8" s="28"/>
      <c r="J8" s="28"/>
      <c r="K8" s="29"/>
      <c r="L8" s="25">
        <v>1</v>
      </c>
      <c r="M8" s="25">
        <v>0</v>
      </c>
      <c r="N8" s="25">
        <v>0</v>
      </c>
      <c r="O8" s="28">
        <v>0</v>
      </c>
      <c r="P8" s="28"/>
      <c r="Q8" s="28"/>
      <c r="R8" s="28"/>
      <c r="S8" s="28"/>
      <c r="T8"/>
      <c r="U8" s="23">
        <f t="shared" si="0"/>
        <v>1</v>
      </c>
      <c r="V8" s="1">
        <f t="shared" si="4"/>
        <v>0.16666666666666666</v>
      </c>
      <c r="W8" s="11">
        <f t="shared" si="5"/>
        <v>0</v>
      </c>
      <c r="X8" s="23">
        <v>5</v>
      </c>
      <c r="Y8" s="24">
        <f t="shared" si="6"/>
        <v>0.16666666666666666</v>
      </c>
      <c r="Z8" s="18">
        <v>0</v>
      </c>
      <c r="AA8" s="18">
        <v>0.3</v>
      </c>
      <c r="AB8" s="18">
        <v>0.8</v>
      </c>
      <c r="AC8" s="18">
        <v>1</v>
      </c>
      <c r="AD8" s="18"/>
      <c r="AE8" s="18"/>
      <c r="AF8" s="18"/>
      <c r="AG8" s="18"/>
      <c r="AH8" s="12"/>
      <c r="AI8" s="18">
        <f t="shared" si="1"/>
        <v>0</v>
      </c>
      <c r="AJ8" s="18">
        <f t="shared" si="1"/>
        <v>0</v>
      </c>
      <c r="AK8" s="18">
        <f t="shared" si="1"/>
        <v>0</v>
      </c>
      <c r="AL8" s="18">
        <f t="shared" si="1"/>
        <v>0</v>
      </c>
      <c r="AM8" s="18">
        <f t="shared" si="1"/>
        <v>0</v>
      </c>
      <c r="AN8" s="18">
        <f t="shared" si="1"/>
        <v>0</v>
      </c>
      <c r="AO8" s="18">
        <f t="shared" si="1"/>
        <v>0</v>
      </c>
      <c r="AP8" s="18">
        <f t="shared" si="1"/>
        <v>0</v>
      </c>
      <c r="AQ8" s="23"/>
      <c r="AR8" s="18">
        <f t="shared" si="2"/>
        <v>0</v>
      </c>
      <c r="AS8" s="18">
        <f t="shared" si="2"/>
        <v>0</v>
      </c>
      <c r="AT8" s="18">
        <f t="shared" si="2"/>
        <v>0</v>
      </c>
      <c r="AU8" s="18">
        <f t="shared" si="2"/>
        <v>0</v>
      </c>
      <c r="AV8" s="18">
        <f t="shared" si="2"/>
        <v>0</v>
      </c>
      <c r="AW8" s="18">
        <f t="shared" si="2"/>
        <v>0</v>
      </c>
      <c r="AX8" s="18">
        <f t="shared" si="2"/>
        <v>0</v>
      </c>
      <c r="AY8" s="18">
        <f t="shared" si="2"/>
        <v>0</v>
      </c>
      <c r="BA8" s="27">
        <f t="shared" si="7"/>
        <v>0</v>
      </c>
      <c r="BB8" s="27">
        <f t="shared" si="3"/>
        <v>0</v>
      </c>
      <c r="BC8" s="27">
        <f t="shared" si="3"/>
        <v>0</v>
      </c>
      <c r="BD8" s="27">
        <f t="shared" si="3"/>
        <v>0</v>
      </c>
      <c r="BE8" s="27">
        <f t="shared" si="3"/>
        <v>0</v>
      </c>
      <c r="BF8" s="27">
        <f t="shared" si="3"/>
        <v>0</v>
      </c>
      <c r="BG8" s="27">
        <f t="shared" si="3"/>
        <v>0</v>
      </c>
      <c r="BH8" s="27">
        <f t="shared" si="3"/>
        <v>0</v>
      </c>
      <c r="BI8" s="27">
        <f t="shared" si="8"/>
        <v>0</v>
      </c>
      <c r="BJ8" s="27">
        <f t="shared" si="9"/>
        <v>0</v>
      </c>
    </row>
    <row r="9" spans="1:62" ht="22.5">
      <c r="A9" s="4" t="s">
        <v>0</v>
      </c>
      <c r="B9" s="7"/>
      <c r="C9" s="25">
        <v>0</v>
      </c>
      <c r="D9" s="25">
        <v>1</v>
      </c>
      <c r="E9" s="25"/>
      <c r="F9" s="28"/>
      <c r="G9" s="28"/>
      <c r="H9" s="28"/>
      <c r="I9" s="28"/>
      <c r="J9" s="28"/>
      <c r="K9" s="29"/>
      <c r="L9" s="25">
        <v>0</v>
      </c>
      <c r="M9" s="25">
        <v>1</v>
      </c>
      <c r="N9" s="25"/>
      <c r="O9" s="28"/>
      <c r="P9" s="28"/>
      <c r="Q9" s="28"/>
      <c r="R9" s="28"/>
      <c r="S9" s="28"/>
      <c r="U9" s="9">
        <f t="shared" si="0"/>
        <v>1</v>
      </c>
      <c r="V9" s="1">
        <f t="shared" si="4"/>
        <v>3.3333333333333333E-2</v>
      </c>
      <c r="W9" s="11">
        <f t="shared" si="5"/>
        <v>0</v>
      </c>
      <c r="X9" s="12">
        <v>1</v>
      </c>
      <c r="Y9" s="10">
        <f t="shared" si="6"/>
        <v>3.3333333333333333E-2</v>
      </c>
      <c r="Z9" s="18">
        <v>0</v>
      </c>
      <c r="AA9" s="18">
        <f>IF(M9=1,1,0)</f>
        <v>1</v>
      </c>
      <c r="AB9" s="18">
        <v>0</v>
      </c>
      <c r="AC9" s="18">
        <v>0</v>
      </c>
      <c r="AD9" s="18"/>
      <c r="AE9" s="18"/>
      <c r="AF9" s="18"/>
      <c r="AG9" s="18"/>
      <c r="AH9" s="12"/>
      <c r="AI9" s="18">
        <f t="shared" si="1"/>
        <v>0</v>
      </c>
      <c r="AJ9" s="18">
        <f t="shared" si="1"/>
        <v>1</v>
      </c>
      <c r="AK9" s="18">
        <f t="shared" si="1"/>
        <v>0</v>
      </c>
      <c r="AL9" s="18">
        <f t="shared" si="1"/>
        <v>0</v>
      </c>
      <c r="AM9" s="18">
        <f t="shared" si="1"/>
        <v>0</v>
      </c>
      <c r="AN9" s="18">
        <f t="shared" si="1"/>
        <v>0</v>
      </c>
      <c r="AO9" s="18">
        <f t="shared" si="1"/>
        <v>0</v>
      </c>
      <c r="AP9" s="18">
        <f t="shared" si="1"/>
        <v>0</v>
      </c>
      <c r="AQ9" s="9"/>
      <c r="AR9" s="18">
        <f t="shared" si="2"/>
        <v>0</v>
      </c>
      <c r="AS9" s="18">
        <f t="shared" si="2"/>
        <v>1</v>
      </c>
      <c r="AT9" s="18">
        <f t="shared" si="2"/>
        <v>0</v>
      </c>
      <c r="AU9" s="18">
        <f t="shared" si="2"/>
        <v>0</v>
      </c>
      <c r="AV9" s="18">
        <f t="shared" si="2"/>
        <v>0</v>
      </c>
      <c r="AW9" s="18">
        <f t="shared" si="2"/>
        <v>0</v>
      </c>
      <c r="AX9" s="18">
        <f t="shared" si="2"/>
        <v>0</v>
      </c>
      <c r="AY9" s="18">
        <f t="shared" si="2"/>
        <v>0</v>
      </c>
      <c r="BA9" s="27">
        <f t="shared" si="7"/>
        <v>0</v>
      </c>
      <c r="BB9" s="27">
        <f t="shared" si="3"/>
        <v>0</v>
      </c>
      <c r="BC9" s="27">
        <f t="shared" si="3"/>
        <v>0</v>
      </c>
      <c r="BD9" s="27">
        <f t="shared" si="3"/>
        <v>0</v>
      </c>
      <c r="BE9" s="27">
        <f t="shared" si="3"/>
        <v>0</v>
      </c>
      <c r="BF9" s="27">
        <f t="shared" si="3"/>
        <v>0</v>
      </c>
      <c r="BG9" s="27">
        <f t="shared" si="3"/>
        <v>0</v>
      </c>
      <c r="BH9" s="27">
        <f t="shared" si="3"/>
        <v>0</v>
      </c>
      <c r="BI9" s="27">
        <f t="shared" si="8"/>
        <v>0</v>
      </c>
      <c r="BJ9" s="27">
        <f t="shared" si="9"/>
        <v>0</v>
      </c>
    </row>
    <row r="10" spans="1:62" ht="22.5">
      <c r="A10" s="5" t="s">
        <v>1</v>
      </c>
      <c r="B10" s="7"/>
      <c r="C10" s="25"/>
      <c r="D10" s="25"/>
      <c r="E10" s="25"/>
      <c r="F10" s="25"/>
      <c r="G10" s="25">
        <v>0</v>
      </c>
      <c r="H10" s="25">
        <v>1</v>
      </c>
      <c r="I10" s="28"/>
      <c r="J10" s="28"/>
      <c r="K10" s="29"/>
      <c r="L10" s="25"/>
      <c r="M10" s="25"/>
      <c r="N10" s="25"/>
      <c r="O10" s="25"/>
      <c r="P10" s="25">
        <v>0</v>
      </c>
      <c r="Q10" s="25">
        <v>1</v>
      </c>
      <c r="R10" s="28"/>
      <c r="S10" s="28"/>
      <c r="U10" s="9">
        <f t="shared" si="0"/>
        <v>1</v>
      </c>
      <c r="V10" s="1">
        <f t="shared" si="4"/>
        <v>3.3333333333333333E-2</v>
      </c>
      <c r="W10" s="11">
        <f t="shared" si="5"/>
        <v>0</v>
      </c>
      <c r="X10" s="12">
        <v>1</v>
      </c>
      <c r="Y10" s="10">
        <f t="shared" si="6"/>
        <v>3.3333333333333333E-2</v>
      </c>
      <c r="Z10" s="18"/>
      <c r="AA10" s="18"/>
      <c r="AB10" s="18"/>
      <c r="AC10" s="18"/>
      <c r="AD10" s="18">
        <v>0</v>
      </c>
      <c r="AE10" s="18">
        <v>1</v>
      </c>
      <c r="AF10" s="18"/>
      <c r="AG10" s="18"/>
      <c r="AH10" s="12"/>
      <c r="AI10" s="18">
        <f t="shared" si="1"/>
        <v>0</v>
      </c>
      <c r="AJ10" s="18">
        <f t="shared" si="1"/>
        <v>0</v>
      </c>
      <c r="AK10" s="18">
        <f t="shared" si="1"/>
        <v>0</v>
      </c>
      <c r="AL10" s="18">
        <f t="shared" si="1"/>
        <v>0</v>
      </c>
      <c r="AM10" s="18">
        <f t="shared" si="1"/>
        <v>0</v>
      </c>
      <c r="AN10" s="18">
        <f t="shared" si="1"/>
        <v>1</v>
      </c>
      <c r="AO10" s="18">
        <f t="shared" si="1"/>
        <v>0</v>
      </c>
      <c r="AP10" s="18">
        <f t="shared" si="1"/>
        <v>0</v>
      </c>
      <c r="AQ10" s="9"/>
      <c r="AR10" s="18">
        <f t="shared" si="2"/>
        <v>0</v>
      </c>
      <c r="AS10" s="18">
        <f t="shared" si="2"/>
        <v>0</v>
      </c>
      <c r="AT10" s="18">
        <f t="shared" si="2"/>
        <v>0</v>
      </c>
      <c r="AU10" s="18">
        <f t="shared" si="2"/>
        <v>0</v>
      </c>
      <c r="AV10" s="18">
        <f t="shared" si="2"/>
        <v>0</v>
      </c>
      <c r="AW10" s="18">
        <f t="shared" si="2"/>
        <v>1</v>
      </c>
      <c r="AX10" s="18">
        <f t="shared" si="2"/>
        <v>0</v>
      </c>
      <c r="AY10" s="18">
        <f t="shared" si="2"/>
        <v>0</v>
      </c>
      <c r="BA10" s="27">
        <f t="shared" si="7"/>
        <v>0</v>
      </c>
      <c r="BB10" s="27">
        <f t="shared" si="3"/>
        <v>0</v>
      </c>
      <c r="BC10" s="27">
        <f t="shared" si="3"/>
        <v>0</v>
      </c>
      <c r="BD10" s="27">
        <f t="shared" si="3"/>
        <v>0</v>
      </c>
      <c r="BE10" s="27">
        <f t="shared" si="3"/>
        <v>0</v>
      </c>
      <c r="BF10" s="27">
        <f t="shared" si="3"/>
        <v>0</v>
      </c>
      <c r="BG10" s="27">
        <f t="shared" si="3"/>
        <v>0</v>
      </c>
      <c r="BH10" s="27">
        <f t="shared" si="3"/>
        <v>0</v>
      </c>
      <c r="BI10" s="27">
        <f t="shared" si="8"/>
        <v>0</v>
      </c>
      <c r="BJ10" s="27">
        <f t="shared" si="9"/>
        <v>0</v>
      </c>
    </row>
    <row r="11" spans="1:62" ht="22.5">
      <c r="A11" s="5" t="s">
        <v>21</v>
      </c>
      <c r="B11" s="7"/>
      <c r="C11" s="25"/>
      <c r="D11" s="25"/>
      <c r="E11" s="25"/>
      <c r="F11" s="25"/>
      <c r="G11" s="25">
        <v>0</v>
      </c>
      <c r="H11" s="25">
        <v>1</v>
      </c>
      <c r="I11" s="28"/>
      <c r="J11" s="28"/>
      <c r="K11" s="29"/>
      <c r="L11" s="25"/>
      <c r="M11" s="25"/>
      <c r="N11" s="25"/>
      <c r="O11" s="25"/>
      <c r="P11" s="25">
        <v>0</v>
      </c>
      <c r="Q11" s="25">
        <v>1</v>
      </c>
      <c r="R11" s="28"/>
      <c r="S11" s="28"/>
      <c r="U11" s="9">
        <f t="shared" si="0"/>
        <v>1</v>
      </c>
      <c r="V11" s="1">
        <f t="shared" si="4"/>
        <v>3.3333333333333333E-2</v>
      </c>
      <c r="W11" s="11">
        <f t="shared" si="5"/>
        <v>0</v>
      </c>
      <c r="X11" s="12">
        <v>1</v>
      </c>
      <c r="Y11" s="10">
        <f t="shared" si="6"/>
        <v>3.3333333333333333E-2</v>
      </c>
      <c r="Z11" s="18"/>
      <c r="AA11" s="18"/>
      <c r="AB11" s="18"/>
      <c r="AC11" s="18"/>
      <c r="AD11" s="18">
        <v>0</v>
      </c>
      <c r="AE11" s="18">
        <v>1</v>
      </c>
      <c r="AF11" s="18"/>
      <c r="AG11" s="18"/>
      <c r="AH11" s="12"/>
      <c r="AI11" s="18">
        <f t="shared" si="1"/>
        <v>0</v>
      </c>
      <c r="AJ11" s="18">
        <f t="shared" si="1"/>
        <v>0</v>
      </c>
      <c r="AK11" s="18">
        <f t="shared" si="1"/>
        <v>0</v>
      </c>
      <c r="AL11" s="18">
        <f t="shared" si="1"/>
        <v>0</v>
      </c>
      <c r="AM11" s="18">
        <f t="shared" si="1"/>
        <v>0</v>
      </c>
      <c r="AN11" s="18">
        <f t="shared" si="1"/>
        <v>1</v>
      </c>
      <c r="AO11" s="18">
        <f t="shared" si="1"/>
        <v>0</v>
      </c>
      <c r="AP11" s="18">
        <f t="shared" si="1"/>
        <v>0</v>
      </c>
      <c r="AQ11" s="9"/>
      <c r="AR11" s="18">
        <f t="shared" si="2"/>
        <v>0</v>
      </c>
      <c r="AS11" s="18">
        <f t="shared" si="2"/>
        <v>0</v>
      </c>
      <c r="AT11" s="18">
        <f t="shared" si="2"/>
        <v>0</v>
      </c>
      <c r="AU11" s="18">
        <f t="shared" si="2"/>
        <v>0</v>
      </c>
      <c r="AV11" s="18">
        <f t="shared" si="2"/>
        <v>0</v>
      </c>
      <c r="AW11" s="18">
        <f t="shared" si="2"/>
        <v>1</v>
      </c>
      <c r="AX11" s="18">
        <f t="shared" si="2"/>
        <v>0</v>
      </c>
      <c r="AY11" s="18">
        <f t="shared" si="2"/>
        <v>0</v>
      </c>
      <c r="BA11" s="27">
        <f t="shared" si="7"/>
        <v>0</v>
      </c>
      <c r="BB11" s="27">
        <f t="shared" si="3"/>
        <v>0</v>
      </c>
      <c r="BC11" s="27">
        <f t="shared" si="3"/>
        <v>0</v>
      </c>
      <c r="BD11" s="27">
        <f t="shared" si="3"/>
        <v>0</v>
      </c>
      <c r="BE11" s="27">
        <f t="shared" si="3"/>
        <v>0</v>
      </c>
      <c r="BF11" s="27">
        <f t="shared" si="3"/>
        <v>0</v>
      </c>
      <c r="BG11" s="27">
        <f t="shared" si="3"/>
        <v>0</v>
      </c>
      <c r="BH11" s="27">
        <f t="shared" si="3"/>
        <v>0</v>
      </c>
      <c r="BI11" s="27">
        <f t="shared" si="8"/>
        <v>0</v>
      </c>
      <c r="BJ11" s="27">
        <f t="shared" si="9"/>
        <v>0</v>
      </c>
    </row>
    <row r="12" spans="1:62" ht="22.5">
      <c r="A12" s="5" t="s">
        <v>2</v>
      </c>
      <c r="B12" s="7"/>
      <c r="C12" s="25"/>
      <c r="D12" s="25"/>
      <c r="E12" s="25"/>
      <c r="F12" s="25"/>
      <c r="G12" s="25">
        <v>0</v>
      </c>
      <c r="H12" s="25">
        <v>1</v>
      </c>
      <c r="I12" s="28"/>
      <c r="J12" s="28"/>
      <c r="K12" s="29"/>
      <c r="L12" s="25"/>
      <c r="M12" s="25"/>
      <c r="N12" s="25"/>
      <c r="O12" s="25"/>
      <c r="P12" s="25">
        <v>0</v>
      </c>
      <c r="Q12" s="25">
        <v>1</v>
      </c>
      <c r="R12" s="28"/>
      <c r="S12" s="28"/>
      <c r="U12" s="9">
        <f t="shared" si="0"/>
        <v>1</v>
      </c>
      <c r="V12" s="1">
        <f t="shared" si="4"/>
        <v>3.3333333333333333E-2</v>
      </c>
      <c r="W12" s="11">
        <f t="shared" si="5"/>
        <v>0</v>
      </c>
      <c r="X12" s="12">
        <v>1</v>
      </c>
      <c r="Y12" s="10">
        <f t="shared" si="6"/>
        <v>3.3333333333333333E-2</v>
      </c>
      <c r="Z12" s="18"/>
      <c r="AA12" s="18"/>
      <c r="AB12" s="18"/>
      <c r="AC12" s="18"/>
      <c r="AD12" s="18">
        <v>0</v>
      </c>
      <c r="AE12" s="18">
        <v>1</v>
      </c>
      <c r="AF12" s="18"/>
      <c r="AG12" s="18"/>
      <c r="AH12" s="12"/>
      <c r="AI12" s="18">
        <f t="shared" si="1"/>
        <v>0</v>
      </c>
      <c r="AJ12" s="18">
        <f t="shared" si="1"/>
        <v>0</v>
      </c>
      <c r="AK12" s="18">
        <f t="shared" si="1"/>
        <v>0</v>
      </c>
      <c r="AL12" s="18">
        <f t="shared" si="1"/>
        <v>0</v>
      </c>
      <c r="AM12" s="18">
        <f t="shared" si="1"/>
        <v>0</v>
      </c>
      <c r="AN12" s="18">
        <f t="shared" si="1"/>
        <v>1</v>
      </c>
      <c r="AO12" s="18">
        <f t="shared" si="1"/>
        <v>0</v>
      </c>
      <c r="AP12" s="18">
        <f t="shared" si="1"/>
        <v>0</v>
      </c>
      <c r="AQ12" s="9"/>
      <c r="AR12" s="18">
        <f t="shared" si="2"/>
        <v>0</v>
      </c>
      <c r="AS12" s="18">
        <f t="shared" si="2"/>
        <v>0</v>
      </c>
      <c r="AT12" s="18">
        <f t="shared" si="2"/>
        <v>0</v>
      </c>
      <c r="AU12" s="18">
        <f t="shared" si="2"/>
        <v>0</v>
      </c>
      <c r="AV12" s="18">
        <f t="shared" si="2"/>
        <v>0</v>
      </c>
      <c r="AW12" s="18">
        <f t="shared" si="2"/>
        <v>1</v>
      </c>
      <c r="AX12" s="18">
        <f t="shared" si="2"/>
        <v>0</v>
      </c>
      <c r="AY12" s="18">
        <f t="shared" si="2"/>
        <v>0</v>
      </c>
      <c r="BA12" s="27">
        <f t="shared" si="7"/>
        <v>0</v>
      </c>
      <c r="BB12" s="27">
        <f t="shared" si="3"/>
        <v>0</v>
      </c>
      <c r="BC12" s="27">
        <f t="shared" si="3"/>
        <v>0</v>
      </c>
      <c r="BD12" s="27">
        <f t="shared" si="3"/>
        <v>0</v>
      </c>
      <c r="BE12" s="27">
        <f t="shared" si="3"/>
        <v>0</v>
      </c>
      <c r="BF12" s="27">
        <f t="shared" si="3"/>
        <v>0</v>
      </c>
      <c r="BG12" s="27">
        <f t="shared" si="3"/>
        <v>0</v>
      </c>
      <c r="BH12" s="27">
        <f t="shared" si="3"/>
        <v>0</v>
      </c>
      <c r="BI12" s="27">
        <f t="shared" si="8"/>
        <v>0</v>
      </c>
      <c r="BJ12" s="27">
        <f t="shared" si="9"/>
        <v>0</v>
      </c>
    </row>
    <row r="13" spans="1:62" ht="22.5">
      <c r="A13" s="5" t="s">
        <v>3</v>
      </c>
      <c r="B13" s="7"/>
      <c r="C13" s="25"/>
      <c r="D13" s="25"/>
      <c r="E13" s="25"/>
      <c r="F13" s="25"/>
      <c r="G13" s="25">
        <v>1</v>
      </c>
      <c r="H13" s="25">
        <v>0</v>
      </c>
      <c r="I13" s="28"/>
      <c r="J13" s="28"/>
      <c r="K13" s="29"/>
      <c r="L13" s="25"/>
      <c r="M13" s="25"/>
      <c r="N13" s="25"/>
      <c r="O13" s="25"/>
      <c r="P13" s="25">
        <v>0</v>
      </c>
      <c r="Q13" s="25">
        <v>1</v>
      </c>
      <c r="R13" s="28"/>
      <c r="S13" s="28"/>
      <c r="U13" s="9">
        <f t="shared" si="0"/>
        <v>0</v>
      </c>
      <c r="V13" s="1">
        <f>(1-W13)*Y13</f>
        <v>0</v>
      </c>
      <c r="W13" s="11">
        <f t="shared" si="5"/>
        <v>1</v>
      </c>
      <c r="X13" s="12">
        <v>3</v>
      </c>
      <c r="Y13" s="10">
        <f t="shared" si="6"/>
        <v>0.1</v>
      </c>
      <c r="Z13" s="18"/>
      <c r="AA13" s="18"/>
      <c r="AB13" s="18"/>
      <c r="AC13" s="18"/>
      <c r="AD13" s="18">
        <v>0</v>
      </c>
      <c r="AE13" s="18">
        <v>1</v>
      </c>
      <c r="AF13" s="18"/>
      <c r="AG13" s="18"/>
      <c r="AH13" s="12"/>
      <c r="AI13" s="18">
        <f t="shared" si="1"/>
        <v>0</v>
      </c>
      <c r="AJ13" s="18">
        <f t="shared" si="1"/>
        <v>0</v>
      </c>
      <c r="AK13" s="18">
        <f t="shared" si="1"/>
        <v>0</v>
      </c>
      <c r="AL13" s="18">
        <f t="shared" si="1"/>
        <v>0</v>
      </c>
      <c r="AM13" s="18">
        <f t="shared" si="1"/>
        <v>0</v>
      </c>
      <c r="AN13" s="18">
        <f t="shared" si="1"/>
        <v>0</v>
      </c>
      <c r="AO13" s="18">
        <f t="shared" si="1"/>
        <v>0</v>
      </c>
      <c r="AP13" s="18">
        <f t="shared" si="1"/>
        <v>0</v>
      </c>
      <c r="AQ13" s="9"/>
      <c r="AR13" s="18">
        <f t="shared" si="2"/>
        <v>0</v>
      </c>
      <c r="AS13" s="18">
        <f t="shared" si="2"/>
        <v>0</v>
      </c>
      <c r="AT13" s="18">
        <f t="shared" si="2"/>
        <v>0</v>
      </c>
      <c r="AU13" s="18">
        <f t="shared" si="2"/>
        <v>0</v>
      </c>
      <c r="AV13" s="18">
        <f t="shared" si="2"/>
        <v>0</v>
      </c>
      <c r="AW13" s="18">
        <f t="shared" si="2"/>
        <v>1</v>
      </c>
      <c r="AX13" s="18">
        <f t="shared" si="2"/>
        <v>0</v>
      </c>
      <c r="AY13" s="18">
        <f t="shared" si="2"/>
        <v>0</v>
      </c>
      <c r="BA13" s="27">
        <f t="shared" si="7"/>
        <v>0</v>
      </c>
      <c r="BB13" s="27">
        <f t="shared" si="3"/>
        <v>0</v>
      </c>
      <c r="BC13" s="27">
        <f t="shared" si="3"/>
        <v>0</v>
      </c>
      <c r="BD13" s="27">
        <f t="shared" si="3"/>
        <v>0</v>
      </c>
      <c r="BE13" s="27">
        <f t="shared" si="3"/>
        <v>0</v>
      </c>
      <c r="BF13" s="27">
        <f t="shared" si="3"/>
        <v>-1</v>
      </c>
      <c r="BG13" s="27">
        <f t="shared" si="3"/>
        <v>0</v>
      </c>
      <c r="BH13" s="27">
        <f t="shared" si="3"/>
        <v>0</v>
      </c>
      <c r="BI13" s="27">
        <f t="shared" si="8"/>
        <v>1</v>
      </c>
      <c r="BJ13" s="27">
        <f t="shared" si="9"/>
        <v>0.1</v>
      </c>
    </row>
    <row r="14" spans="1:62" ht="22.5">
      <c r="A14" s="8" t="s">
        <v>4</v>
      </c>
      <c r="B14" s="7"/>
      <c r="C14" s="25"/>
      <c r="D14" s="25"/>
      <c r="E14" s="25"/>
      <c r="F14" s="25"/>
      <c r="G14" s="25"/>
      <c r="H14" s="25"/>
      <c r="I14" s="25">
        <v>0</v>
      </c>
      <c r="J14" s="25">
        <v>1</v>
      </c>
      <c r="K14" s="29"/>
      <c r="L14" s="25"/>
      <c r="M14" s="25"/>
      <c r="N14" s="25"/>
      <c r="O14" s="25"/>
      <c r="P14" s="25"/>
      <c r="Q14" s="25"/>
      <c r="R14" s="25">
        <v>0</v>
      </c>
      <c r="S14" s="25">
        <v>1</v>
      </c>
      <c r="U14" s="9">
        <f t="shared" si="0"/>
        <v>1</v>
      </c>
      <c r="V14" s="1">
        <f t="shared" si="4"/>
        <v>3.3333333333333333E-2</v>
      </c>
      <c r="W14" s="11">
        <f t="shared" si="5"/>
        <v>0</v>
      </c>
      <c r="X14" s="12">
        <v>1</v>
      </c>
      <c r="Y14" s="10">
        <f t="shared" si="6"/>
        <v>3.3333333333333333E-2</v>
      </c>
      <c r="Z14" s="18"/>
      <c r="AA14" s="18"/>
      <c r="AB14" s="18"/>
      <c r="AC14" s="18"/>
      <c r="AD14" s="18"/>
      <c r="AE14" s="18"/>
      <c r="AF14" s="18">
        <v>0</v>
      </c>
      <c r="AG14" s="18">
        <v>1</v>
      </c>
      <c r="AH14" s="12"/>
      <c r="AI14" s="18">
        <f t="shared" si="1"/>
        <v>0</v>
      </c>
      <c r="AJ14" s="18">
        <f t="shared" si="1"/>
        <v>0</v>
      </c>
      <c r="AK14" s="18">
        <f t="shared" si="1"/>
        <v>0</v>
      </c>
      <c r="AL14" s="18">
        <f t="shared" si="1"/>
        <v>0</v>
      </c>
      <c r="AM14" s="18">
        <f t="shared" si="1"/>
        <v>0</v>
      </c>
      <c r="AN14" s="18">
        <f t="shared" si="1"/>
        <v>0</v>
      </c>
      <c r="AO14" s="18">
        <f t="shared" si="1"/>
        <v>0</v>
      </c>
      <c r="AP14" s="18">
        <f t="shared" si="1"/>
        <v>1</v>
      </c>
      <c r="AQ14" s="9"/>
      <c r="AR14" s="18">
        <f t="shared" si="2"/>
        <v>0</v>
      </c>
      <c r="AS14" s="18">
        <f t="shared" si="2"/>
        <v>0</v>
      </c>
      <c r="AT14" s="18">
        <f t="shared" si="2"/>
        <v>0</v>
      </c>
      <c r="AU14" s="18">
        <f t="shared" si="2"/>
        <v>0</v>
      </c>
      <c r="AV14" s="18">
        <f t="shared" si="2"/>
        <v>0</v>
      </c>
      <c r="AW14" s="18">
        <f t="shared" si="2"/>
        <v>0</v>
      </c>
      <c r="AX14" s="18">
        <f t="shared" si="2"/>
        <v>0</v>
      </c>
      <c r="AY14" s="18">
        <f t="shared" si="2"/>
        <v>1</v>
      </c>
      <c r="BA14" s="27">
        <f t="shared" si="7"/>
        <v>0</v>
      </c>
      <c r="BB14" s="27">
        <f t="shared" si="3"/>
        <v>0</v>
      </c>
      <c r="BC14" s="27">
        <f t="shared" si="3"/>
        <v>0</v>
      </c>
      <c r="BD14" s="27">
        <f t="shared" si="3"/>
        <v>0</v>
      </c>
      <c r="BE14" s="27">
        <f t="shared" si="3"/>
        <v>0</v>
      </c>
      <c r="BF14" s="27">
        <f t="shared" si="3"/>
        <v>0</v>
      </c>
      <c r="BG14" s="27">
        <f t="shared" si="3"/>
        <v>0</v>
      </c>
      <c r="BH14" s="27">
        <f t="shared" si="3"/>
        <v>0</v>
      </c>
      <c r="BI14" s="27">
        <f t="shared" si="8"/>
        <v>0</v>
      </c>
      <c r="BJ14" s="27">
        <f t="shared" si="9"/>
        <v>0</v>
      </c>
    </row>
    <row r="15" spans="1:62" ht="22.5">
      <c r="A15" s="8" t="s">
        <v>22</v>
      </c>
      <c r="B15" s="7"/>
      <c r="C15" s="25"/>
      <c r="D15" s="25"/>
      <c r="E15" s="25"/>
      <c r="F15" s="25"/>
      <c r="G15" s="25"/>
      <c r="H15" s="25"/>
      <c r="I15" s="25">
        <v>0</v>
      </c>
      <c r="J15" s="25">
        <v>1</v>
      </c>
      <c r="K15" s="29"/>
      <c r="L15" s="25"/>
      <c r="M15" s="25"/>
      <c r="N15" s="25"/>
      <c r="O15" s="25"/>
      <c r="P15" s="25"/>
      <c r="Q15" s="25"/>
      <c r="R15" s="25">
        <v>0</v>
      </c>
      <c r="S15" s="25">
        <v>1</v>
      </c>
      <c r="U15" s="9">
        <f t="shared" si="0"/>
        <v>1</v>
      </c>
      <c r="V15" s="1">
        <f t="shared" si="4"/>
        <v>3.3333333333333333E-2</v>
      </c>
      <c r="W15" s="11">
        <f t="shared" si="5"/>
        <v>0</v>
      </c>
      <c r="X15" s="12">
        <v>1</v>
      </c>
      <c r="Y15" s="10">
        <f t="shared" si="6"/>
        <v>3.3333333333333333E-2</v>
      </c>
      <c r="Z15" s="18"/>
      <c r="AA15" s="18"/>
      <c r="AB15" s="18"/>
      <c r="AC15" s="18"/>
      <c r="AD15" s="18"/>
      <c r="AE15" s="18"/>
      <c r="AF15" s="18">
        <v>0</v>
      </c>
      <c r="AG15" s="18">
        <v>1</v>
      </c>
      <c r="AH15" s="12"/>
      <c r="AI15" s="18">
        <f t="shared" si="1"/>
        <v>0</v>
      </c>
      <c r="AJ15" s="18">
        <f t="shared" si="1"/>
        <v>0</v>
      </c>
      <c r="AK15" s="18">
        <f t="shared" si="1"/>
        <v>0</v>
      </c>
      <c r="AL15" s="18">
        <f t="shared" si="1"/>
        <v>0</v>
      </c>
      <c r="AM15" s="18">
        <f t="shared" si="1"/>
        <v>0</v>
      </c>
      <c r="AN15" s="18">
        <f t="shared" si="1"/>
        <v>0</v>
      </c>
      <c r="AO15" s="18">
        <f t="shared" si="1"/>
        <v>0</v>
      </c>
      <c r="AP15" s="18">
        <f t="shared" si="1"/>
        <v>1</v>
      </c>
      <c r="AQ15" s="9"/>
      <c r="AR15" s="18">
        <f t="shared" si="2"/>
        <v>0</v>
      </c>
      <c r="AS15" s="18">
        <f t="shared" si="2"/>
        <v>0</v>
      </c>
      <c r="AT15" s="18">
        <f t="shared" si="2"/>
        <v>0</v>
      </c>
      <c r="AU15" s="18">
        <f t="shared" si="2"/>
        <v>0</v>
      </c>
      <c r="AV15" s="18">
        <f t="shared" si="2"/>
        <v>0</v>
      </c>
      <c r="AW15" s="18">
        <f t="shared" si="2"/>
        <v>0</v>
      </c>
      <c r="AX15" s="18">
        <f t="shared" si="2"/>
        <v>0</v>
      </c>
      <c r="AY15" s="18">
        <f t="shared" si="2"/>
        <v>1</v>
      </c>
      <c r="BA15" s="27">
        <f t="shared" si="7"/>
        <v>0</v>
      </c>
      <c r="BB15" s="27">
        <f t="shared" si="3"/>
        <v>0</v>
      </c>
      <c r="BC15" s="27">
        <f t="shared" si="3"/>
        <v>0</v>
      </c>
      <c r="BD15" s="27">
        <f t="shared" si="3"/>
        <v>0</v>
      </c>
      <c r="BE15" s="27">
        <f t="shared" si="3"/>
        <v>0</v>
      </c>
      <c r="BF15" s="27">
        <f t="shared" si="3"/>
        <v>0</v>
      </c>
      <c r="BG15" s="27">
        <f t="shared" si="3"/>
        <v>0</v>
      </c>
      <c r="BH15" s="27">
        <f t="shared" si="3"/>
        <v>0</v>
      </c>
      <c r="BI15" s="27">
        <f t="shared" si="8"/>
        <v>0</v>
      </c>
      <c r="BJ15" s="27">
        <f t="shared" si="9"/>
        <v>0</v>
      </c>
    </row>
    <row r="16" spans="1:62" ht="22.5">
      <c r="A16" s="8" t="s">
        <v>23</v>
      </c>
      <c r="B16" s="7"/>
      <c r="C16" s="25"/>
      <c r="D16" s="25"/>
      <c r="E16" s="25"/>
      <c r="F16" s="25"/>
      <c r="G16" s="25"/>
      <c r="H16" s="25"/>
      <c r="I16" s="25">
        <v>0</v>
      </c>
      <c r="J16" s="25">
        <v>1</v>
      </c>
      <c r="K16" s="29"/>
      <c r="L16" s="25"/>
      <c r="M16" s="25"/>
      <c r="N16" s="25"/>
      <c r="O16" s="25"/>
      <c r="P16" s="25"/>
      <c r="Q16" s="25"/>
      <c r="R16" s="25">
        <v>0</v>
      </c>
      <c r="S16" s="25">
        <v>1</v>
      </c>
      <c r="U16" s="9">
        <f>IF(MATCH(1,C16:J16,0)=MATCH(1,L16:S16,0),1,0)</f>
        <v>1</v>
      </c>
      <c r="V16" s="1">
        <f t="shared" si="4"/>
        <v>3.3333333333333333E-2</v>
      </c>
      <c r="W16" s="11">
        <f>BI16</f>
        <v>0</v>
      </c>
      <c r="X16" s="12">
        <v>1</v>
      </c>
      <c r="Y16" s="10">
        <f t="shared" si="6"/>
        <v>3.3333333333333333E-2</v>
      </c>
      <c r="Z16" s="18"/>
      <c r="AA16" s="18"/>
      <c r="AB16" s="18"/>
      <c r="AC16" s="18"/>
      <c r="AD16" s="18"/>
      <c r="AE16" s="18"/>
      <c r="AF16" s="18">
        <v>0</v>
      </c>
      <c r="AG16" s="18">
        <v>1</v>
      </c>
      <c r="AI16" s="18">
        <f t="shared" si="1"/>
        <v>0</v>
      </c>
      <c r="AJ16" s="18">
        <f t="shared" si="1"/>
        <v>0</v>
      </c>
      <c r="AK16" s="18">
        <f t="shared" si="1"/>
        <v>0</v>
      </c>
      <c r="AL16" s="18">
        <f t="shared" si="1"/>
        <v>0</v>
      </c>
      <c r="AM16" s="18">
        <f t="shared" si="1"/>
        <v>0</v>
      </c>
      <c r="AN16" s="18">
        <f t="shared" si="1"/>
        <v>0</v>
      </c>
      <c r="AO16" s="18">
        <f t="shared" si="1"/>
        <v>0</v>
      </c>
      <c r="AP16" s="18">
        <f t="shared" si="1"/>
        <v>1</v>
      </c>
      <c r="AQ16" s="9" t="s">
        <v>24</v>
      </c>
      <c r="AR16" s="18">
        <f t="shared" si="2"/>
        <v>0</v>
      </c>
      <c r="AS16" s="18">
        <f t="shared" si="2"/>
        <v>0</v>
      </c>
      <c r="AT16" s="18">
        <f t="shared" si="2"/>
        <v>0</v>
      </c>
      <c r="AU16" s="18">
        <f t="shared" si="2"/>
        <v>0</v>
      </c>
      <c r="AV16" s="18">
        <f t="shared" si="2"/>
        <v>0</v>
      </c>
      <c r="AW16" s="18">
        <f t="shared" si="2"/>
        <v>0</v>
      </c>
      <c r="AX16" s="18">
        <f t="shared" si="2"/>
        <v>0</v>
      </c>
      <c r="AY16" s="18">
        <f t="shared" si="2"/>
        <v>1</v>
      </c>
      <c r="BA16" s="27">
        <f t="shared" si="7"/>
        <v>0</v>
      </c>
      <c r="BB16" s="27">
        <f t="shared" si="3"/>
        <v>0</v>
      </c>
      <c r="BC16" s="27">
        <f t="shared" si="3"/>
        <v>0</v>
      </c>
      <c r="BD16" s="27">
        <f t="shared" si="3"/>
        <v>0</v>
      </c>
      <c r="BE16" s="27">
        <f t="shared" si="3"/>
        <v>0</v>
      </c>
      <c r="BF16" s="27">
        <f t="shared" si="3"/>
        <v>0</v>
      </c>
      <c r="BG16" s="27">
        <f t="shared" si="3"/>
        <v>0</v>
      </c>
      <c r="BH16" s="27">
        <f t="shared" si="3"/>
        <v>0</v>
      </c>
      <c r="BI16" s="27">
        <f t="shared" si="8"/>
        <v>0</v>
      </c>
      <c r="BJ16" s="27">
        <f t="shared" si="9"/>
        <v>0</v>
      </c>
    </row>
    <row r="17" spans="1:62" ht="22.5">
      <c r="A17" s="14" t="s">
        <v>5</v>
      </c>
      <c r="B17" s="7"/>
      <c r="C17" s="25"/>
      <c r="D17" s="25"/>
      <c r="E17" s="25"/>
      <c r="F17" s="25"/>
      <c r="G17" s="25"/>
      <c r="H17" s="25"/>
      <c r="I17" s="25">
        <v>1</v>
      </c>
      <c r="J17" s="25">
        <v>0</v>
      </c>
      <c r="K17" s="29"/>
      <c r="L17" s="25"/>
      <c r="M17" s="25"/>
      <c r="N17" s="25"/>
      <c r="O17" s="25"/>
      <c r="P17" s="25"/>
      <c r="Q17" s="25"/>
      <c r="R17" s="25">
        <v>1</v>
      </c>
      <c r="S17" s="25">
        <v>0</v>
      </c>
      <c r="T17" s="3"/>
      <c r="U17" s="9">
        <f t="shared" si="0"/>
        <v>1</v>
      </c>
      <c r="V17" s="1">
        <f t="shared" si="4"/>
        <v>0.16666666666666666</v>
      </c>
      <c r="W17" s="11">
        <f t="shared" si="5"/>
        <v>0</v>
      </c>
      <c r="X17" s="12">
        <v>5</v>
      </c>
      <c r="Y17" s="10">
        <f t="shared" si="6"/>
        <v>0.16666666666666666</v>
      </c>
      <c r="Z17" s="18"/>
      <c r="AA17" s="18"/>
      <c r="AB17" s="18"/>
      <c r="AC17" s="18"/>
      <c r="AD17" s="18"/>
      <c r="AE17" s="18"/>
      <c r="AF17" s="18">
        <v>0</v>
      </c>
      <c r="AG17" s="18">
        <v>1</v>
      </c>
      <c r="AH17" s="20"/>
      <c r="AI17" s="18">
        <f t="shared" si="1"/>
        <v>0</v>
      </c>
      <c r="AJ17" s="18">
        <f t="shared" si="1"/>
        <v>0</v>
      </c>
      <c r="AK17" s="18">
        <f t="shared" si="1"/>
        <v>0</v>
      </c>
      <c r="AL17" s="18">
        <f t="shared" si="1"/>
        <v>0</v>
      </c>
      <c r="AM17" s="18">
        <f t="shared" si="1"/>
        <v>0</v>
      </c>
      <c r="AN17" s="18">
        <f t="shared" si="1"/>
        <v>0</v>
      </c>
      <c r="AO17" s="18">
        <f t="shared" si="1"/>
        <v>0</v>
      </c>
      <c r="AP17" s="18">
        <f t="shared" si="1"/>
        <v>0</v>
      </c>
      <c r="AQ17" s="9"/>
      <c r="AR17" s="18">
        <f t="shared" si="2"/>
        <v>0</v>
      </c>
      <c r="AS17" s="18">
        <f t="shared" si="2"/>
        <v>0</v>
      </c>
      <c r="AT17" s="18">
        <f t="shared" si="2"/>
        <v>0</v>
      </c>
      <c r="AU17" s="18">
        <f t="shared" si="2"/>
        <v>0</v>
      </c>
      <c r="AV17" s="18">
        <f>P17*AD17</f>
        <v>0</v>
      </c>
      <c r="AW17" s="18">
        <f t="shared" si="2"/>
        <v>0</v>
      </c>
      <c r="AX17" s="18">
        <f t="shared" si="2"/>
        <v>0</v>
      </c>
      <c r="AY17" s="18">
        <f t="shared" si="2"/>
        <v>0</v>
      </c>
      <c r="BA17" s="27">
        <f>(AI17-AR17)</f>
        <v>0</v>
      </c>
      <c r="BB17" s="27">
        <f t="shared" si="3"/>
        <v>0</v>
      </c>
      <c r="BC17" s="27">
        <f t="shared" si="3"/>
        <v>0</v>
      </c>
      <c r="BD17" s="27">
        <f t="shared" si="3"/>
        <v>0</v>
      </c>
      <c r="BE17" s="27">
        <f t="shared" si="3"/>
        <v>0</v>
      </c>
      <c r="BF17" s="27">
        <f t="shared" si="3"/>
        <v>0</v>
      </c>
      <c r="BG17" s="27">
        <f t="shared" si="3"/>
        <v>0</v>
      </c>
      <c r="BH17" s="27">
        <f t="shared" si="3"/>
        <v>0</v>
      </c>
      <c r="BI17" s="27">
        <f t="shared" si="8"/>
        <v>0</v>
      </c>
      <c r="BJ17" s="27">
        <f t="shared" si="9"/>
        <v>0</v>
      </c>
    </row>
    <row r="18" spans="1:62">
      <c r="C18" s="30"/>
      <c r="D18" s="30"/>
      <c r="E18" s="30"/>
      <c r="F18" s="30"/>
      <c r="G18" s="30"/>
      <c r="H18" s="30"/>
      <c r="I18" s="30"/>
      <c r="J18" s="30"/>
      <c r="K18" s="29"/>
      <c r="L18" s="30"/>
      <c r="M18" s="30"/>
      <c r="N18" s="30"/>
      <c r="O18" s="30"/>
      <c r="P18" s="30"/>
      <c r="Q18" s="30"/>
      <c r="R18" s="30"/>
      <c r="S18" s="30"/>
      <c r="T18" s="3">
        <f>SUM(V19:V34)</f>
        <v>0.96666666666666656</v>
      </c>
      <c r="U18" s="12" t="e">
        <f t="shared" si="0"/>
        <v>#N/A</v>
      </c>
      <c r="W18">
        <v>2</v>
      </c>
      <c r="Z18" s="20"/>
      <c r="AA18" s="20"/>
      <c r="AB18" s="20"/>
      <c r="AC18" s="20"/>
      <c r="AD18" s="20"/>
      <c r="AE18" s="20"/>
      <c r="AF18" s="20"/>
      <c r="AG18" s="20"/>
      <c r="AH18" s="20"/>
      <c r="AI18" s="11">
        <f t="shared" si="1"/>
        <v>0</v>
      </c>
      <c r="AJ18" s="11">
        <f t="shared" si="1"/>
        <v>0</v>
      </c>
      <c r="AK18" s="11">
        <f t="shared" si="1"/>
        <v>0</v>
      </c>
      <c r="AL18" s="11">
        <f t="shared" si="1"/>
        <v>0</v>
      </c>
      <c r="AM18" s="11">
        <f t="shared" si="1"/>
        <v>0</v>
      </c>
      <c r="AN18" s="11">
        <f t="shared" si="1"/>
        <v>0</v>
      </c>
      <c r="AR18" s="11">
        <f t="shared" si="2"/>
        <v>0</v>
      </c>
      <c r="AS18" s="11">
        <f t="shared" si="2"/>
        <v>0</v>
      </c>
      <c r="AT18" s="11">
        <f t="shared" si="2"/>
        <v>0</v>
      </c>
      <c r="AU18" s="11">
        <f t="shared" si="2"/>
        <v>0</v>
      </c>
      <c r="AV18" s="11">
        <f>P18*AD18</f>
        <v>0</v>
      </c>
      <c r="AW18" s="11">
        <f t="shared" si="2"/>
        <v>0</v>
      </c>
      <c r="BA18" s="27">
        <f>(AI18-AR18)</f>
        <v>0</v>
      </c>
      <c r="BB18" s="27">
        <f t="shared" si="3"/>
        <v>0</v>
      </c>
      <c r="BC18" s="27">
        <f t="shared" si="3"/>
        <v>0</v>
      </c>
      <c r="BD18" s="27">
        <f t="shared" si="3"/>
        <v>0</v>
      </c>
      <c r="BE18" s="27">
        <f t="shared" si="3"/>
        <v>0</v>
      </c>
      <c r="BF18" s="27">
        <f t="shared" si="3"/>
        <v>0</v>
      </c>
    </row>
    <row r="19" spans="1:62" ht="22.5">
      <c r="A19" s="6" t="s">
        <v>10</v>
      </c>
      <c r="B19" s="7"/>
      <c r="C19" s="25">
        <v>0</v>
      </c>
      <c r="D19" s="28">
        <v>1</v>
      </c>
      <c r="E19" s="28"/>
      <c r="F19" s="28"/>
      <c r="G19" s="28"/>
      <c r="H19" s="28"/>
      <c r="I19" s="28"/>
      <c r="J19" s="28"/>
      <c r="K19" s="29"/>
      <c r="L19" s="25">
        <v>0</v>
      </c>
      <c r="M19" s="28">
        <v>1</v>
      </c>
      <c r="N19" s="28"/>
      <c r="O19" s="28"/>
      <c r="P19" s="28"/>
      <c r="Q19" s="28"/>
      <c r="R19" s="28"/>
      <c r="S19" s="28"/>
      <c r="U19" s="9">
        <f t="shared" ref="U19:U32" si="10">IF(MATCH(1,C19:J19,0)=MATCH(1,L19:S19,0),1,0)</f>
        <v>1</v>
      </c>
      <c r="V19" s="1">
        <f>(1-W19)*Y19</f>
        <v>3.3333333333333333E-2</v>
      </c>
      <c r="W19" s="11">
        <f>BI19</f>
        <v>0</v>
      </c>
      <c r="X19" s="9">
        <v>1</v>
      </c>
      <c r="Y19" s="10">
        <f>X19/SUM($X$2:$X$17)</f>
        <v>3.3333333333333333E-2</v>
      </c>
      <c r="Z19" s="18">
        <v>0</v>
      </c>
      <c r="AA19" s="18">
        <v>1</v>
      </c>
      <c r="AB19" s="18"/>
      <c r="AC19" s="18"/>
      <c r="AD19" s="18"/>
      <c r="AE19" s="18"/>
      <c r="AF19" s="18"/>
      <c r="AG19" s="18"/>
      <c r="AH19" s="12"/>
      <c r="AI19" s="18">
        <f t="shared" ref="AI19:AI35" si="11">C19*Z19</f>
        <v>0</v>
      </c>
      <c r="AJ19" s="18">
        <f t="shared" ref="AJ19:AJ35" si="12">D19*AA19</f>
        <v>1</v>
      </c>
      <c r="AK19" s="18">
        <f t="shared" ref="AK19:AK35" si="13">E19*AB19</f>
        <v>0</v>
      </c>
      <c r="AL19" s="18">
        <f t="shared" ref="AL19:AL35" si="14">F19*AC19</f>
        <v>0</v>
      </c>
      <c r="AM19" s="18">
        <f t="shared" ref="AM19:AM35" si="15">G19*AD19</f>
        <v>0</v>
      </c>
      <c r="AN19" s="18">
        <f t="shared" ref="AN19:AN35" si="16">H19*AE19</f>
        <v>0</v>
      </c>
      <c r="AO19" s="18">
        <f t="shared" ref="AO19:AO34" si="17">I19*AF19</f>
        <v>0</v>
      </c>
      <c r="AP19" s="18">
        <f t="shared" ref="AP19:AP34" si="18">J19*AG19</f>
        <v>0</v>
      </c>
      <c r="AQ19" s="9"/>
      <c r="AR19" s="18">
        <f t="shared" ref="AR19:AR35" si="19">L19*Z19</f>
        <v>0</v>
      </c>
      <c r="AS19" s="18">
        <f t="shared" ref="AS19:AS35" si="20">M19*AA19</f>
        <v>1</v>
      </c>
      <c r="AT19" s="18">
        <f t="shared" ref="AT19:AT35" si="21">N19*AB19</f>
        <v>0</v>
      </c>
      <c r="AU19" s="18">
        <f t="shared" ref="AU19:AU35" si="22">O19*AC19</f>
        <v>0</v>
      </c>
      <c r="AV19" s="18">
        <f t="shared" ref="AV19:AV33" si="23">P19*AD19</f>
        <v>0</v>
      </c>
      <c r="AW19" s="18">
        <f t="shared" ref="AW19:AW35" si="24">Q19*AE19</f>
        <v>0</v>
      </c>
      <c r="AX19" s="18">
        <f t="shared" ref="AX19:AX34" si="25">R19*AF19</f>
        <v>0</v>
      </c>
      <c r="AY19" s="18">
        <f t="shared" ref="AY19:AY34" si="26">S19*AG19</f>
        <v>0</v>
      </c>
      <c r="BA19" s="27">
        <f>(AI19-AR19)</f>
        <v>0</v>
      </c>
      <c r="BB19" s="27">
        <f t="shared" ref="BB19:BB35" si="27">(AJ19-AS19)</f>
        <v>0</v>
      </c>
      <c r="BC19" s="27">
        <f t="shared" ref="BC19:BC35" si="28">(AK19-AT19)</f>
        <v>0</v>
      </c>
      <c r="BD19" s="27">
        <f t="shared" ref="BD19:BD35" si="29">(AL19-AU19)</f>
        <v>0</v>
      </c>
      <c r="BE19" s="27">
        <f t="shared" ref="BE19:BE35" si="30">(AM19-AV19)</f>
        <v>0</v>
      </c>
      <c r="BF19" s="27">
        <f t="shared" ref="BF19:BF35" si="31">(AN19-AW19)</f>
        <v>0</v>
      </c>
      <c r="BG19" s="27">
        <f t="shared" ref="BG19:BG34" si="32">(AO19-AX19)</f>
        <v>0</v>
      </c>
      <c r="BH19" s="27">
        <f t="shared" ref="BH19:BH34" si="33">(AP19-AY19)</f>
        <v>0</v>
      </c>
      <c r="BI19" s="27">
        <f>ABS(SUM(BA19:BH19))</f>
        <v>0</v>
      </c>
      <c r="BJ19" s="27">
        <f>BI19*Y19</f>
        <v>0</v>
      </c>
    </row>
    <row r="20" spans="1:62" ht="22.5">
      <c r="A20" s="6" t="s">
        <v>11</v>
      </c>
      <c r="B20" s="7"/>
      <c r="C20" s="25">
        <v>0</v>
      </c>
      <c r="D20" s="28">
        <v>1</v>
      </c>
      <c r="E20" s="28"/>
      <c r="F20" s="28"/>
      <c r="G20" s="28"/>
      <c r="H20" s="28"/>
      <c r="I20" s="28"/>
      <c r="J20" s="28"/>
      <c r="K20" s="29"/>
      <c r="L20" s="25">
        <v>0</v>
      </c>
      <c r="M20" s="28">
        <v>1</v>
      </c>
      <c r="N20" s="28"/>
      <c r="O20" s="28"/>
      <c r="P20" s="28"/>
      <c r="Q20" s="28"/>
      <c r="R20" s="28"/>
      <c r="S20" s="28"/>
      <c r="U20" s="9">
        <f t="shared" si="10"/>
        <v>1</v>
      </c>
      <c r="V20" s="1">
        <f t="shared" ref="V20:V29" si="34">(1-W20)*Y20</f>
        <v>3.3333333333333333E-2</v>
      </c>
      <c r="W20" s="11">
        <f t="shared" ref="W20:W32" si="35">BI20</f>
        <v>0</v>
      </c>
      <c r="X20" s="9">
        <v>1</v>
      </c>
      <c r="Y20" s="10">
        <f t="shared" ref="Y20:Y34" si="36">X20/SUM($X$2:$X$17)</f>
        <v>3.3333333333333333E-2</v>
      </c>
      <c r="Z20" s="18">
        <v>0</v>
      </c>
      <c r="AA20" s="18">
        <v>1</v>
      </c>
      <c r="AB20" s="18"/>
      <c r="AC20" s="18"/>
      <c r="AD20" s="18"/>
      <c r="AE20" s="18"/>
      <c r="AF20" s="18"/>
      <c r="AG20" s="18"/>
      <c r="AH20" s="12"/>
      <c r="AI20" s="18">
        <f t="shared" si="11"/>
        <v>0</v>
      </c>
      <c r="AJ20" s="18">
        <f t="shared" si="12"/>
        <v>1</v>
      </c>
      <c r="AK20" s="18">
        <f t="shared" si="13"/>
        <v>0</v>
      </c>
      <c r="AL20" s="18">
        <f t="shared" si="14"/>
        <v>0</v>
      </c>
      <c r="AM20" s="18">
        <f t="shared" si="15"/>
        <v>0</v>
      </c>
      <c r="AN20" s="18">
        <f t="shared" si="16"/>
        <v>0</v>
      </c>
      <c r="AO20" s="18">
        <f t="shared" si="17"/>
        <v>0</v>
      </c>
      <c r="AP20" s="18">
        <f t="shared" si="18"/>
        <v>0</v>
      </c>
      <c r="AQ20" s="9"/>
      <c r="AR20" s="18">
        <f t="shared" si="19"/>
        <v>0</v>
      </c>
      <c r="AS20" s="18">
        <f t="shared" si="20"/>
        <v>1</v>
      </c>
      <c r="AT20" s="18">
        <f t="shared" si="21"/>
        <v>0</v>
      </c>
      <c r="AU20" s="18">
        <f t="shared" si="22"/>
        <v>0</v>
      </c>
      <c r="AV20" s="18">
        <f t="shared" si="23"/>
        <v>0</v>
      </c>
      <c r="AW20" s="18">
        <f t="shared" si="24"/>
        <v>0</v>
      </c>
      <c r="AX20" s="18">
        <f t="shared" si="25"/>
        <v>0</v>
      </c>
      <c r="AY20" s="18">
        <f t="shared" si="26"/>
        <v>0</v>
      </c>
      <c r="BA20" s="27">
        <f t="shared" ref="BA20:BA33" si="37">(AI20-AR20)</f>
        <v>0</v>
      </c>
      <c r="BB20" s="27">
        <f t="shared" si="27"/>
        <v>0</v>
      </c>
      <c r="BC20" s="27">
        <f t="shared" si="28"/>
        <v>0</v>
      </c>
      <c r="BD20" s="27">
        <f t="shared" si="29"/>
        <v>0</v>
      </c>
      <c r="BE20" s="27">
        <f t="shared" si="30"/>
        <v>0</v>
      </c>
      <c r="BF20" s="27">
        <f t="shared" si="31"/>
        <v>0</v>
      </c>
      <c r="BG20" s="27">
        <f t="shared" si="32"/>
        <v>0</v>
      </c>
      <c r="BH20" s="27">
        <f t="shared" si="33"/>
        <v>0</v>
      </c>
      <c r="BI20" s="27">
        <f t="shared" ref="BI20:BI34" si="38">ABS(SUM(BA20:BH20))</f>
        <v>0</v>
      </c>
      <c r="BJ20" s="27">
        <f t="shared" ref="BJ20:BJ34" si="39">BI20*Y20</f>
        <v>0</v>
      </c>
    </row>
    <row r="21" spans="1:62" s="22" customFormat="1" ht="22.5">
      <c r="A21" s="8" t="s">
        <v>12</v>
      </c>
      <c r="B21" s="21"/>
      <c r="C21" s="25">
        <v>0</v>
      </c>
      <c r="D21" s="25">
        <v>1</v>
      </c>
      <c r="E21" s="25">
        <v>0</v>
      </c>
      <c r="F21" s="28">
        <v>0</v>
      </c>
      <c r="G21" s="28"/>
      <c r="H21" s="28"/>
      <c r="I21" s="28"/>
      <c r="J21" s="28"/>
      <c r="K21" s="29"/>
      <c r="L21" s="25">
        <v>0</v>
      </c>
      <c r="M21" s="25">
        <v>1</v>
      </c>
      <c r="N21" s="25">
        <v>0</v>
      </c>
      <c r="O21" s="28">
        <v>0</v>
      </c>
      <c r="P21" s="28"/>
      <c r="Q21" s="28"/>
      <c r="R21" s="28"/>
      <c r="S21" s="28"/>
      <c r="T21"/>
      <c r="U21" s="23">
        <f t="shared" si="10"/>
        <v>1</v>
      </c>
      <c r="V21" s="1">
        <f t="shared" si="34"/>
        <v>0.1</v>
      </c>
      <c r="W21" s="11">
        <f t="shared" si="35"/>
        <v>0</v>
      </c>
      <c r="X21" s="23">
        <v>3</v>
      </c>
      <c r="Y21" s="24">
        <f t="shared" si="36"/>
        <v>0.1</v>
      </c>
      <c r="Z21" s="18">
        <v>0</v>
      </c>
      <c r="AA21" s="18">
        <v>0.3</v>
      </c>
      <c r="AB21" s="18">
        <v>0.8</v>
      </c>
      <c r="AC21" s="18">
        <v>1</v>
      </c>
      <c r="AD21" s="18"/>
      <c r="AE21" s="18"/>
      <c r="AF21" s="18"/>
      <c r="AG21" s="18"/>
      <c r="AH21" s="12"/>
      <c r="AI21" s="18">
        <f t="shared" si="11"/>
        <v>0</v>
      </c>
      <c r="AJ21" s="18">
        <f t="shared" si="12"/>
        <v>0.3</v>
      </c>
      <c r="AK21" s="18">
        <f t="shared" si="13"/>
        <v>0</v>
      </c>
      <c r="AL21" s="18">
        <f t="shared" si="14"/>
        <v>0</v>
      </c>
      <c r="AM21" s="18">
        <f t="shared" si="15"/>
        <v>0</v>
      </c>
      <c r="AN21" s="18">
        <f t="shared" si="16"/>
        <v>0</v>
      </c>
      <c r="AO21" s="18">
        <f t="shared" si="17"/>
        <v>0</v>
      </c>
      <c r="AP21" s="18">
        <f t="shared" si="18"/>
        <v>0</v>
      </c>
      <c r="AQ21" s="23"/>
      <c r="AR21" s="18">
        <f t="shared" si="19"/>
        <v>0</v>
      </c>
      <c r="AS21" s="18">
        <f t="shared" si="20"/>
        <v>0.3</v>
      </c>
      <c r="AT21" s="18">
        <f t="shared" si="21"/>
        <v>0</v>
      </c>
      <c r="AU21" s="18">
        <f t="shared" si="22"/>
        <v>0</v>
      </c>
      <c r="AV21" s="18">
        <f t="shared" si="23"/>
        <v>0</v>
      </c>
      <c r="AW21" s="18">
        <f t="shared" si="24"/>
        <v>0</v>
      </c>
      <c r="AX21" s="18">
        <f t="shared" si="25"/>
        <v>0</v>
      </c>
      <c r="AY21" s="18">
        <f t="shared" si="26"/>
        <v>0</v>
      </c>
      <c r="BA21" s="27">
        <f t="shared" si="37"/>
        <v>0</v>
      </c>
      <c r="BB21" s="27">
        <f t="shared" si="27"/>
        <v>0</v>
      </c>
      <c r="BC21" s="27">
        <f t="shared" si="28"/>
        <v>0</v>
      </c>
      <c r="BD21" s="27">
        <f t="shared" si="29"/>
        <v>0</v>
      </c>
      <c r="BE21" s="27">
        <f t="shared" si="30"/>
        <v>0</v>
      </c>
      <c r="BF21" s="27">
        <f t="shared" si="31"/>
        <v>0</v>
      </c>
      <c r="BG21" s="27">
        <f t="shared" si="32"/>
        <v>0</v>
      </c>
      <c r="BH21" s="27">
        <f t="shared" si="33"/>
        <v>0</v>
      </c>
      <c r="BI21" s="27">
        <f t="shared" si="38"/>
        <v>0</v>
      </c>
      <c r="BJ21" s="27">
        <f t="shared" si="39"/>
        <v>0</v>
      </c>
    </row>
    <row r="22" spans="1:62" s="22" customFormat="1" ht="22.5">
      <c r="A22" s="8" t="s">
        <v>13</v>
      </c>
      <c r="B22" s="21"/>
      <c r="C22" s="25">
        <v>0</v>
      </c>
      <c r="D22" s="25">
        <v>0</v>
      </c>
      <c r="E22" s="25">
        <v>0</v>
      </c>
      <c r="F22" s="28">
        <v>1</v>
      </c>
      <c r="G22" s="28"/>
      <c r="H22" s="28"/>
      <c r="I22" s="28"/>
      <c r="J22" s="28"/>
      <c r="K22" s="29"/>
      <c r="L22" s="25">
        <v>0</v>
      </c>
      <c r="M22" s="25">
        <v>0</v>
      </c>
      <c r="N22" s="25">
        <v>0</v>
      </c>
      <c r="O22" s="28">
        <v>1</v>
      </c>
      <c r="P22" s="28"/>
      <c r="Q22" s="28"/>
      <c r="R22" s="28"/>
      <c r="S22" s="28"/>
      <c r="T22"/>
      <c r="U22" s="23">
        <f t="shared" si="10"/>
        <v>1</v>
      </c>
      <c r="V22" s="1">
        <f t="shared" si="34"/>
        <v>3.3333333333333333E-2</v>
      </c>
      <c r="W22" s="11">
        <f t="shared" si="35"/>
        <v>0</v>
      </c>
      <c r="X22" s="23">
        <v>1</v>
      </c>
      <c r="Y22" s="24">
        <f t="shared" si="36"/>
        <v>3.3333333333333333E-2</v>
      </c>
      <c r="Z22" s="18">
        <v>0</v>
      </c>
      <c r="AA22" s="18">
        <v>0.3</v>
      </c>
      <c r="AB22" s="18">
        <v>0.8</v>
      </c>
      <c r="AC22" s="18">
        <v>1</v>
      </c>
      <c r="AD22" s="18"/>
      <c r="AE22" s="18"/>
      <c r="AF22" s="18"/>
      <c r="AG22" s="18"/>
      <c r="AH22" s="12"/>
      <c r="AI22" s="18">
        <f t="shared" si="11"/>
        <v>0</v>
      </c>
      <c r="AJ22" s="18">
        <f t="shared" si="12"/>
        <v>0</v>
      </c>
      <c r="AK22" s="18">
        <f t="shared" si="13"/>
        <v>0</v>
      </c>
      <c r="AL22" s="18">
        <f t="shared" si="14"/>
        <v>1</v>
      </c>
      <c r="AM22" s="18">
        <f t="shared" si="15"/>
        <v>0</v>
      </c>
      <c r="AN22" s="18">
        <f t="shared" si="16"/>
        <v>0</v>
      </c>
      <c r="AO22" s="18">
        <f t="shared" si="17"/>
        <v>0</v>
      </c>
      <c r="AP22" s="18">
        <f t="shared" si="18"/>
        <v>0</v>
      </c>
      <c r="AQ22" s="23"/>
      <c r="AR22" s="18">
        <f t="shared" si="19"/>
        <v>0</v>
      </c>
      <c r="AS22" s="18">
        <f t="shared" si="20"/>
        <v>0</v>
      </c>
      <c r="AT22" s="18">
        <f t="shared" si="21"/>
        <v>0</v>
      </c>
      <c r="AU22" s="18">
        <f t="shared" si="22"/>
        <v>1</v>
      </c>
      <c r="AV22" s="18">
        <f t="shared" si="23"/>
        <v>0</v>
      </c>
      <c r="AW22" s="18">
        <f t="shared" si="24"/>
        <v>0</v>
      </c>
      <c r="AX22" s="18">
        <f t="shared" si="25"/>
        <v>0</v>
      </c>
      <c r="AY22" s="18">
        <f t="shared" si="26"/>
        <v>0</v>
      </c>
      <c r="BA22" s="27">
        <f t="shared" si="37"/>
        <v>0</v>
      </c>
      <c r="BB22" s="27">
        <f t="shared" si="27"/>
        <v>0</v>
      </c>
      <c r="BC22" s="27">
        <f t="shared" si="28"/>
        <v>0</v>
      </c>
      <c r="BD22" s="27">
        <f t="shared" si="29"/>
        <v>0</v>
      </c>
      <c r="BE22" s="27">
        <f t="shared" si="30"/>
        <v>0</v>
      </c>
      <c r="BF22" s="27">
        <f t="shared" si="31"/>
        <v>0</v>
      </c>
      <c r="BG22" s="27">
        <f t="shared" si="32"/>
        <v>0</v>
      </c>
      <c r="BH22" s="27">
        <f t="shared" si="33"/>
        <v>0</v>
      </c>
      <c r="BI22" s="27">
        <f t="shared" si="38"/>
        <v>0</v>
      </c>
      <c r="BJ22" s="27">
        <f t="shared" si="39"/>
        <v>0</v>
      </c>
    </row>
    <row r="23" spans="1:62" s="22" customFormat="1" ht="22.5">
      <c r="A23" s="8" t="s">
        <v>14</v>
      </c>
      <c r="B23" s="21"/>
      <c r="C23" s="25">
        <v>0</v>
      </c>
      <c r="D23" s="25">
        <v>0</v>
      </c>
      <c r="E23" s="25">
        <v>1</v>
      </c>
      <c r="F23" s="28">
        <v>0</v>
      </c>
      <c r="G23" s="28"/>
      <c r="H23" s="28"/>
      <c r="I23" s="28"/>
      <c r="J23" s="28"/>
      <c r="K23" s="29"/>
      <c r="L23" s="25">
        <v>0</v>
      </c>
      <c r="M23" s="25">
        <v>0</v>
      </c>
      <c r="N23" s="25">
        <v>1</v>
      </c>
      <c r="O23" s="28">
        <v>0</v>
      </c>
      <c r="P23" s="28"/>
      <c r="Q23" s="28"/>
      <c r="R23" s="28"/>
      <c r="S23" s="28"/>
      <c r="T23"/>
      <c r="U23" s="23">
        <f t="shared" si="10"/>
        <v>1</v>
      </c>
      <c r="V23" s="1">
        <f t="shared" si="34"/>
        <v>3.3333333333333333E-2</v>
      </c>
      <c r="W23" s="11">
        <f t="shared" si="35"/>
        <v>0</v>
      </c>
      <c r="X23" s="23">
        <v>1</v>
      </c>
      <c r="Y23" s="24">
        <f t="shared" si="36"/>
        <v>3.3333333333333333E-2</v>
      </c>
      <c r="Z23" s="18">
        <v>0</v>
      </c>
      <c r="AA23" s="18">
        <v>0.3</v>
      </c>
      <c r="AB23" s="18">
        <v>0.8</v>
      </c>
      <c r="AC23" s="18">
        <v>1</v>
      </c>
      <c r="AD23" s="18"/>
      <c r="AE23" s="18"/>
      <c r="AF23" s="18"/>
      <c r="AG23" s="18"/>
      <c r="AH23" s="12"/>
      <c r="AI23" s="18">
        <f t="shared" si="11"/>
        <v>0</v>
      </c>
      <c r="AJ23" s="18">
        <f t="shared" si="12"/>
        <v>0</v>
      </c>
      <c r="AK23" s="18">
        <f t="shared" si="13"/>
        <v>0.8</v>
      </c>
      <c r="AL23" s="18">
        <f t="shared" si="14"/>
        <v>0</v>
      </c>
      <c r="AM23" s="18">
        <f t="shared" si="15"/>
        <v>0</v>
      </c>
      <c r="AN23" s="18">
        <f t="shared" si="16"/>
        <v>0</v>
      </c>
      <c r="AO23" s="18">
        <f t="shared" si="17"/>
        <v>0</v>
      </c>
      <c r="AP23" s="18">
        <f t="shared" si="18"/>
        <v>0</v>
      </c>
      <c r="AQ23" s="23"/>
      <c r="AR23" s="18">
        <f t="shared" si="19"/>
        <v>0</v>
      </c>
      <c r="AS23" s="18">
        <f t="shared" si="20"/>
        <v>0</v>
      </c>
      <c r="AT23" s="18">
        <f t="shared" si="21"/>
        <v>0.8</v>
      </c>
      <c r="AU23" s="18">
        <f t="shared" si="22"/>
        <v>0</v>
      </c>
      <c r="AV23" s="18">
        <f t="shared" si="23"/>
        <v>0</v>
      </c>
      <c r="AW23" s="18">
        <f t="shared" si="24"/>
        <v>0</v>
      </c>
      <c r="AX23" s="18">
        <f t="shared" si="25"/>
        <v>0</v>
      </c>
      <c r="AY23" s="18">
        <f t="shared" si="26"/>
        <v>0</v>
      </c>
      <c r="BA23" s="27">
        <f t="shared" si="37"/>
        <v>0</v>
      </c>
      <c r="BB23" s="27">
        <f t="shared" si="27"/>
        <v>0</v>
      </c>
      <c r="BC23" s="27">
        <f t="shared" si="28"/>
        <v>0</v>
      </c>
      <c r="BD23" s="27">
        <f t="shared" si="29"/>
        <v>0</v>
      </c>
      <c r="BE23" s="27">
        <f t="shared" si="30"/>
        <v>0</v>
      </c>
      <c r="BF23" s="27">
        <f t="shared" si="31"/>
        <v>0</v>
      </c>
      <c r="BG23" s="27">
        <f t="shared" si="32"/>
        <v>0</v>
      </c>
      <c r="BH23" s="27">
        <f t="shared" si="33"/>
        <v>0</v>
      </c>
      <c r="BI23" s="27">
        <f t="shared" si="38"/>
        <v>0</v>
      </c>
      <c r="BJ23" s="27">
        <f t="shared" si="39"/>
        <v>0</v>
      </c>
    </row>
    <row r="24" spans="1:62" s="22" customFormat="1" ht="22.5">
      <c r="A24" s="8" t="s">
        <v>15</v>
      </c>
      <c r="B24" s="21"/>
      <c r="C24" s="25">
        <v>0</v>
      </c>
      <c r="D24" s="25">
        <v>1</v>
      </c>
      <c r="E24" s="25">
        <v>0</v>
      </c>
      <c r="F24" s="28">
        <v>0</v>
      </c>
      <c r="G24" s="28"/>
      <c r="H24" s="28"/>
      <c r="I24" s="28"/>
      <c r="J24" s="28"/>
      <c r="K24" s="29"/>
      <c r="L24" s="25">
        <v>0</v>
      </c>
      <c r="M24" s="25">
        <v>1</v>
      </c>
      <c r="N24" s="25">
        <v>0</v>
      </c>
      <c r="O24" s="28">
        <v>0</v>
      </c>
      <c r="P24" s="28"/>
      <c r="Q24" s="28"/>
      <c r="R24" s="28"/>
      <c r="S24" s="28"/>
      <c r="T24"/>
      <c r="U24" s="23">
        <f t="shared" si="10"/>
        <v>1</v>
      </c>
      <c r="V24" s="1">
        <f t="shared" si="34"/>
        <v>0.1</v>
      </c>
      <c r="W24" s="11">
        <f t="shared" si="35"/>
        <v>0</v>
      </c>
      <c r="X24" s="23">
        <v>3</v>
      </c>
      <c r="Y24" s="24">
        <f t="shared" si="36"/>
        <v>0.1</v>
      </c>
      <c r="Z24" s="18">
        <v>0</v>
      </c>
      <c r="AA24" s="18">
        <v>0.3</v>
      </c>
      <c r="AB24" s="18">
        <v>0.8</v>
      </c>
      <c r="AC24" s="18">
        <v>1</v>
      </c>
      <c r="AD24" s="18"/>
      <c r="AE24" s="18"/>
      <c r="AF24" s="18"/>
      <c r="AG24" s="18"/>
      <c r="AH24" s="12"/>
      <c r="AI24" s="18">
        <f t="shared" si="11"/>
        <v>0</v>
      </c>
      <c r="AJ24" s="18">
        <f t="shared" si="12"/>
        <v>0.3</v>
      </c>
      <c r="AK24" s="18">
        <f t="shared" si="13"/>
        <v>0</v>
      </c>
      <c r="AL24" s="18">
        <f t="shared" si="14"/>
        <v>0</v>
      </c>
      <c r="AM24" s="18">
        <f t="shared" si="15"/>
        <v>0</v>
      </c>
      <c r="AN24" s="18">
        <f t="shared" si="16"/>
        <v>0</v>
      </c>
      <c r="AO24" s="18">
        <f t="shared" si="17"/>
        <v>0</v>
      </c>
      <c r="AP24" s="18">
        <f t="shared" si="18"/>
        <v>0</v>
      </c>
      <c r="AQ24" s="23"/>
      <c r="AR24" s="18">
        <f t="shared" si="19"/>
        <v>0</v>
      </c>
      <c r="AS24" s="18">
        <f t="shared" si="20"/>
        <v>0.3</v>
      </c>
      <c r="AT24" s="18">
        <f t="shared" si="21"/>
        <v>0</v>
      </c>
      <c r="AU24" s="18">
        <f t="shared" si="22"/>
        <v>0</v>
      </c>
      <c r="AV24" s="18">
        <f t="shared" si="23"/>
        <v>0</v>
      </c>
      <c r="AW24" s="18">
        <f t="shared" si="24"/>
        <v>0</v>
      </c>
      <c r="AX24" s="18">
        <f t="shared" si="25"/>
        <v>0</v>
      </c>
      <c r="AY24" s="18">
        <f t="shared" si="26"/>
        <v>0</v>
      </c>
      <c r="BA24" s="27">
        <f t="shared" si="37"/>
        <v>0</v>
      </c>
      <c r="BB24" s="27">
        <f t="shared" si="27"/>
        <v>0</v>
      </c>
      <c r="BC24" s="27">
        <f t="shared" si="28"/>
        <v>0</v>
      </c>
      <c r="BD24" s="27">
        <f t="shared" si="29"/>
        <v>0</v>
      </c>
      <c r="BE24" s="27">
        <f t="shared" si="30"/>
        <v>0</v>
      </c>
      <c r="BF24" s="27">
        <f t="shared" si="31"/>
        <v>0</v>
      </c>
      <c r="BG24" s="27">
        <f t="shared" si="32"/>
        <v>0</v>
      </c>
      <c r="BH24" s="27">
        <f t="shared" si="33"/>
        <v>0</v>
      </c>
      <c r="BI24" s="27">
        <f t="shared" si="38"/>
        <v>0</v>
      </c>
      <c r="BJ24" s="27">
        <f t="shared" si="39"/>
        <v>0</v>
      </c>
    </row>
    <row r="25" spans="1:62" s="22" customFormat="1" ht="22.5">
      <c r="A25" s="8" t="s">
        <v>16</v>
      </c>
      <c r="B25" s="21"/>
      <c r="C25" s="25">
        <v>1</v>
      </c>
      <c r="D25" s="25">
        <v>0</v>
      </c>
      <c r="E25" s="25">
        <v>0</v>
      </c>
      <c r="F25" s="28">
        <v>0</v>
      </c>
      <c r="G25" s="28"/>
      <c r="H25" s="28"/>
      <c r="I25" s="28"/>
      <c r="J25" s="28"/>
      <c r="K25" s="29"/>
      <c r="L25" s="25">
        <v>1</v>
      </c>
      <c r="M25" s="25">
        <v>0</v>
      </c>
      <c r="N25" s="25">
        <v>0</v>
      </c>
      <c r="O25" s="28">
        <v>0</v>
      </c>
      <c r="P25" s="28"/>
      <c r="Q25" s="28"/>
      <c r="R25" s="28"/>
      <c r="S25" s="28"/>
      <c r="T25"/>
      <c r="U25" s="23">
        <f t="shared" si="10"/>
        <v>1</v>
      </c>
      <c r="V25" s="1">
        <f t="shared" si="34"/>
        <v>0.16666666666666666</v>
      </c>
      <c r="W25" s="11">
        <f t="shared" si="35"/>
        <v>0</v>
      </c>
      <c r="X25" s="23">
        <v>5</v>
      </c>
      <c r="Y25" s="24">
        <f t="shared" si="36"/>
        <v>0.16666666666666666</v>
      </c>
      <c r="Z25" s="18">
        <v>0</v>
      </c>
      <c r="AA25" s="18">
        <v>0.3</v>
      </c>
      <c r="AB25" s="18">
        <v>0.8</v>
      </c>
      <c r="AC25" s="18">
        <v>1</v>
      </c>
      <c r="AD25" s="18"/>
      <c r="AE25" s="18"/>
      <c r="AF25" s="18"/>
      <c r="AG25" s="18"/>
      <c r="AH25" s="12"/>
      <c r="AI25" s="18">
        <f t="shared" si="11"/>
        <v>0</v>
      </c>
      <c r="AJ25" s="18">
        <f t="shared" si="12"/>
        <v>0</v>
      </c>
      <c r="AK25" s="18">
        <f t="shared" si="13"/>
        <v>0</v>
      </c>
      <c r="AL25" s="18">
        <f t="shared" si="14"/>
        <v>0</v>
      </c>
      <c r="AM25" s="18">
        <f t="shared" si="15"/>
        <v>0</v>
      </c>
      <c r="AN25" s="18">
        <f t="shared" si="16"/>
        <v>0</v>
      </c>
      <c r="AO25" s="18">
        <f t="shared" si="17"/>
        <v>0</v>
      </c>
      <c r="AP25" s="18">
        <f t="shared" si="18"/>
        <v>0</v>
      </c>
      <c r="AQ25" s="23"/>
      <c r="AR25" s="18">
        <f t="shared" si="19"/>
        <v>0</v>
      </c>
      <c r="AS25" s="18">
        <f t="shared" si="20"/>
        <v>0</v>
      </c>
      <c r="AT25" s="18">
        <f t="shared" si="21"/>
        <v>0</v>
      </c>
      <c r="AU25" s="18">
        <f t="shared" si="22"/>
        <v>0</v>
      </c>
      <c r="AV25" s="18">
        <f t="shared" si="23"/>
        <v>0</v>
      </c>
      <c r="AW25" s="18">
        <f t="shared" si="24"/>
        <v>0</v>
      </c>
      <c r="AX25" s="18">
        <f t="shared" si="25"/>
        <v>0</v>
      </c>
      <c r="AY25" s="18">
        <f t="shared" si="26"/>
        <v>0</v>
      </c>
      <c r="BA25" s="27">
        <f t="shared" si="37"/>
        <v>0</v>
      </c>
      <c r="BB25" s="27">
        <f t="shared" si="27"/>
        <v>0</v>
      </c>
      <c r="BC25" s="27">
        <f t="shared" si="28"/>
        <v>0</v>
      </c>
      <c r="BD25" s="27">
        <f t="shared" si="29"/>
        <v>0</v>
      </c>
      <c r="BE25" s="27">
        <f t="shared" si="30"/>
        <v>0</v>
      </c>
      <c r="BF25" s="27">
        <f t="shared" si="31"/>
        <v>0</v>
      </c>
      <c r="BG25" s="27">
        <f t="shared" si="32"/>
        <v>0</v>
      </c>
      <c r="BH25" s="27">
        <f t="shared" si="33"/>
        <v>0</v>
      </c>
      <c r="BI25" s="27">
        <f t="shared" si="38"/>
        <v>0</v>
      </c>
      <c r="BJ25" s="27">
        <f t="shared" si="39"/>
        <v>0</v>
      </c>
    </row>
    <row r="26" spans="1:62" ht="22.5">
      <c r="A26" s="4" t="s">
        <v>0</v>
      </c>
      <c r="B26" s="7"/>
      <c r="C26" s="25">
        <v>0</v>
      </c>
      <c r="D26" s="25">
        <v>1</v>
      </c>
      <c r="E26" s="25"/>
      <c r="F26" s="28"/>
      <c r="G26" s="28"/>
      <c r="H26" s="28"/>
      <c r="I26" s="28"/>
      <c r="J26" s="28"/>
      <c r="K26" s="29"/>
      <c r="L26" s="25">
        <v>0</v>
      </c>
      <c r="M26" s="25">
        <v>1</v>
      </c>
      <c r="N26" s="25"/>
      <c r="O26" s="28"/>
      <c r="P26" s="28"/>
      <c r="Q26" s="28"/>
      <c r="R26" s="28"/>
      <c r="S26" s="28"/>
      <c r="U26" s="9">
        <f t="shared" si="10"/>
        <v>1</v>
      </c>
      <c r="V26" s="1">
        <f t="shared" si="34"/>
        <v>3.3333333333333333E-2</v>
      </c>
      <c r="W26" s="11">
        <f t="shared" si="35"/>
        <v>0</v>
      </c>
      <c r="X26" s="12">
        <v>1</v>
      </c>
      <c r="Y26" s="10">
        <f t="shared" si="36"/>
        <v>3.3333333333333333E-2</v>
      </c>
      <c r="Z26" s="18">
        <v>0</v>
      </c>
      <c r="AA26" s="18">
        <f>IF(M26=1,1,0)</f>
        <v>1</v>
      </c>
      <c r="AB26" s="18">
        <v>0</v>
      </c>
      <c r="AC26" s="18">
        <v>0</v>
      </c>
      <c r="AD26" s="18"/>
      <c r="AE26" s="18"/>
      <c r="AF26" s="18"/>
      <c r="AG26" s="18"/>
      <c r="AH26" s="12"/>
      <c r="AI26" s="18">
        <f t="shared" si="11"/>
        <v>0</v>
      </c>
      <c r="AJ26" s="18">
        <f t="shared" si="12"/>
        <v>1</v>
      </c>
      <c r="AK26" s="18">
        <f t="shared" si="13"/>
        <v>0</v>
      </c>
      <c r="AL26" s="18">
        <f t="shared" si="14"/>
        <v>0</v>
      </c>
      <c r="AM26" s="18">
        <f t="shared" si="15"/>
        <v>0</v>
      </c>
      <c r="AN26" s="18">
        <f t="shared" si="16"/>
        <v>0</v>
      </c>
      <c r="AO26" s="18">
        <f t="shared" si="17"/>
        <v>0</v>
      </c>
      <c r="AP26" s="18">
        <f t="shared" si="18"/>
        <v>0</v>
      </c>
      <c r="AQ26" s="9"/>
      <c r="AR26" s="18">
        <f t="shared" si="19"/>
        <v>0</v>
      </c>
      <c r="AS26" s="18">
        <f t="shared" si="20"/>
        <v>1</v>
      </c>
      <c r="AT26" s="18">
        <f t="shared" si="21"/>
        <v>0</v>
      </c>
      <c r="AU26" s="18">
        <f t="shared" si="22"/>
        <v>0</v>
      </c>
      <c r="AV26" s="18">
        <f t="shared" si="23"/>
        <v>0</v>
      </c>
      <c r="AW26" s="18">
        <f t="shared" si="24"/>
        <v>0</v>
      </c>
      <c r="AX26" s="18">
        <f t="shared" si="25"/>
        <v>0</v>
      </c>
      <c r="AY26" s="18">
        <f t="shared" si="26"/>
        <v>0</v>
      </c>
      <c r="BA26" s="27">
        <f t="shared" si="37"/>
        <v>0</v>
      </c>
      <c r="BB26" s="27">
        <f t="shared" si="27"/>
        <v>0</v>
      </c>
      <c r="BC26" s="27">
        <f t="shared" si="28"/>
        <v>0</v>
      </c>
      <c r="BD26" s="27">
        <f t="shared" si="29"/>
        <v>0</v>
      </c>
      <c r="BE26" s="27">
        <f t="shared" si="30"/>
        <v>0</v>
      </c>
      <c r="BF26" s="27">
        <f t="shared" si="31"/>
        <v>0</v>
      </c>
      <c r="BG26" s="27">
        <f t="shared" si="32"/>
        <v>0</v>
      </c>
      <c r="BH26" s="27">
        <f t="shared" si="33"/>
        <v>0</v>
      </c>
      <c r="BI26" s="27">
        <f t="shared" si="38"/>
        <v>0</v>
      </c>
      <c r="BJ26" s="27">
        <f t="shared" si="39"/>
        <v>0</v>
      </c>
    </row>
    <row r="27" spans="1:62" ht="22.5">
      <c r="A27" s="5" t="s">
        <v>1</v>
      </c>
      <c r="B27" s="7"/>
      <c r="C27" s="25"/>
      <c r="D27" s="25"/>
      <c r="E27" s="25"/>
      <c r="F27" s="25"/>
      <c r="G27" s="25">
        <v>0</v>
      </c>
      <c r="H27" s="25">
        <v>1</v>
      </c>
      <c r="I27" s="28"/>
      <c r="J27" s="28"/>
      <c r="K27" s="29"/>
      <c r="L27" s="25"/>
      <c r="M27" s="25"/>
      <c r="N27" s="25"/>
      <c r="O27" s="25"/>
      <c r="P27" s="25">
        <v>1</v>
      </c>
      <c r="Q27" s="25">
        <v>0</v>
      </c>
      <c r="R27" s="28"/>
      <c r="S27" s="28"/>
      <c r="U27" s="9">
        <f t="shared" si="10"/>
        <v>0</v>
      </c>
      <c r="V27" s="1">
        <f t="shared" si="34"/>
        <v>0</v>
      </c>
      <c r="W27" s="11">
        <f t="shared" si="35"/>
        <v>1</v>
      </c>
      <c r="X27" s="12">
        <v>1</v>
      </c>
      <c r="Y27" s="10">
        <f t="shared" si="36"/>
        <v>3.3333333333333333E-2</v>
      </c>
      <c r="Z27" s="18"/>
      <c r="AA27" s="18"/>
      <c r="AB27" s="18"/>
      <c r="AC27" s="18"/>
      <c r="AD27" s="18">
        <v>0</v>
      </c>
      <c r="AE27" s="18">
        <v>1</v>
      </c>
      <c r="AF27" s="18"/>
      <c r="AG27" s="18"/>
      <c r="AH27" s="12"/>
      <c r="AI27" s="18">
        <f t="shared" si="11"/>
        <v>0</v>
      </c>
      <c r="AJ27" s="18">
        <f t="shared" si="12"/>
        <v>0</v>
      </c>
      <c r="AK27" s="18">
        <f t="shared" si="13"/>
        <v>0</v>
      </c>
      <c r="AL27" s="18">
        <f t="shared" si="14"/>
        <v>0</v>
      </c>
      <c r="AM27" s="18">
        <f t="shared" si="15"/>
        <v>0</v>
      </c>
      <c r="AN27" s="18">
        <f t="shared" si="16"/>
        <v>1</v>
      </c>
      <c r="AO27" s="18">
        <f t="shared" si="17"/>
        <v>0</v>
      </c>
      <c r="AP27" s="18">
        <f t="shared" si="18"/>
        <v>0</v>
      </c>
      <c r="AQ27" s="9"/>
      <c r="AR27" s="18">
        <f t="shared" si="19"/>
        <v>0</v>
      </c>
      <c r="AS27" s="18">
        <f t="shared" si="20"/>
        <v>0</v>
      </c>
      <c r="AT27" s="18">
        <f t="shared" si="21"/>
        <v>0</v>
      </c>
      <c r="AU27" s="18">
        <f t="shared" si="22"/>
        <v>0</v>
      </c>
      <c r="AV27" s="18">
        <f t="shared" si="23"/>
        <v>0</v>
      </c>
      <c r="AW27" s="18">
        <f t="shared" si="24"/>
        <v>0</v>
      </c>
      <c r="AX27" s="18">
        <f t="shared" si="25"/>
        <v>0</v>
      </c>
      <c r="AY27" s="18">
        <f t="shared" si="26"/>
        <v>0</v>
      </c>
      <c r="BA27" s="27">
        <f t="shared" si="37"/>
        <v>0</v>
      </c>
      <c r="BB27" s="27">
        <f t="shared" si="27"/>
        <v>0</v>
      </c>
      <c r="BC27" s="27">
        <f t="shared" si="28"/>
        <v>0</v>
      </c>
      <c r="BD27" s="27">
        <f t="shared" si="29"/>
        <v>0</v>
      </c>
      <c r="BE27" s="27">
        <f t="shared" si="30"/>
        <v>0</v>
      </c>
      <c r="BF27" s="27">
        <f t="shared" si="31"/>
        <v>1</v>
      </c>
      <c r="BG27" s="27">
        <f t="shared" si="32"/>
        <v>0</v>
      </c>
      <c r="BH27" s="27">
        <f t="shared" si="33"/>
        <v>0</v>
      </c>
      <c r="BI27" s="27">
        <f t="shared" si="38"/>
        <v>1</v>
      </c>
      <c r="BJ27" s="27">
        <f t="shared" si="39"/>
        <v>3.3333333333333333E-2</v>
      </c>
    </row>
    <row r="28" spans="1:62" ht="22.5">
      <c r="A28" s="5" t="s">
        <v>21</v>
      </c>
      <c r="B28" s="7"/>
      <c r="C28" s="25"/>
      <c r="D28" s="25"/>
      <c r="E28" s="25"/>
      <c r="F28" s="25"/>
      <c r="G28" s="25">
        <v>0</v>
      </c>
      <c r="H28" s="25">
        <v>1</v>
      </c>
      <c r="I28" s="28"/>
      <c r="J28" s="28"/>
      <c r="K28" s="29"/>
      <c r="L28" s="25"/>
      <c r="M28" s="25"/>
      <c r="N28" s="25"/>
      <c r="O28" s="25"/>
      <c r="P28" s="25">
        <v>0</v>
      </c>
      <c r="Q28" s="25">
        <v>1</v>
      </c>
      <c r="R28" s="28"/>
      <c r="S28" s="28"/>
      <c r="U28" s="9">
        <f t="shared" si="10"/>
        <v>1</v>
      </c>
      <c r="V28" s="1">
        <f t="shared" si="34"/>
        <v>3.3333333333333333E-2</v>
      </c>
      <c r="W28" s="11">
        <f t="shared" si="35"/>
        <v>0</v>
      </c>
      <c r="X28" s="12">
        <v>1</v>
      </c>
      <c r="Y28" s="10">
        <f t="shared" si="36"/>
        <v>3.3333333333333333E-2</v>
      </c>
      <c r="Z28" s="18"/>
      <c r="AA28" s="18"/>
      <c r="AB28" s="18"/>
      <c r="AC28" s="18"/>
      <c r="AD28" s="18">
        <v>0</v>
      </c>
      <c r="AE28" s="18">
        <v>1</v>
      </c>
      <c r="AF28" s="18"/>
      <c r="AG28" s="18"/>
      <c r="AH28" s="12"/>
      <c r="AI28" s="18">
        <f t="shared" si="11"/>
        <v>0</v>
      </c>
      <c r="AJ28" s="18">
        <f t="shared" si="12"/>
        <v>0</v>
      </c>
      <c r="AK28" s="18">
        <f t="shared" si="13"/>
        <v>0</v>
      </c>
      <c r="AL28" s="18">
        <f t="shared" si="14"/>
        <v>0</v>
      </c>
      <c r="AM28" s="18">
        <f t="shared" si="15"/>
        <v>0</v>
      </c>
      <c r="AN28" s="18">
        <f t="shared" si="16"/>
        <v>1</v>
      </c>
      <c r="AO28" s="18">
        <f t="shared" si="17"/>
        <v>0</v>
      </c>
      <c r="AP28" s="18">
        <f t="shared" si="18"/>
        <v>0</v>
      </c>
      <c r="AQ28" s="9"/>
      <c r="AR28" s="18">
        <f t="shared" si="19"/>
        <v>0</v>
      </c>
      <c r="AS28" s="18">
        <f t="shared" si="20"/>
        <v>0</v>
      </c>
      <c r="AT28" s="18">
        <f t="shared" si="21"/>
        <v>0</v>
      </c>
      <c r="AU28" s="18">
        <f t="shared" si="22"/>
        <v>0</v>
      </c>
      <c r="AV28" s="18">
        <f t="shared" si="23"/>
        <v>0</v>
      </c>
      <c r="AW28" s="18">
        <f t="shared" si="24"/>
        <v>1</v>
      </c>
      <c r="AX28" s="18">
        <f t="shared" si="25"/>
        <v>0</v>
      </c>
      <c r="AY28" s="18">
        <f t="shared" si="26"/>
        <v>0</v>
      </c>
      <c r="BA28" s="27">
        <f t="shared" si="37"/>
        <v>0</v>
      </c>
      <c r="BB28" s="27">
        <f t="shared" si="27"/>
        <v>0</v>
      </c>
      <c r="BC28" s="27">
        <f t="shared" si="28"/>
        <v>0</v>
      </c>
      <c r="BD28" s="27">
        <f t="shared" si="29"/>
        <v>0</v>
      </c>
      <c r="BE28" s="27">
        <f t="shared" si="30"/>
        <v>0</v>
      </c>
      <c r="BF28" s="27">
        <f t="shared" si="31"/>
        <v>0</v>
      </c>
      <c r="BG28" s="27">
        <f t="shared" si="32"/>
        <v>0</v>
      </c>
      <c r="BH28" s="27">
        <f t="shared" si="33"/>
        <v>0</v>
      </c>
      <c r="BI28" s="27">
        <f t="shared" si="38"/>
        <v>0</v>
      </c>
      <c r="BJ28" s="27">
        <f t="shared" si="39"/>
        <v>0</v>
      </c>
    </row>
    <row r="29" spans="1:62" ht="22.5">
      <c r="A29" s="5" t="s">
        <v>2</v>
      </c>
      <c r="B29" s="7"/>
      <c r="C29" s="25"/>
      <c r="D29" s="25"/>
      <c r="E29" s="25"/>
      <c r="F29" s="25"/>
      <c r="G29" s="25">
        <v>0</v>
      </c>
      <c r="H29" s="25">
        <v>1</v>
      </c>
      <c r="I29" s="28"/>
      <c r="J29" s="28"/>
      <c r="K29" s="29"/>
      <c r="L29" s="25"/>
      <c r="M29" s="25"/>
      <c r="N29" s="25"/>
      <c r="O29" s="25"/>
      <c r="P29" s="25">
        <v>0</v>
      </c>
      <c r="Q29" s="25">
        <v>1</v>
      </c>
      <c r="R29" s="28"/>
      <c r="S29" s="28"/>
      <c r="U29" s="9">
        <f t="shared" si="10"/>
        <v>1</v>
      </c>
      <c r="V29" s="1">
        <f t="shared" si="34"/>
        <v>3.3333333333333333E-2</v>
      </c>
      <c r="W29" s="11">
        <f t="shared" si="35"/>
        <v>0</v>
      </c>
      <c r="X29" s="12">
        <v>1</v>
      </c>
      <c r="Y29" s="10">
        <f t="shared" si="36"/>
        <v>3.3333333333333333E-2</v>
      </c>
      <c r="Z29" s="18"/>
      <c r="AA29" s="18"/>
      <c r="AB29" s="18"/>
      <c r="AC29" s="18"/>
      <c r="AD29" s="18">
        <v>0</v>
      </c>
      <c r="AE29" s="18">
        <v>1</v>
      </c>
      <c r="AF29" s="18"/>
      <c r="AG29" s="18"/>
      <c r="AH29" s="12"/>
      <c r="AI29" s="18">
        <f t="shared" si="11"/>
        <v>0</v>
      </c>
      <c r="AJ29" s="18">
        <f t="shared" si="12"/>
        <v>0</v>
      </c>
      <c r="AK29" s="18">
        <f t="shared" si="13"/>
        <v>0</v>
      </c>
      <c r="AL29" s="18">
        <f t="shared" si="14"/>
        <v>0</v>
      </c>
      <c r="AM29" s="18">
        <f t="shared" si="15"/>
        <v>0</v>
      </c>
      <c r="AN29" s="18">
        <f t="shared" si="16"/>
        <v>1</v>
      </c>
      <c r="AO29" s="18">
        <f t="shared" si="17"/>
        <v>0</v>
      </c>
      <c r="AP29" s="18">
        <f t="shared" si="18"/>
        <v>0</v>
      </c>
      <c r="AQ29" s="9"/>
      <c r="AR29" s="18">
        <f t="shared" si="19"/>
        <v>0</v>
      </c>
      <c r="AS29" s="18">
        <f t="shared" si="20"/>
        <v>0</v>
      </c>
      <c r="AT29" s="18">
        <f t="shared" si="21"/>
        <v>0</v>
      </c>
      <c r="AU29" s="18">
        <f t="shared" si="22"/>
        <v>0</v>
      </c>
      <c r="AV29" s="18">
        <f t="shared" si="23"/>
        <v>0</v>
      </c>
      <c r="AW29" s="18">
        <f t="shared" si="24"/>
        <v>1</v>
      </c>
      <c r="AX29" s="18">
        <f t="shared" si="25"/>
        <v>0</v>
      </c>
      <c r="AY29" s="18">
        <f t="shared" si="26"/>
        <v>0</v>
      </c>
      <c r="BA29" s="27">
        <f t="shared" si="37"/>
        <v>0</v>
      </c>
      <c r="BB29" s="27">
        <f t="shared" si="27"/>
        <v>0</v>
      </c>
      <c r="BC29" s="27">
        <f t="shared" si="28"/>
        <v>0</v>
      </c>
      <c r="BD29" s="27">
        <f t="shared" si="29"/>
        <v>0</v>
      </c>
      <c r="BE29" s="27">
        <f t="shared" si="30"/>
        <v>0</v>
      </c>
      <c r="BF29" s="27">
        <f t="shared" si="31"/>
        <v>0</v>
      </c>
      <c r="BG29" s="27">
        <f t="shared" si="32"/>
        <v>0</v>
      </c>
      <c r="BH29" s="27">
        <f t="shared" si="33"/>
        <v>0</v>
      </c>
      <c r="BI29" s="27">
        <f t="shared" si="38"/>
        <v>0</v>
      </c>
      <c r="BJ29" s="27">
        <f t="shared" si="39"/>
        <v>0</v>
      </c>
    </row>
    <row r="30" spans="1:62" ht="22.5">
      <c r="A30" s="5" t="s">
        <v>3</v>
      </c>
      <c r="B30" s="7"/>
      <c r="C30" s="25"/>
      <c r="D30" s="25"/>
      <c r="E30" s="25"/>
      <c r="F30" s="25"/>
      <c r="G30" s="25">
        <v>1</v>
      </c>
      <c r="H30" s="25">
        <v>0</v>
      </c>
      <c r="I30" s="28"/>
      <c r="J30" s="28"/>
      <c r="K30" s="29"/>
      <c r="L30" s="25"/>
      <c r="M30" s="25"/>
      <c r="N30" s="25"/>
      <c r="O30" s="25"/>
      <c r="P30" s="25">
        <v>1</v>
      </c>
      <c r="Q30" s="25">
        <v>0</v>
      </c>
      <c r="R30" s="28"/>
      <c r="S30" s="28"/>
      <c r="U30" s="9">
        <f t="shared" si="10"/>
        <v>1</v>
      </c>
      <c r="V30" s="1">
        <f>(1-W30)*Y30</f>
        <v>0.1</v>
      </c>
      <c r="W30" s="11">
        <f t="shared" si="35"/>
        <v>0</v>
      </c>
      <c r="X30" s="12">
        <v>3</v>
      </c>
      <c r="Y30" s="10">
        <f t="shared" si="36"/>
        <v>0.1</v>
      </c>
      <c r="Z30" s="18"/>
      <c r="AA30" s="18"/>
      <c r="AB30" s="18"/>
      <c r="AC30" s="18"/>
      <c r="AD30" s="18">
        <v>0</v>
      </c>
      <c r="AE30" s="18">
        <v>1</v>
      </c>
      <c r="AF30" s="18"/>
      <c r="AG30" s="18"/>
      <c r="AH30" s="12"/>
      <c r="AI30" s="18">
        <f t="shared" si="11"/>
        <v>0</v>
      </c>
      <c r="AJ30" s="18">
        <f t="shared" si="12"/>
        <v>0</v>
      </c>
      <c r="AK30" s="18">
        <f t="shared" si="13"/>
        <v>0</v>
      </c>
      <c r="AL30" s="18">
        <f t="shared" si="14"/>
        <v>0</v>
      </c>
      <c r="AM30" s="18">
        <f t="shared" si="15"/>
        <v>0</v>
      </c>
      <c r="AN30" s="18">
        <f t="shared" si="16"/>
        <v>0</v>
      </c>
      <c r="AO30" s="18">
        <f t="shared" si="17"/>
        <v>0</v>
      </c>
      <c r="AP30" s="18">
        <f t="shared" si="18"/>
        <v>0</v>
      </c>
      <c r="AQ30" s="9"/>
      <c r="AR30" s="18">
        <f t="shared" si="19"/>
        <v>0</v>
      </c>
      <c r="AS30" s="18">
        <f t="shared" si="20"/>
        <v>0</v>
      </c>
      <c r="AT30" s="18">
        <f t="shared" si="21"/>
        <v>0</v>
      </c>
      <c r="AU30" s="18">
        <f t="shared" si="22"/>
        <v>0</v>
      </c>
      <c r="AV30" s="18">
        <f t="shared" si="23"/>
        <v>0</v>
      </c>
      <c r="AW30" s="18">
        <f t="shared" si="24"/>
        <v>0</v>
      </c>
      <c r="AX30" s="18">
        <f t="shared" si="25"/>
        <v>0</v>
      </c>
      <c r="AY30" s="18">
        <f t="shared" si="26"/>
        <v>0</v>
      </c>
      <c r="BA30" s="27">
        <f t="shared" si="37"/>
        <v>0</v>
      </c>
      <c r="BB30" s="27">
        <f t="shared" si="27"/>
        <v>0</v>
      </c>
      <c r="BC30" s="27">
        <f t="shared" si="28"/>
        <v>0</v>
      </c>
      <c r="BD30" s="27">
        <f t="shared" si="29"/>
        <v>0</v>
      </c>
      <c r="BE30" s="27">
        <f t="shared" si="30"/>
        <v>0</v>
      </c>
      <c r="BF30" s="27">
        <f t="shared" si="31"/>
        <v>0</v>
      </c>
      <c r="BG30" s="27">
        <f t="shared" si="32"/>
        <v>0</v>
      </c>
      <c r="BH30" s="27">
        <f t="shared" si="33"/>
        <v>0</v>
      </c>
      <c r="BI30" s="27">
        <f t="shared" si="38"/>
        <v>0</v>
      </c>
      <c r="BJ30" s="27">
        <f t="shared" si="39"/>
        <v>0</v>
      </c>
    </row>
    <row r="31" spans="1:62" ht="22.5">
      <c r="A31" s="8" t="s">
        <v>4</v>
      </c>
      <c r="B31" s="7"/>
      <c r="C31" s="25"/>
      <c r="D31" s="25"/>
      <c r="E31" s="25"/>
      <c r="F31" s="25"/>
      <c r="G31" s="25"/>
      <c r="H31" s="25"/>
      <c r="I31" s="25">
        <v>0</v>
      </c>
      <c r="J31" s="25">
        <v>1</v>
      </c>
      <c r="K31" s="29"/>
      <c r="L31" s="25"/>
      <c r="M31" s="25"/>
      <c r="N31" s="25"/>
      <c r="O31" s="25"/>
      <c r="P31" s="25"/>
      <c r="Q31" s="25"/>
      <c r="R31" s="25">
        <v>0</v>
      </c>
      <c r="S31" s="25">
        <v>1</v>
      </c>
      <c r="U31" s="9">
        <f t="shared" si="10"/>
        <v>1</v>
      </c>
      <c r="V31" s="1">
        <f t="shared" ref="V31:V34" si="40">(1-W31)*Y31</f>
        <v>3.3333333333333333E-2</v>
      </c>
      <c r="W31" s="11">
        <f t="shared" si="35"/>
        <v>0</v>
      </c>
      <c r="X31" s="12">
        <v>1</v>
      </c>
      <c r="Y31" s="10">
        <f t="shared" si="36"/>
        <v>3.3333333333333333E-2</v>
      </c>
      <c r="Z31" s="18"/>
      <c r="AA31" s="18"/>
      <c r="AB31" s="18"/>
      <c r="AC31" s="18"/>
      <c r="AD31" s="18"/>
      <c r="AE31" s="18"/>
      <c r="AF31" s="18">
        <v>0</v>
      </c>
      <c r="AG31" s="18">
        <v>1</v>
      </c>
      <c r="AH31" s="12"/>
      <c r="AI31" s="18">
        <f t="shared" si="11"/>
        <v>0</v>
      </c>
      <c r="AJ31" s="18">
        <f t="shared" si="12"/>
        <v>0</v>
      </c>
      <c r="AK31" s="18">
        <f t="shared" si="13"/>
        <v>0</v>
      </c>
      <c r="AL31" s="18">
        <f t="shared" si="14"/>
        <v>0</v>
      </c>
      <c r="AM31" s="18">
        <f t="shared" si="15"/>
        <v>0</v>
      </c>
      <c r="AN31" s="18">
        <f t="shared" si="16"/>
        <v>0</v>
      </c>
      <c r="AO31" s="18">
        <f t="shared" si="17"/>
        <v>0</v>
      </c>
      <c r="AP31" s="18">
        <f t="shared" si="18"/>
        <v>1</v>
      </c>
      <c r="AQ31" s="9"/>
      <c r="AR31" s="18">
        <f t="shared" si="19"/>
        <v>0</v>
      </c>
      <c r="AS31" s="18">
        <f t="shared" si="20"/>
        <v>0</v>
      </c>
      <c r="AT31" s="18">
        <f t="shared" si="21"/>
        <v>0</v>
      </c>
      <c r="AU31" s="18">
        <f t="shared" si="22"/>
        <v>0</v>
      </c>
      <c r="AV31" s="18">
        <f t="shared" si="23"/>
        <v>0</v>
      </c>
      <c r="AW31" s="18">
        <f t="shared" si="24"/>
        <v>0</v>
      </c>
      <c r="AX31" s="18">
        <f t="shared" si="25"/>
        <v>0</v>
      </c>
      <c r="AY31" s="18">
        <f t="shared" si="26"/>
        <v>1</v>
      </c>
      <c r="BA31" s="27">
        <f t="shared" si="37"/>
        <v>0</v>
      </c>
      <c r="BB31" s="27">
        <f t="shared" si="27"/>
        <v>0</v>
      </c>
      <c r="BC31" s="27">
        <f t="shared" si="28"/>
        <v>0</v>
      </c>
      <c r="BD31" s="27">
        <f t="shared" si="29"/>
        <v>0</v>
      </c>
      <c r="BE31" s="27">
        <f t="shared" si="30"/>
        <v>0</v>
      </c>
      <c r="BF31" s="27">
        <f t="shared" si="31"/>
        <v>0</v>
      </c>
      <c r="BG31" s="27">
        <f t="shared" si="32"/>
        <v>0</v>
      </c>
      <c r="BH31" s="27">
        <f t="shared" si="33"/>
        <v>0</v>
      </c>
      <c r="BI31" s="27">
        <f t="shared" si="38"/>
        <v>0</v>
      </c>
      <c r="BJ31" s="27">
        <f t="shared" si="39"/>
        <v>0</v>
      </c>
    </row>
    <row r="32" spans="1:62" ht="22.5">
      <c r="A32" s="8" t="s">
        <v>22</v>
      </c>
      <c r="B32" s="7"/>
      <c r="C32" s="25"/>
      <c r="D32" s="25"/>
      <c r="E32" s="25"/>
      <c r="F32" s="25"/>
      <c r="G32" s="25"/>
      <c r="H32" s="25"/>
      <c r="I32" s="25">
        <v>0</v>
      </c>
      <c r="J32" s="25">
        <v>1</v>
      </c>
      <c r="K32" s="29"/>
      <c r="L32" s="25"/>
      <c r="M32" s="25"/>
      <c r="N32" s="25"/>
      <c r="O32" s="25"/>
      <c r="P32" s="25"/>
      <c r="Q32" s="25"/>
      <c r="R32" s="25">
        <v>0</v>
      </c>
      <c r="S32" s="25">
        <v>1</v>
      </c>
      <c r="U32" s="9">
        <f t="shared" si="10"/>
        <v>1</v>
      </c>
      <c r="V32" s="1">
        <f t="shared" si="40"/>
        <v>3.3333333333333333E-2</v>
      </c>
      <c r="W32" s="11">
        <f t="shared" si="35"/>
        <v>0</v>
      </c>
      <c r="X32" s="12">
        <v>1</v>
      </c>
      <c r="Y32" s="10">
        <f t="shared" si="36"/>
        <v>3.3333333333333333E-2</v>
      </c>
      <c r="Z32" s="18"/>
      <c r="AA32" s="18"/>
      <c r="AB32" s="18"/>
      <c r="AC32" s="18"/>
      <c r="AD32" s="18"/>
      <c r="AE32" s="18"/>
      <c r="AF32" s="18">
        <v>0</v>
      </c>
      <c r="AG32" s="18">
        <v>1</v>
      </c>
      <c r="AH32" s="12"/>
      <c r="AI32" s="18">
        <f t="shared" si="11"/>
        <v>0</v>
      </c>
      <c r="AJ32" s="18">
        <f t="shared" si="12"/>
        <v>0</v>
      </c>
      <c r="AK32" s="18">
        <f t="shared" si="13"/>
        <v>0</v>
      </c>
      <c r="AL32" s="18">
        <f t="shared" si="14"/>
        <v>0</v>
      </c>
      <c r="AM32" s="18">
        <f t="shared" si="15"/>
        <v>0</v>
      </c>
      <c r="AN32" s="18">
        <f t="shared" si="16"/>
        <v>0</v>
      </c>
      <c r="AO32" s="18">
        <f t="shared" si="17"/>
        <v>0</v>
      </c>
      <c r="AP32" s="18">
        <f t="shared" si="18"/>
        <v>1</v>
      </c>
      <c r="AQ32" s="9"/>
      <c r="AR32" s="18">
        <f t="shared" si="19"/>
        <v>0</v>
      </c>
      <c r="AS32" s="18">
        <f t="shared" si="20"/>
        <v>0</v>
      </c>
      <c r="AT32" s="18">
        <f t="shared" si="21"/>
        <v>0</v>
      </c>
      <c r="AU32" s="18">
        <f t="shared" si="22"/>
        <v>0</v>
      </c>
      <c r="AV32" s="18">
        <f t="shared" si="23"/>
        <v>0</v>
      </c>
      <c r="AW32" s="18">
        <f t="shared" si="24"/>
        <v>0</v>
      </c>
      <c r="AX32" s="18">
        <f t="shared" si="25"/>
        <v>0</v>
      </c>
      <c r="AY32" s="18">
        <f t="shared" si="26"/>
        <v>1</v>
      </c>
      <c r="BA32" s="27">
        <f t="shared" si="37"/>
        <v>0</v>
      </c>
      <c r="BB32" s="27">
        <f t="shared" si="27"/>
        <v>0</v>
      </c>
      <c r="BC32" s="27">
        <f t="shared" si="28"/>
        <v>0</v>
      </c>
      <c r="BD32" s="27">
        <f t="shared" si="29"/>
        <v>0</v>
      </c>
      <c r="BE32" s="27">
        <f t="shared" si="30"/>
        <v>0</v>
      </c>
      <c r="BF32" s="27">
        <f t="shared" si="31"/>
        <v>0</v>
      </c>
      <c r="BG32" s="27">
        <f t="shared" si="32"/>
        <v>0</v>
      </c>
      <c r="BH32" s="27">
        <f t="shared" si="33"/>
        <v>0</v>
      </c>
      <c r="BI32" s="27">
        <f t="shared" si="38"/>
        <v>0</v>
      </c>
      <c r="BJ32" s="27">
        <f t="shared" si="39"/>
        <v>0</v>
      </c>
    </row>
    <row r="33" spans="1:62" ht="22.5">
      <c r="A33" s="8" t="s">
        <v>23</v>
      </c>
      <c r="B33" s="7"/>
      <c r="C33" s="25"/>
      <c r="D33" s="25"/>
      <c r="E33" s="25"/>
      <c r="F33" s="25"/>
      <c r="G33" s="25"/>
      <c r="H33" s="25"/>
      <c r="I33" s="25">
        <v>0</v>
      </c>
      <c r="J33" s="25">
        <v>1</v>
      </c>
      <c r="K33" s="29"/>
      <c r="L33" s="25"/>
      <c r="M33" s="25"/>
      <c r="N33" s="25"/>
      <c r="O33" s="25"/>
      <c r="P33" s="25"/>
      <c r="Q33" s="25"/>
      <c r="R33" s="25">
        <v>0</v>
      </c>
      <c r="S33" s="25">
        <v>1</v>
      </c>
      <c r="U33" s="9">
        <f>IF(MATCH(1,C33:J33,0)=MATCH(1,L33:S33,0),1,0)</f>
        <v>1</v>
      </c>
      <c r="V33" s="1">
        <f t="shared" si="40"/>
        <v>3.3333333333333333E-2</v>
      </c>
      <c r="W33" s="11">
        <f>BI33</f>
        <v>0</v>
      </c>
      <c r="X33" s="12">
        <v>1</v>
      </c>
      <c r="Y33" s="10">
        <f t="shared" si="36"/>
        <v>3.3333333333333333E-2</v>
      </c>
      <c r="Z33" s="18"/>
      <c r="AA33" s="18"/>
      <c r="AB33" s="18"/>
      <c r="AC33" s="18"/>
      <c r="AD33" s="18"/>
      <c r="AE33" s="18"/>
      <c r="AF33" s="18">
        <v>0</v>
      </c>
      <c r="AG33" s="18">
        <v>1</v>
      </c>
      <c r="AI33" s="18">
        <f t="shared" si="11"/>
        <v>0</v>
      </c>
      <c r="AJ33" s="18">
        <f t="shared" si="12"/>
        <v>0</v>
      </c>
      <c r="AK33" s="18">
        <f t="shared" si="13"/>
        <v>0</v>
      </c>
      <c r="AL33" s="18">
        <f t="shared" si="14"/>
        <v>0</v>
      </c>
      <c r="AM33" s="18">
        <f t="shared" si="15"/>
        <v>0</v>
      </c>
      <c r="AN33" s="18">
        <f t="shared" si="16"/>
        <v>0</v>
      </c>
      <c r="AO33" s="18">
        <f t="shared" si="17"/>
        <v>0</v>
      </c>
      <c r="AP33" s="18">
        <f t="shared" si="18"/>
        <v>1</v>
      </c>
      <c r="AQ33" s="9" t="s">
        <v>24</v>
      </c>
      <c r="AR33" s="18">
        <f t="shared" si="19"/>
        <v>0</v>
      </c>
      <c r="AS33" s="18">
        <f t="shared" si="20"/>
        <v>0</v>
      </c>
      <c r="AT33" s="18">
        <f t="shared" si="21"/>
        <v>0</v>
      </c>
      <c r="AU33" s="18">
        <f t="shared" si="22"/>
        <v>0</v>
      </c>
      <c r="AV33" s="18">
        <f t="shared" si="23"/>
        <v>0</v>
      </c>
      <c r="AW33" s="18">
        <f t="shared" si="24"/>
        <v>0</v>
      </c>
      <c r="AX33" s="18">
        <f t="shared" si="25"/>
        <v>0</v>
      </c>
      <c r="AY33" s="18">
        <f t="shared" si="26"/>
        <v>1</v>
      </c>
      <c r="BA33" s="27">
        <f t="shared" si="37"/>
        <v>0</v>
      </c>
      <c r="BB33" s="27">
        <f t="shared" si="27"/>
        <v>0</v>
      </c>
      <c r="BC33" s="27">
        <f t="shared" si="28"/>
        <v>0</v>
      </c>
      <c r="BD33" s="27">
        <f t="shared" si="29"/>
        <v>0</v>
      </c>
      <c r="BE33" s="27">
        <f t="shared" si="30"/>
        <v>0</v>
      </c>
      <c r="BF33" s="27">
        <f t="shared" si="31"/>
        <v>0</v>
      </c>
      <c r="BG33" s="27">
        <f t="shared" si="32"/>
        <v>0</v>
      </c>
      <c r="BH33" s="27">
        <f t="shared" si="33"/>
        <v>0</v>
      </c>
      <c r="BI33" s="27">
        <f t="shared" si="38"/>
        <v>0</v>
      </c>
      <c r="BJ33" s="27">
        <f t="shared" si="39"/>
        <v>0</v>
      </c>
    </row>
    <row r="34" spans="1:62" ht="22.5">
      <c r="A34" s="14" t="s">
        <v>5</v>
      </c>
      <c r="B34" s="7"/>
      <c r="C34" s="25"/>
      <c r="D34" s="25"/>
      <c r="E34" s="25"/>
      <c r="F34" s="25"/>
      <c r="G34" s="25"/>
      <c r="H34" s="25"/>
      <c r="I34" s="25">
        <v>1</v>
      </c>
      <c r="J34" s="25">
        <v>0</v>
      </c>
      <c r="K34" s="29"/>
      <c r="L34" s="25"/>
      <c r="M34" s="25"/>
      <c r="N34" s="25"/>
      <c r="O34" s="25"/>
      <c r="P34" s="25"/>
      <c r="Q34" s="25"/>
      <c r="R34" s="25">
        <v>1</v>
      </c>
      <c r="S34" s="25">
        <v>0</v>
      </c>
      <c r="T34" s="3"/>
      <c r="U34" s="9">
        <f t="shared" ref="U34:U35" si="41">IF(MATCH(1,C34:J34,0)=MATCH(1,L34:S34,0),1,0)</f>
        <v>1</v>
      </c>
      <c r="V34" s="1">
        <f t="shared" si="40"/>
        <v>0.16666666666666666</v>
      </c>
      <c r="W34" s="11">
        <f t="shared" ref="W34" si="42">BI34</f>
        <v>0</v>
      </c>
      <c r="X34" s="12">
        <v>5</v>
      </c>
      <c r="Y34" s="10">
        <f t="shared" si="36"/>
        <v>0.16666666666666666</v>
      </c>
      <c r="Z34" s="18"/>
      <c r="AA34" s="18"/>
      <c r="AB34" s="18"/>
      <c r="AC34" s="18"/>
      <c r="AD34" s="18"/>
      <c r="AE34" s="18"/>
      <c r="AF34" s="18">
        <v>0</v>
      </c>
      <c r="AG34" s="18">
        <v>1</v>
      </c>
      <c r="AH34" s="20"/>
      <c r="AI34" s="18">
        <f t="shared" si="11"/>
        <v>0</v>
      </c>
      <c r="AJ34" s="18">
        <f t="shared" si="12"/>
        <v>0</v>
      </c>
      <c r="AK34" s="18">
        <f t="shared" si="13"/>
        <v>0</v>
      </c>
      <c r="AL34" s="18">
        <f t="shared" si="14"/>
        <v>0</v>
      </c>
      <c r="AM34" s="18">
        <f t="shared" si="15"/>
        <v>0</v>
      </c>
      <c r="AN34" s="18">
        <f t="shared" si="16"/>
        <v>0</v>
      </c>
      <c r="AO34" s="18">
        <f t="shared" si="17"/>
        <v>0</v>
      </c>
      <c r="AP34" s="18">
        <f t="shared" si="18"/>
        <v>0</v>
      </c>
      <c r="AQ34" s="9"/>
      <c r="AR34" s="18">
        <f t="shared" si="19"/>
        <v>0</v>
      </c>
      <c r="AS34" s="18">
        <f t="shared" si="20"/>
        <v>0</v>
      </c>
      <c r="AT34" s="18">
        <f t="shared" si="21"/>
        <v>0</v>
      </c>
      <c r="AU34" s="18">
        <f t="shared" si="22"/>
        <v>0</v>
      </c>
      <c r="AV34" s="18">
        <f>P34*AD34</f>
        <v>0</v>
      </c>
      <c r="AW34" s="18">
        <f t="shared" si="24"/>
        <v>0</v>
      </c>
      <c r="AX34" s="18">
        <f t="shared" si="25"/>
        <v>0</v>
      </c>
      <c r="AY34" s="18">
        <f t="shared" si="26"/>
        <v>0</v>
      </c>
      <c r="BA34" s="27">
        <f>(AI34-AR34)</f>
        <v>0</v>
      </c>
      <c r="BB34" s="27">
        <f t="shared" si="27"/>
        <v>0</v>
      </c>
      <c r="BC34" s="27">
        <f t="shared" si="28"/>
        <v>0</v>
      </c>
      <c r="BD34" s="27">
        <f t="shared" si="29"/>
        <v>0</v>
      </c>
      <c r="BE34" s="27">
        <f t="shared" si="30"/>
        <v>0</v>
      </c>
      <c r="BF34" s="27">
        <f t="shared" si="31"/>
        <v>0</v>
      </c>
      <c r="BG34" s="27">
        <f t="shared" si="32"/>
        <v>0</v>
      </c>
      <c r="BH34" s="27">
        <f t="shared" si="33"/>
        <v>0</v>
      </c>
      <c r="BI34" s="27">
        <f t="shared" si="38"/>
        <v>0</v>
      </c>
      <c r="BJ34" s="27">
        <f t="shared" si="39"/>
        <v>0</v>
      </c>
    </row>
    <row r="35" spans="1:62">
      <c r="C35" s="30"/>
      <c r="D35" s="30"/>
      <c r="E35" s="30"/>
      <c r="F35" s="30"/>
      <c r="G35" s="30"/>
      <c r="H35" s="30"/>
      <c r="I35" s="30"/>
      <c r="J35" s="30"/>
      <c r="K35" s="29"/>
      <c r="L35" s="30"/>
      <c r="M35" s="30"/>
      <c r="N35" s="30"/>
      <c r="O35" s="30"/>
      <c r="P35" s="30"/>
      <c r="Q35" s="30"/>
      <c r="R35" s="30"/>
      <c r="S35" s="30"/>
      <c r="T35" s="3">
        <f>SUM(V36:V51)</f>
        <v>0.93666666666666654</v>
      </c>
      <c r="U35" s="12" t="e">
        <f t="shared" si="41"/>
        <v>#N/A</v>
      </c>
      <c r="Z35" s="20"/>
      <c r="AA35" s="20"/>
      <c r="AB35" s="20"/>
      <c r="AC35" s="20"/>
      <c r="AD35" s="20"/>
      <c r="AE35" s="20"/>
      <c r="AF35" s="20"/>
      <c r="AG35" s="20"/>
      <c r="AH35" s="20"/>
      <c r="AI35" s="11">
        <f t="shared" si="11"/>
        <v>0</v>
      </c>
      <c r="AJ35" s="11">
        <f t="shared" si="12"/>
        <v>0</v>
      </c>
      <c r="AK35" s="11">
        <f t="shared" si="13"/>
        <v>0</v>
      </c>
      <c r="AL35" s="11">
        <f t="shared" si="14"/>
        <v>0</v>
      </c>
      <c r="AM35" s="11">
        <f t="shared" si="15"/>
        <v>0</v>
      </c>
      <c r="AN35" s="11">
        <f t="shared" si="16"/>
        <v>0</v>
      </c>
      <c r="AR35" s="11">
        <f t="shared" si="19"/>
        <v>0</v>
      </c>
      <c r="AS35" s="11">
        <f t="shared" si="20"/>
        <v>0</v>
      </c>
      <c r="AT35" s="11">
        <f t="shared" si="21"/>
        <v>0</v>
      </c>
      <c r="AU35" s="11">
        <f t="shared" si="22"/>
        <v>0</v>
      </c>
      <c r="AV35" s="11">
        <f>P35*AD35</f>
        <v>0</v>
      </c>
      <c r="AW35" s="11">
        <f t="shared" si="24"/>
        <v>0</v>
      </c>
      <c r="BA35" s="27">
        <f>(AI35-AR35)</f>
        <v>0</v>
      </c>
      <c r="BB35" s="27">
        <f t="shared" si="27"/>
        <v>0</v>
      </c>
      <c r="BC35" s="27">
        <f t="shared" si="28"/>
        <v>0</v>
      </c>
      <c r="BD35" s="27">
        <f t="shared" si="29"/>
        <v>0</v>
      </c>
      <c r="BE35" s="27">
        <f t="shared" si="30"/>
        <v>0</v>
      </c>
      <c r="BF35" s="27">
        <f t="shared" si="31"/>
        <v>0</v>
      </c>
    </row>
    <row r="36" spans="1:62" ht="22.5">
      <c r="A36" s="6" t="s">
        <v>10</v>
      </c>
      <c r="B36" s="7"/>
      <c r="C36" s="25">
        <v>0</v>
      </c>
      <c r="D36" s="28">
        <v>1</v>
      </c>
      <c r="E36" s="28"/>
      <c r="F36" s="28"/>
      <c r="G36" s="28"/>
      <c r="H36" s="28"/>
      <c r="I36" s="28"/>
      <c r="J36" s="28"/>
      <c r="K36" s="29"/>
      <c r="L36" s="25">
        <v>0</v>
      </c>
      <c r="M36" s="28">
        <v>1</v>
      </c>
      <c r="N36" s="28"/>
      <c r="O36" s="28"/>
      <c r="P36" s="28"/>
      <c r="Q36" s="28"/>
      <c r="R36" s="28"/>
      <c r="S36" s="28"/>
      <c r="U36" s="9">
        <f t="shared" ref="U36:U49" si="43">IF(MATCH(1,C36:J36,0)=MATCH(1,L36:S36,0),1,0)</f>
        <v>1</v>
      </c>
      <c r="V36" s="1">
        <f>(1-W36)*Y36</f>
        <v>3.3333333333333333E-2</v>
      </c>
      <c r="W36" s="11">
        <f>BI36</f>
        <v>0</v>
      </c>
      <c r="X36" s="9">
        <v>1</v>
      </c>
      <c r="Y36" s="10">
        <f>X36/SUM($X$2:$X$17)</f>
        <v>3.3333333333333333E-2</v>
      </c>
      <c r="Z36" s="18">
        <v>0</v>
      </c>
      <c r="AA36" s="18">
        <v>1</v>
      </c>
      <c r="AB36" s="18"/>
      <c r="AC36" s="18"/>
      <c r="AD36" s="18"/>
      <c r="AE36" s="18"/>
      <c r="AF36" s="18"/>
      <c r="AG36" s="18"/>
      <c r="AH36" s="12"/>
      <c r="AI36" s="18">
        <f t="shared" ref="AI36:AI52" si="44">C36*Z36</f>
        <v>0</v>
      </c>
      <c r="AJ36" s="18">
        <f t="shared" ref="AJ36:AJ52" si="45">D36*AA36</f>
        <v>1</v>
      </c>
      <c r="AK36" s="18">
        <f t="shared" ref="AK36:AK52" si="46">E36*AB36</f>
        <v>0</v>
      </c>
      <c r="AL36" s="18">
        <f t="shared" ref="AL36:AL52" si="47">F36*AC36</f>
        <v>0</v>
      </c>
      <c r="AM36" s="18">
        <f t="shared" ref="AM36:AM52" si="48">G36*AD36</f>
        <v>0</v>
      </c>
      <c r="AN36" s="18">
        <f t="shared" ref="AN36:AN52" si="49">H36*AE36</f>
        <v>0</v>
      </c>
      <c r="AO36" s="18">
        <f t="shared" ref="AO36:AO51" si="50">I36*AF36</f>
        <v>0</v>
      </c>
      <c r="AP36" s="18">
        <f t="shared" ref="AP36:AP51" si="51">J36*AG36</f>
        <v>0</v>
      </c>
      <c r="AQ36" s="9"/>
      <c r="AR36" s="18">
        <f t="shared" ref="AR36:AR52" si="52">L36*Z36</f>
        <v>0</v>
      </c>
      <c r="AS36" s="18">
        <f t="shared" ref="AS36:AS52" si="53">M36*AA36</f>
        <v>1</v>
      </c>
      <c r="AT36" s="18">
        <f t="shared" ref="AT36:AT52" si="54">N36*AB36</f>
        <v>0</v>
      </c>
      <c r="AU36" s="18">
        <f t="shared" ref="AU36:AU52" si="55">O36*AC36</f>
        <v>0</v>
      </c>
      <c r="AV36" s="18">
        <f t="shared" ref="AV36:AV50" si="56">P36*AD36</f>
        <v>0</v>
      </c>
      <c r="AW36" s="18">
        <f t="shared" ref="AW36:AW52" si="57">Q36*AE36</f>
        <v>0</v>
      </c>
      <c r="AX36" s="18">
        <f t="shared" ref="AX36:AX51" si="58">R36*AF36</f>
        <v>0</v>
      </c>
      <c r="AY36" s="18">
        <f t="shared" ref="AY36:AY51" si="59">S36*AG36</f>
        <v>0</v>
      </c>
      <c r="BA36" s="27">
        <f>(AI36-AR36)</f>
        <v>0</v>
      </c>
      <c r="BB36" s="27">
        <f t="shared" ref="BB36:BB52" si="60">(AJ36-AS36)</f>
        <v>0</v>
      </c>
      <c r="BC36" s="27">
        <f t="shared" ref="BC36:BC52" si="61">(AK36-AT36)</f>
        <v>0</v>
      </c>
      <c r="BD36" s="27">
        <f t="shared" ref="BD36:BD52" si="62">(AL36-AU36)</f>
        <v>0</v>
      </c>
      <c r="BE36" s="27">
        <f t="shared" ref="BE36:BE52" si="63">(AM36-AV36)</f>
        <v>0</v>
      </c>
      <c r="BF36" s="27">
        <f t="shared" ref="BF36:BF52" si="64">(AN36-AW36)</f>
        <v>0</v>
      </c>
      <c r="BG36" s="27">
        <f t="shared" ref="BG36:BG51" si="65">(AO36-AX36)</f>
        <v>0</v>
      </c>
      <c r="BH36" s="27">
        <f t="shared" ref="BH36:BH51" si="66">(AP36-AY36)</f>
        <v>0</v>
      </c>
      <c r="BI36" s="27">
        <f>ABS(SUM(BA36:BH36))</f>
        <v>0</v>
      </c>
      <c r="BJ36" s="27">
        <f>BI36*Y36</f>
        <v>0</v>
      </c>
    </row>
    <row r="37" spans="1:62" ht="22.5">
      <c r="A37" s="6" t="s">
        <v>11</v>
      </c>
      <c r="B37" s="7"/>
      <c r="C37" s="25">
        <v>0</v>
      </c>
      <c r="D37" s="28">
        <v>1</v>
      </c>
      <c r="E37" s="28"/>
      <c r="F37" s="28"/>
      <c r="G37" s="28"/>
      <c r="H37" s="28"/>
      <c r="I37" s="28"/>
      <c r="J37" s="28"/>
      <c r="K37" s="29"/>
      <c r="L37" s="25">
        <v>0</v>
      </c>
      <c r="M37" s="28">
        <v>1</v>
      </c>
      <c r="N37" s="28"/>
      <c r="O37" s="28"/>
      <c r="P37" s="28"/>
      <c r="Q37" s="28"/>
      <c r="R37" s="28"/>
      <c r="S37" s="28"/>
      <c r="U37" s="9">
        <f t="shared" si="43"/>
        <v>1</v>
      </c>
      <c r="V37" s="1">
        <f t="shared" ref="V37:V46" si="67">(1-W37)*Y37</f>
        <v>3.3333333333333333E-2</v>
      </c>
      <c r="W37" s="11">
        <f t="shared" ref="W37:W49" si="68">BI37</f>
        <v>0</v>
      </c>
      <c r="X37" s="9">
        <v>1</v>
      </c>
      <c r="Y37" s="10">
        <f t="shared" ref="Y37:Y51" si="69">X37/SUM($X$2:$X$17)</f>
        <v>3.3333333333333333E-2</v>
      </c>
      <c r="Z37" s="18">
        <v>0</v>
      </c>
      <c r="AA37" s="18">
        <v>1</v>
      </c>
      <c r="AB37" s="18"/>
      <c r="AC37" s="18"/>
      <c r="AD37" s="18"/>
      <c r="AE37" s="18"/>
      <c r="AF37" s="18"/>
      <c r="AG37" s="18"/>
      <c r="AH37" s="12"/>
      <c r="AI37" s="18">
        <f t="shared" si="44"/>
        <v>0</v>
      </c>
      <c r="AJ37" s="18">
        <f t="shared" si="45"/>
        <v>1</v>
      </c>
      <c r="AK37" s="18">
        <f t="shared" si="46"/>
        <v>0</v>
      </c>
      <c r="AL37" s="18">
        <f t="shared" si="47"/>
        <v>0</v>
      </c>
      <c r="AM37" s="18">
        <f t="shared" si="48"/>
        <v>0</v>
      </c>
      <c r="AN37" s="18">
        <f t="shared" si="49"/>
        <v>0</v>
      </c>
      <c r="AO37" s="18">
        <f t="shared" si="50"/>
        <v>0</v>
      </c>
      <c r="AP37" s="18">
        <f t="shared" si="51"/>
        <v>0</v>
      </c>
      <c r="AQ37" s="9"/>
      <c r="AR37" s="18">
        <f t="shared" si="52"/>
        <v>0</v>
      </c>
      <c r="AS37" s="18">
        <f t="shared" si="53"/>
        <v>1</v>
      </c>
      <c r="AT37" s="18">
        <f t="shared" si="54"/>
        <v>0</v>
      </c>
      <c r="AU37" s="18">
        <f t="shared" si="55"/>
        <v>0</v>
      </c>
      <c r="AV37" s="18">
        <f t="shared" si="56"/>
        <v>0</v>
      </c>
      <c r="AW37" s="18">
        <f t="shared" si="57"/>
        <v>0</v>
      </c>
      <c r="AX37" s="18">
        <f t="shared" si="58"/>
        <v>0</v>
      </c>
      <c r="AY37" s="18">
        <f t="shared" si="59"/>
        <v>0</v>
      </c>
      <c r="BA37" s="27">
        <f t="shared" ref="BA37:BA50" si="70">(AI37-AR37)</f>
        <v>0</v>
      </c>
      <c r="BB37" s="27">
        <f t="shared" si="60"/>
        <v>0</v>
      </c>
      <c r="BC37" s="27">
        <f t="shared" si="61"/>
        <v>0</v>
      </c>
      <c r="BD37" s="27">
        <f t="shared" si="62"/>
        <v>0</v>
      </c>
      <c r="BE37" s="27">
        <f t="shared" si="63"/>
        <v>0</v>
      </c>
      <c r="BF37" s="27">
        <f t="shared" si="64"/>
        <v>0</v>
      </c>
      <c r="BG37" s="27">
        <f t="shared" si="65"/>
        <v>0</v>
      </c>
      <c r="BH37" s="27">
        <f t="shared" si="66"/>
        <v>0</v>
      </c>
      <c r="BI37" s="27">
        <f t="shared" ref="BI37:BI51" si="71">ABS(SUM(BA37:BH37))</f>
        <v>0</v>
      </c>
      <c r="BJ37" s="27">
        <f t="shared" ref="BJ37:BJ51" si="72">BI37*Y37</f>
        <v>0</v>
      </c>
    </row>
    <row r="38" spans="1:62" s="22" customFormat="1" ht="22.5">
      <c r="A38" s="8" t="s">
        <v>12</v>
      </c>
      <c r="B38" s="21"/>
      <c r="C38" s="25">
        <v>0</v>
      </c>
      <c r="D38" s="25">
        <v>1</v>
      </c>
      <c r="E38" s="25">
        <v>0</v>
      </c>
      <c r="F38" s="28">
        <v>0</v>
      </c>
      <c r="G38" s="28"/>
      <c r="H38" s="28"/>
      <c r="I38" s="28"/>
      <c r="J38" s="28"/>
      <c r="K38" s="29"/>
      <c r="L38" s="25">
        <v>1</v>
      </c>
      <c r="M38" s="25">
        <v>0</v>
      </c>
      <c r="N38" s="25">
        <v>0</v>
      </c>
      <c r="O38" s="28">
        <v>0</v>
      </c>
      <c r="P38" s="28"/>
      <c r="Q38" s="28"/>
      <c r="R38" s="28"/>
      <c r="S38" s="28"/>
      <c r="T38"/>
      <c r="U38" s="23">
        <f t="shared" si="43"/>
        <v>0</v>
      </c>
      <c r="V38" s="1">
        <f t="shared" si="67"/>
        <v>6.9999999999999993E-2</v>
      </c>
      <c r="W38" s="11">
        <f t="shared" si="68"/>
        <v>0.3</v>
      </c>
      <c r="X38" s="23">
        <v>3</v>
      </c>
      <c r="Y38" s="24">
        <f t="shared" si="69"/>
        <v>0.1</v>
      </c>
      <c r="Z38" s="18">
        <v>0</v>
      </c>
      <c r="AA38" s="18">
        <v>0.3</v>
      </c>
      <c r="AB38" s="18">
        <v>0.8</v>
      </c>
      <c r="AC38" s="18">
        <v>1</v>
      </c>
      <c r="AD38" s="18"/>
      <c r="AE38" s="18"/>
      <c r="AF38" s="18"/>
      <c r="AG38" s="18"/>
      <c r="AH38" s="12"/>
      <c r="AI38" s="18">
        <f t="shared" si="44"/>
        <v>0</v>
      </c>
      <c r="AJ38" s="18">
        <f t="shared" si="45"/>
        <v>0.3</v>
      </c>
      <c r="AK38" s="18">
        <f t="shared" si="46"/>
        <v>0</v>
      </c>
      <c r="AL38" s="18">
        <f t="shared" si="47"/>
        <v>0</v>
      </c>
      <c r="AM38" s="18">
        <f t="shared" si="48"/>
        <v>0</v>
      </c>
      <c r="AN38" s="18">
        <f t="shared" si="49"/>
        <v>0</v>
      </c>
      <c r="AO38" s="18">
        <f t="shared" si="50"/>
        <v>0</v>
      </c>
      <c r="AP38" s="18">
        <f t="shared" si="51"/>
        <v>0</v>
      </c>
      <c r="AQ38" s="23"/>
      <c r="AR38" s="18">
        <f t="shared" si="52"/>
        <v>0</v>
      </c>
      <c r="AS38" s="18">
        <f t="shared" si="53"/>
        <v>0</v>
      </c>
      <c r="AT38" s="18">
        <f t="shared" si="54"/>
        <v>0</v>
      </c>
      <c r="AU38" s="18">
        <f t="shared" si="55"/>
        <v>0</v>
      </c>
      <c r="AV38" s="18">
        <f t="shared" si="56"/>
        <v>0</v>
      </c>
      <c r="AW38" s="18">
        <f t="shared" si="57"/>
        <v>0</v>
      </c>
      <c r="AX38" s="18">
        <f t="shared" si="58"/>
        <v>0</v>
      </c>
      <c r="AY38" s="18">
        <f t="shared" si="59"/>
        <v>0</v>
      </c>
      <c r="BA38" s="27">
        <f t="shared" si="70"/>
        <v>0</v>
      </c>
      <c r="BB38" s="27">
        <f t="shared" si="60"/>
        <v>0.3</v>
      </c>
      <c r="BC38" s="27">
        <f t="shared" si="61"/>
        <v>0</v>
      </c>
      <c r="BD38" s="27">
        <f t="shared" si="62"/>
        <v>0</v>
      </c>
      <c r="BE38" s="27">
        <f t="shared" si="63"/>
        <v>0</v>
      </c>
      <c r="BF38" s="27">
        <f t="shared" si="64"/>
        <v>0</v>
      </c>
      <c r="BG38" s="27">
        <f t="shared" si="65"/>
        <v>0</v>
      </c>
      <c r="BH38" s="27">
        <f t="shared" si="66"/>
        <v>0</v>
      </c>
      <c r="BI38" s="27">
        <f t="shared" si="71"/>
        <v>0.3</v>
      </c>
      <c r="BJ38" s="27">
        <f t="shared" si="72"/>
        <v>0.03</v>
      </c>
    </row>
    <row r="39" spans="1:62" s="22" customFormat="1" ht="22.5">
      <c r="A39" s="8" t="s">
        <v>13</v>
      </c>
      <c r="B39" s="21"/>
      <c r="C39" s="25">
        <v>0</v>
      </c>
      <c r="D39" s="25">
        <v>0</v>
      </c>
      <c r="E39" s="25">
        <v>0</v>
      </c>
      <c r="F39" s="28">
        <v>1</v>
      </c>
      <c r="G39" s="28"/>
      <c r="H39" s="28"/>
      <c r="I39" s="28"/>
      <c r="J39" s="28"/>
      <c r="K39" s="29"/>
      <c r="L39" s="25">
        <v>0</v>
      </c>
      <c r="M39" s="25">
        <v>0</v>
      </c>
      <c r="N39" s="25">
        <v>0</v>
      </c>
      <c r="O39" s="28">
        <v>1</v>
      </c>
      <c r="P39" s="28"/>
      <c r="Q39" s="28"/>
      <c r="R39" s="28"/>
      <c r="S39" s="28"/>
      <c r="T39"/>
      <c r="U39" s="23">
        <f t="shared" si="43"/>
        <v>1</v>
      </c>
      <c r="V39" s="1">
        <f t="shared" si="67"/>
        <v>3.3333333333333333E-2</v>
      </c>
      <c r="W39" s="11">
        <f t="shared" si="68"/>
        <v>0</v>
      </c>
      <c r="X39" s="23">
        <v>1</v>
      </c>
      <c r="Y39" s="24">
        <f t="shared" si="69"/>
        <v>3.3333333333333333E-2</v>
      </c>
      <c r="Z39" s="18">
        <v>0</v>
      </c>
      <c r="AA39" s="18">
        <v>0.3</v>
      </c>
      <c r="AB39" s="18">
        <v>0.8</v>
      </c>
      <c r="AC39" s="18">
        <v>1</v>
      </c>
      <c r="AD39" s="18"/>
      <c r="AE39" s="18"/>
      <c r="AF39" s="18"/>
      <c r="AG39" s="18"/>
      <c r="AH39" s="12"/>
      <c r="AI39" s="18">
        <f t="shared" si="44"/>
        <v>0</v>
      </c>
      <c r="AJ39" s="18">
        <f t="shared" si="45"/>
        <v>0</v>
      </c>
      <c r="AK39" s="18">
        <f t="shared" si="46"/>
        <v>0</v>
      </c>
      <c r="AL39" s="18">
        <f t="shared" si="47"/>
        <v>1</v>
      </c>
      <c r="AM39" s="18">
        <f t="shared" si="48"/>
        <v>0</v>
      </c>
      <c r="AN39" s="18">
        <f t="shared" si="49"/>
        <v>0</v>
      </c>
      <c r="AO39" s="18">
        <f t="shared" si="50"/>
        <v>0</v>
      </c>
      <c r="AP39" s="18">
        <f t="shared" si="51"/>
        <v>0</v>
      </c>
      <c r="AQ39" s="23"/>
      <c r="AR39" s="18">
        <f t="shared" si="52"/>
        <v>0</v>
      </c>
      <c r="AS39" s="18">
        <f t="shared" si="53"/>
        <v>0</v>
      </c>
      <c r="AT39" s="18">
        <f t="shared" si="54"/>
        <v>0</v>
      </c>
      <c r="AU39" s="18">
        <f t="shared" si="55"/>
        <v>1</v>
      </c>
      <c r="AV39" s="18">
        <f t="shared" si="56"/>
        <v>0</v>
      </c>
      <c r="AW39" s="18">
        <f t="shared" si="57"/>
        <v>0</v>
      </c>
      <c r="AX39" s="18">
        <f t="shared" si="58"/>
        <v>0</v>
      </c>
      <c r="AY39" s="18">
        <f t="shared" si="59"/>
        <v>0</v>
      </c>
      <c r="BA39" s="27">
        <f t="shared" si="70"/>
        <v>0</v>
      </c>
      <c r="BB39" s="27">
        <f t="shared" si="60"/>
        <v>0</v>
      </c>
      <c r="BC39" s="27">
        <f t="shared" si="61"/>
        <v>0</v>
      </c>
      <c r="BD39" s="27">
        <f t="shared" si="62"/>
        <v>0</v>
      </c>
      <c r="BE39" s="27">
        <f t="shared" si="63"/>
        <v>0</v>
      </c>
      <c r="BF39" s="27">
        <f t="shared" si="64"/>
        <v>0</v>
      </c>
      <c r="BG39" s="27">
        <f t="shared" si="65"/>
        <v>0</v>
      </c>
      <c r="BH39" s="27">
        <f t="shared" si="66"/>
        <v>0</v>
      </c>
      <c r="BI39" s="27">
        <f t="shared" si="71"/>
        <v>0</v>
      </c>
      <c r="BJ39" s="27">
        <f t="shared" si="72"/>
        <v>0</v>
      </c>
    </row>
    <row r="40" spans="1:62" s="22" customFormat="1" ht="22.5">
      <c r="A40" s="8" t="s">
        <v>14</v>
      </c>
      <c r="B40" s="21"/>
      <c r="C40" s="25">
        <v>0</v>
      </c>
      <c r="D40" s="25">
        <v>0</v>
      </c>
      <c r="E40" s="25">
        <v>1</v>
      </c>
      <c r="F40" s="28">
        <v>0</v>
      </c>
      <c r="G40" s="28"/>
      <c r="H40" s="28"/>
      <c r="I40" s="28"/>
      <c r="J40" s="28"/>
      <c r="K40" s="29"/>
      <c r="L40" s="25">
        <v>0</v>
      </c>
      <c r="M40" s="25">
        <v>0</v>
      </c>
      <c r="N40" s="25">
        <v>1</v>
      </c>
      <c r="O40" s="28">
        <v>0</v>
      </c>
      <c r="P40" s="28"/>
      <c r="Q40" s="28"/>
      <c r="R40" s="28"/>
      <c r="S40" s="28"/>
      <c r="T40"/>
      <c r="U40" s="23">
        <f t="shared" si="43"/>
        <v>1</v>
      </c>
      <c r="V40" s="1">
        <f t="shared" si="67"/>
        <v>3.3333333333333333E-2</v>
      </c>
      <c r="W40" s="11">
        <f t="shared" si="68"/>
        <v>0</v>
      </c>
      <c r="X40" s="23">
        <v>1</v>
      </c>
      <c r="Y40" s="24">
        <f t="shared" si="69"/>
        <v>3.3333333333333333E-2</v>
      </c>
      <c r="Z40" s="18">
        <v>0</v>
      </c>
      <c r="AA40" s="18">
        <v>0.3</v>
      </c>
      <c r="AB40" s="18">
        <v>0.8</v>
      </c>
      <c r="AC40" s="18">
        <v>1</v>
      </c>
      <c r="AD40" s="18"/>
      <c r="AE40" s="18"/>
      <c r="AF40" s="18"/>
      <c r="AG40" s="18"/>
      <c r="AH40" s="12"/>
      <c r="AI40" s="18">
        <f t="shared" si="44"/>
        <v>0</v>
      </c>
      <c r="AJ40" s="18">
        <f t="shared" si="45"/>
        <v>0</v>
      </c>
      <c r="AK40" s="18">
        <f t="shared" si="46"/>
        <v>0.8</v>
      </c>
      <c r="AL40" s="18">
        <f t="shared" si="47"/>
        <v>0</v>
      </c>
      <c r="AM40" s="18">
        <f t="shared" si="48"/>
        <v>0</v>
      </c>
      <c r="AN40" s="18">
        <f t="shared" si="49"/>
        <v>0</v>
      </c>
      <c r="AO40" s="18">
        <f t="shared" si="50"/>
        <v>0</v>
      </c>
      <c r="AP40" s="18">
        <f t="shared" si="51"/>
        <v>0</v>
      </c>
      <c r="AQ40" s="23"/>
      <c r="AR40" s="18">
        <f t="shared" si="52"/>
        <v>0</v>
      </c>
      <c r="AS40" s="18">
        <f t="shared" si="53"/>
        <v>0</v>
      </c>
      <c r="AT40" s="18">
        <f t="shared" si="54"/>
        <v>0.8</v>
      </c>
      <c r="AU40" s="18">
        <f t="shared" si="55"/>
        <v>0</v>
      </c>
      <c r="AV40" s="18">
        <f t="shared" si="56"/>
        <v>0</v>
      </c>
      <c r="AW40" s="18">
        <f t="shared" si="57"/>
        <v>0</v>
      </c>
      <c r="AX40" s="18">
        <f t="shared" si="58"/>
        <v>0</v>
      </c>
      <c r="AY40" s="18">
        <f t="shared" si="59"/>
        <v>0</v>
      </c>
      <c r="BA40" s="27">
        <f t="shared" si="70"/>
        <v>0</v>
      </c>
      <c r="BB40" s="27">
        <f t="shared" si="60"/>
        <v>0</v>
      </c>
      <c r="BC40" s="27">
        <f t="shared" si="61"/>
        <v>0</v>
      </c>
      <c r="BD40" s="27">
        <f t="shared" si="62"/>
        <v>0</v>
      </c>
      <c r="BE40" s="27">
        <f t="shared" si="63"/>
        <v>0</v>
      </c>
      <c r="BF40" s="27">
        <f t="shared" si="64"/>
        <v>0</v>
      </c>
      <c r="BG40" s="27">
        <f t="shared" si="65"/>
        <v>0</v>
      </c>
      <c r="BH40" s="27">
        <f t="shared" si="66"/>
        <v>0</v>
      </c>
      <c r="BI40" s="27">
        <f t="shared" si="71"/>
        <v>0</v>
      </c>
      <c r="BJ40" s="27">
        <f t="shared" si="72"/>
        <v>0</v>
      </c>
    </row>
    <row r="41" spans="1:62" s="22" customFormat="1" ht="22.5">
      <c r="A41" s="8" t="s">
        <v>15</v>
      </c>
      <c r="B41" s="21"/>
      <c r="C41" s="25">
        <v>0</v>
      </c>
      <c r="D41" s="25">
        <v>1</v>
      </c>
      <c r="E41" s="25">
        <v>0</v>
      </c>
      <c r="F41" s="28">
        <v>0</v>
      </c>
      <c r="G41" s="28"/>
      <c r="H41" s="28"/>
      <c r="I41" s="28"/>
      <c r="J41" s="28"/>
      <c r="K41" s="29"/>
      <c r="L41" s="25">
        <v>0</v>
      </c>
      <c r="M41" s="25">
        <v>1</v>
      </c>
      <c r="N41" s="25">
        <v>0</v>
      </c>
      <c r="O41" s="28">
        <v>0</v>
      </c>
      <c r="P41" s="28"/>
      <c r="Q41" s="28"/>
      <c r="R41" s="28"/>
      <c r="S41" s="28"/>
      <c r="T41"/>
      <c r="U41" s="23">
        <f t="shared" si="43"/>
        <v>1</v>
      </c>
      <c r="V41" s="1">
        <f t="shared" si="67"/>
        <v>0.1</v>
      </c>
      <c r="W41" s="11">
        <f t="shared" si="68"/>
        <v>0</v>
      </c>
      <c r="X41" s="23">
        <v>3</v>
      </c>
      <c r="Y41" s="24">
        <f t="shared" si="69"/>
        <v>0.1</v>
      </c>
      <c r="Z41" s="18">
        <v>0</v>
      </c>
      <c r="AA41" s="18">
        <v>0.3</v>
      </c>
      <c r="AB41" s="18">
        <v>0.8</v>
      </c>
      <c r="AC41" s="18">
        <v>1</v>
      </c>
      <c r="AD41" s="18"/>
      <c r="AE41" s="18"/>
      <c r="AF41" s="18"/>
      <c r="AG41" s="18"/>
      <c r="AH41" s="12"/>
      <c r="AI41" s="18">
        <f t="shared" si="44"/>
        <v>0</v>
      </c>
      <c r="AJ41" s="18">
        <f t="shared" si="45"/>
        <v>0.3</v>
      </c>
      <c r="AK41" s="18">
        <f t="shared" si="46"/>
        <v>0</v>
      </c>
      <c r="AL41" s="18">
        <f t="shared" si="47"/>
        <v>0</v>
      </c>
      <c r="AM41" s="18">
        <f t="shared" si="48"/>
        <v>0</v>
      </c>
      <c r="AN41" s="18">
        <f t="shared" si="49"/>
        <v>0</v>
      </c>
      <c r="AO41" s="18">
        <f t="shared" si="50"/>
        <v>0</v>
      </c>
      <c r="AP41" s="18">
        <f t="shared" si="51"/>
        <v>0</v>
      </c>
      <c r="AQ41" s="23"/>
      <c r="AR41" s="18">
        <f t="shared" si="52"/>
        <v>0</v>
      </c>
      <c r="AS41" s="18">
        <f t="shared" si="53"/>
        <v>0.3</v>
      </c>
      <c r="AT41" s="18">
        <f t="shared" si="54"/>
        <v>0</v>
      </c>
      <c r="AU41" s="18">
        <f t="shared" si="55"/>
        <v>0</v>
      </c>
      <c r="AV41" s="18">
        <f t="shared" si="56"/>
        <v>0</v>
      </c>
      <c r="AW41" s="18">
        <f t="shared" si="57"/>
        <v>0</v>
      </c>
      <c r="AX41" s="18">
        <f t="shared" si="58"/>
        <v>0</v>
      </c>
      <c r="AY41" s="18">
        <f t="shared" si="59"/>
        <v>0</v>
      </c>
      <c r="BA41" s="27">
        <f t="shared" si="70"/>
        <v>0</v>
      </c>
      <c r="BB41" s="27">
        <f t="shared" si="60"/>
        <v>0</v>
      </c>
      <c r="BC41" s="27">
        <f t="shared" si="61"/>
        <v>0</v>
      </c>
      <c r="BD41" s="27">
        <f t="shared" si="62"/>
        <v>0</v>
      </c>
      <c r="BE41" s="27">
        <f t="shared" si="63"/>
        <v>0</v>
      </c>
      <c r="BF41" s="27">
        <f t="shared" si="64"/>
        <v>0</v>
      </c>
      <c r="BG41" s="27">
        <f t="shared" si="65"/>
        <v>0</v>
      </c>
      <c r="BH41" s="27">
        <f t="shared" si="66"/>
        <v>0</v>
      </c>
      <c r="BI41" s="27">
        <f t="shared" si="71"/>
        <v>0</v>
      </c>
      <c r="BJ41" s="27">
        <f t="shared" si="72"/>
        <v>0</v>
      </c>
    </row>
    <row r="42" spans="1:62" s="22" customFormat="1" ht="22.5">
      <c r="A42" s="8" t="s">
        <v>16</v>
      </c>
      <c r="B42" s="21"/>
      <c r="C42" s="25">
        <v>1</v>
      </c>
      <c r="D42" s="25">
        <v>0</v>
      </c>
      <c r="E42" s="25">
        <v>0</v>
      </c>
      <c r="F42" s="28">
        <v>0</v>
      </c>
      <c r="G42" s="28"/>
      <c r="H42" s="28"/>
      <c r="I42" s="28"/>
      <c r="J42" s="28"/>
      <c r="K42" s="29"/>
      <c r="L42" s="25">
        <v>1</v>
      </c>
      <c r="M42" s="25">
        <v>0</v>
      </c>
      <c r="N42" s="25">
        <v>0</v>
      </c>
      <c r="O42" s="28">
        <v>0</v>
      </c>
      <c r="P42" s="28"/>
      <c r="Q42" s="28"/>
      <c r="R42" s="28"/>
      <c r="S42" s="28"/>
      <c r="T42"/>
      <c r="U42" s="23">
        <f t="shared" si="43"/>
        <v>1</v>
      </c>
      <c r="V42" s="1">
        <f t="shared" si="67"/>
        <v>0.16666666666666666</v>
      </c>
      <c r="W42" s="11">
        <f t="shared" si="68"/>
        <v>0</v>
      </c>
      <c r="X42" s="23">
        <v>5</v>
      </c>
      <c r="Y42" s="24">
        <f t="shared" si="69"/>
        <v>0.16666666666666666</v>
      </c>
      <c r="Z42" s="18">
        <v>0</v>
      </c>
      <c r="AA42" s="18">
        <v>0.3</v>
      </c>
      <c r="AB42" s="18">
        <v>0.8</v>
      </c>
      <c r="AC42" s="18">
        <v>1</v>
      </c>
      <c r="AD42" s="18"/>
      <c r="AE42" s="18"/>
      <c r="AF42" s="18"/>
      <c r="AG42" s="18"/>
      <c r="AH42" s="12"/>
      <c r="AI42" s="18">
        <f t="shared" si="44"/>
        <v>0</v>
      </c>
      <c r="AJ42" s="18">
        <f t="shared" si="45"/>
        <v>0</v>
      </c>
      <c r="AK42" s="18">
        <f t="shared" si="46"/>
        <v>0</v>
      </c>
      <c r="AL42" s="18">
        <f t="shared" si="47"/>
        <v>0</v>
      </c>
      <c r="AM42" s="18">
        <f t="shared" si="48"/>
        <v>0</v>
      </c>
      <c r="AN42" s="18">
        <f t="shared" si="49"/>
        <v>0</v>
      </c>
      <c r="AO42" s="18">
        <f t="shared" si="50"/>
        <v>0</v>
      </c>
      <c r="AP42" s="18">
        <f t="shared" si="51"/>
        <v>0</v>
      </c>
      <c r="AQ42" s="23"/>
      <c r="AR42" s="18">
        <f t="shared" si="52"/>
        <v>0</v>
      </c>
      <c r="AS42" s="18">
        <f t="shared" si="53"/>
        <v>0</v>
      </c>
      <c r="AT42" s="18">
        <f t="shared" si="54"/>
        <v>0</v>
      </c>
      <c r="AU42" s="18">
        <f t="shared" si="55"/>
        <v>0</v>
      </c>
      <c r="AV42" s="18">
        <f t="shared" si="56"/>
        <v>0</v>
      </c>
      <c r="AW42" s="18">
        <f t="shared" si="57"/>
        <v>0</v>
      </c>
      <c r="AX42" s="18">
        <f t="shared" si="58"/>
        <v>0</v>
      </c>
      <c r="AY42" s="18">
        <f t="shared" si="59"/>
        <v>0</v>
      </c>
      <c r="BA42" s="27">
        <f t="shared" si="70"/>
        <v>0</v>
      </c>
      <c r="BB42" s="27">
        <f t="shared" si="60"/>
        <v>0</v>
      </c>
      <c r="BC42" s="27">
        <f t="shared" si="61"/>
        <v>0</v>
      </c>
      <c r="BD42" s="27">
        <f t="shared" si="62"/>
        <v>0</v>
      </c>
      <c r="BE42" s="27">
        <f t="shared" si="63"/>
        <v>0</v>
      </c>
      <c r="BF42" s="27">
        <f t="shared" si="64"/>
        <v>0</v>
      </c>
      <c r="BG42" s="27">
        <f t="shared" si="65"/>
        <v>0</v>
      </c>
      <c r="BH42" s="27">
        <f t="shared" si="66"/>
        <v>0</v>
      </c>
      <c r="BI42" s="27">
        <f t="shared" si="71"/>
        <v>0</v>
      </c>
      <c r="BJ42" s="27">
        <f t="shared" si="72"/>
        <v>0</v>
      </c>
    </row>
    <row r="43" spans="1:62" ht="22.5">
      <c r="A43" s="4" t="s">
        <v>0</v>
      </c>
      <c r="B43" s="7"/>
      <c r="C43" s="25">
        <v>0</v>
      </c>
      <c r="D43" s="25">
        <v>1</v>
      </c>
      <c r="E43" s="25"/>
      <c r="F43" s="28"/>
      <c r="G43" s="28"/>
      <c r="H43" s="28"/>
      <c r="I43" s="28"/>
      <c r="J43" s="28"/>
      <c r="K43" s="29"/>
      <c r="L43" s="25">
        <v>0</v>
      </c>
      <c r="M43" s="25">
        <v>1</v>
      </c>
      <c r="N43" s="25"/>
      <c r="O43" s="28"/>
      <c r="P43" s="28"/>
      <c r="Q43" s="28"/>
      <c r="R43" s="28"/>
      <c r="S43" s="28"/>
      <c r="U43" s="9">
        <f t="shared" si="43"/>
        <v>1</v>
      </c>
      <c r="V43" s="1">
        <f t="shared" si="67"/>
        <v>3.3333333333333333E-2</v>
      </c>
      <c r="W43" s="11">
        <f t="shared" si="68"/>
        <v>0</v>
      </c>
      <c r="X43" s="12">
        <v>1</v>
      </c>
      <c r="Y43" s="10">
        <f t="shared" si="69"/>
        <v>3.3333333333333333E-2</v>
      </c>
      <c r="Z43" s="18">
        <v>0</v>
      </c>
      <c r="AA43" s="18">
        <f>IF(M43=1,1,0)</f>
        <v>1</v>
      </c>
      <c r="AB43" s="18">
        <v>0</v>
      </c>
      <c r="AC43" s="18">
        <v>0</v>
      </c>
      <c r="AD43" s="18"/>
      <c r="AE43" s="18"/>
      <c r="AF43" s="18"/>
      <c r="AG43" s="18"/>
      <c r="AH43" s="12"/>
      <c r="AI43" s="18">
        <f t="shared" si="44"/>
        <v>0</v>
      </c>
      <c r="AJ43" s="18">
        <f t="shared" si="45"/>
        <v>1</v>
      </c>
      <c r="AK43" s="18">
        <f t="shared" si="46"/>
        <v>0</v>
      </c>
      <c r="AL43" s="18">
        <f t="shared" si="47"/>
        <v>0</v>
      </c>
      <c r="AM43" s="18">
        <f t="shared" si="48"/>
        <v>0</v>
      </c>
      <c r="AN43" s="18">
        <f t="shared" si="49"/>
        <v>0</v>
      </c>
      <c r="AO43" s="18">
        <f t="shared" si="50"/>
        <v>0</v>
      </c>
      <c r="AP43" s="18">
        <f t="shared" si="51"/>
        <v>0</v>
      </c>
      <c r="AQ43" s="9"/>
      <c r="AR43" s="18">
        <f t="shared" si="52"/>
        <v>0</v>
      </c>
      <c r="AS43" s="18">
        <f t="shared" si="53"/>
        <v>1</v>
      </c>
      <c r="AT43" s="18">
        <f t="shared" si="54"/>
        <v>0</v>
      </c>
      <c r="AU43" s="18">
        <f t="shared" si="55"/>
        <v>0</v>
      </c>
      <c r="AV43" s="18">
        <f t="shared" si="56"/>
        <v>0</v>
      </c>
      <c r="AW43" s="18">
        <f t="shared" si="57"/>
        <v>0</v>
      </c>
      <c r="AX43" s="18">
        <f t="shared" si="58"/>
        <v>0</v>
      </c>
      <c r="AY43" s="18">
        <f t="shared" si="59"/>
        <v>0</v>
      </c>
      <c r="BA43" s="27">
        <f t="shared" si="70"/>
        <v>0</v>
      </c>
      <c r="BB43" s="27">
        <f t="shared" si="60"/>
        <v>0</v>
      </c>
      <c r="BC43" s="27">
        <f t="shared" si="61"/>
        <v>0</v>
      </c>
      <c r="BD43" s="27">
        <f t="shared" si="62"/>
        <v>0</v>
      </c>
      <c r="BE43" s="27">
        <f t="shared" si="63"/>
        <v>0</v>
      </c>
      <c r="BF43" s="27">
        <f t="shared" si="64"/>
        <v>0</v>
      </c>
      <c r="BG43" s="27">
        <f t="shared" si="65"/>
        <v>0</v>
      </c>
      <c r="BH43" s="27">
        <f t="shared" si="66"/>
        <v>0</v>
      </c>
      <c r="BI43" s="27">
        <f t="shared" si="71"/>
        <v>0</v>
      </c>
      <c r="BJ43" s="27">
        <f t="shared" si="72"/>
        <v>0</v>
      </c>
    </row>
    <row r="44" spans="1:62" ht="22.5">
      <c r="A44" s="5" t="s">
        <v>1</v>
      </c>
      <c r="B44" s="7"/>
      <c r="C44" s="25"/>
      <c r="D44" s="25"/>
      <c r="E44" s="25"/>
      <c r="F44" s="25"/>
      <c r="G44" s="25">
        <v>0</v>
      </c>
      <c r="H44" s="25">
        <v>1</v>
      </c>
      <c r="I44" s="28"/>
      <c r="J44" s="28"/>
      <c r="K44" s="29"/>
      <c r="L44" s="25"/>
      <c r="M44" s="25"/>
      <c r="N44" s="25"/>
      <c r="O44" s="25"/>
      <c r="P44" s="25">
        <v>0</v>
      </c>
      <c r="Q44" s="25">
        <v>1</v>
      </c>
      <c r="R44" s="28"/>
      <c r="S44" s="28"/>
      <c r="U44" s="9">
        <f t="shared" si="43"/>
        <v>1</v>
      </c>
      <c r="V44" s="1">
        <f t="shared" si="67"/>
        <v>3.3333333333333333E-2</v>
      </c>
      <c r="W44" s="11">
        <f t="shared" si="68"/>
        <v>0</v>
      </c>
      <c r="X44" s="12">
        <v>1</v>
      </c>
      <c r="Y44" s="10">
        <f t="shared" si="69"/>
        <v>3.3333333333333333E-2</v>
      </c>
      <c r="Z44" s="18"/>
      <c r="AA44" s="18"/>
      <c r="AB44" s="18"/>
      <c r="AC44" s="18"/>
      <c r="AD44" s="18">
        <v>0</v>
      </c>
      <c r="AE44" s="18">
        <v>1</v>
      </c>
      <c r="AF44" s="18"/>
      <c r="AG44" s="18"/>
      <c r="AH44" s="12"/>
      <c r="AI44" s="18">
        <f t="shared" si="44"/>
        <v>0</v>
      </c>
      <c r="AJ44" s="18">
        <f t="shared" si="45"/>
        <v>0</v>
      </c>
      <c r="AK44" s="18">
        <f t="shared" si="46"/>
        <v>0</v>
      </c>
      <c r="AL44" s="18">
        <f t="shared" si="47"/>
        <v>0</v>
      </c>
      <c r="AM44" s="18">
        <f t="shared" si="48"/>
        <v>0</v>
      </c>
      <c r="AN44" s="18">
        <f t="shared" si="49"/>
        <v>1</v>
      </c>
      <c r="AO44" s="18">
        <f t="shared" si="50"/>
        <v>0</v>
      </c>
      <c r="AP44" s="18">
        <f t="shared" si="51"/>
        <v>0</v>
      </c>
      <c r="AQ44" s="9"/>
      <c r="AR44" s="18">
        <f t="shared" si="52"/>
        <v>0</v>
      </c>
      <c r="AS44" s="18">
        <f t="shared" si="53"/>
        <v>0</v>
      </c>
      <c r="AT44" s="18">
        <f t="shared" si="54"/>
        <v>0</v>
      </c>
      <c r="AU44" s="18">
        <f t="shared" si="55"/>
        <v>0</v>
      </c>
      <c r="AV44" s="18">
        <f t="shared" si="56"/>
        <v>0</v>
      </c>
      <c r="AW44" s="18">
        <f t="shared" si="57"/>
        <v>1</v>
      </c>
      <c r="AX44" s="18">
        <f t="shared" si="58"/>
        <v>0</v>
      </c>
      <c r="AY44" s="18">
        <f t="shared" si="59"/>
        <v>0</v>
      </c>
      <c r="BA44" s="27">
        <f t="shared" si="70"/>
        <v>0</v>
      </c>
      <c r="BB44" s="27">
        <f t="shared" si="60"/>
        <v>0</v>
      </c>
      <c r="BC44" s="27">
        <f t="shared" si="61"/>
        <v>0</v>
      </c>
      <c r="BD44" s="27">
        <f t="shared" si="62"/>
        <v>0</v>
      </c>
      <c r="BE44" s="27">
        <f t="shared" si="63"/>
        <v>0</v>
      </c>
      <c r="BF44" s="27">
        <f t="shared" si="64"/>
        <v>0</v>
      </c>
      <c r="BG44" s="27">
        <f t="shared" si="65"/>
        <v>0</v>
      </c>
      <c r="BH44" s="27">
        <f t="shared" si="66"/>
        <v>0</v>
      </c>
      <c r="BI44" s="27">
        <f t="shared" si="71"/>
        <v>0</v>
      </c>
      <c r="BJ44" s="27">
        <f t="shared" si="72"/>
        <v>0</v>
      </c>
    </row>
    <row r="45" spans="1:62" ht="22.5">
      <c r="A45" s="5" t="s">
        <v>21</v>
      </c>
      <c r="B45" s="7"/>
      <c r="C45" s="25"/>
      <c r="D45" s="25"/>
      <c r="E45" s="25"/>
      <c r="F45" s="25"/>
      <c r="G45" s="25">
        <v>0</v>
      </c>
      <c r="H45" s="25">
        <v>1</v>
      </c>
      <c r="I45" s="28"/>
      <c r="J45" s="28"/>
      <c r="K45" s="29"/>
      <c r="L45" s="25"/>
      <c r="M45" s="25"/>
      <c r="N45" s="25"/>
      <c r="O45" s="25"/>
      <c r="P45" s="25">
        <v>0</v>
      </c>
      <c r="Q45" s="25">
        <v>1</v>
      </c>
      <c r="R45" s="28"/>
      <c r="S45" s="28"/>
      <c r="U45" s="9">
        <f t="shared" si="43"/>
        <v>1</v>
      </c>
      <c r="V45" s="1">
        <f t="shared" si="67"/>
        <v>3.3333333333333333E-2</v>
      </c>
      <c r="W45" s="11">
        <f t="shared" si="68"/>
        <v>0</v>
      </c>
      <c r="X45" s="12">
        <v>1</v>
      </c>
      <c r="Y45" s="10">
        <f t="shared" si="69"/>
        <v>3.3333333333333333E-2</v>
      </c>
      <c r="Z45" s="18"/>
      <c r="AA45" s="18"/>
      <c r="AB45" s="18"/>
      <c r="AC45" s="18"/>
      <c r="AD45" s="18">
        <v>0</v>
      </c>
      <c r="AE45" s="18">
        <v>1</v>
      </c>
      <c r="AF45" s="18"/>
      <c r="AG45" s="18"/>
      <c r="AH45" s="12"/>
      <c r="AI45" s="18">
        <f t="shared" si="44"/>
        <v>0</v>
      </c>
      <c r="AJ45" s="18">
        <f t="shared" si="45"/>
        <v>0</v>
      </c>
      <c r="AK45" s="18">
        <f t="shared" si="46"/>
        <v>0</v>
      </c>
      <c r="AL45" s="18">
        <f t="shared" si="47"/>
        <v>0</v>
      </c>
      <c r="AM45" s="18">
        <f t="shared" si="48"/>
        <v>0</v>
      </c>
      <c r="AN45" s="18">
        <f t="shared" si="49"/>
        <v>1</v>
      </c>
      <c r="AO45" s="18">
        <f t="shared" si="50"/>
        <v>0</v>
      </c>
      <c r="AP45" s="18">
        <f t="shared" si="51"/>
        <v>0</v>
      </c>
      <c r="AQ45" s="9"/>
      <c r="AR45" s="18">
        <f t="shared" si="52"/>
        <v>0</v>
      </c>
      <c r="AS45" s="18">
        <f t="shared" si="53"/>
        <v>0</v>
      </c>
      <c r="AT45" s="18">
        <f t="shared" si="54"/>
        <v>0</v>
      </c>
      <c r="AU45" s="18">
        <f t="shared" si="55"/>
        <v>0</v>
      </c>
      <c r="AV45" s="18">
        <f t="shared" si="56"/>
        <v>0</v>
      </c>
      <c r="AW45" s="18">
        <f t="shared" si="57"/>
        <v>1</v>
      </c>
      <c r="AX45" s="18">
        <f t="shared" si="58"/>
        <v>0</v>
      </c>
      <c r="AY45" s="18">
        <f t="shared" si="59"/>
        <v>0</v>
      </c>
      <c r="BA45" s="27">
        <f t="shared" si="70"/>
        <v>0</v>
      </c>
      <c r="BB45" s="27">
        <f t="shared" si="60"/>
        <v>0</v>
      </c>
      <c r="BC45" s="27">
        <f t="shared" si="61"/>
        <v>0</v>
      </c>
      <c r="BD45" s="27">
        <f t="shared" si="62"/>
        <v>0</v>
      </c>
      <c r="BE45" s="27">
        <f t="shared" si="63"/>
        <v>0</v>
      </c>
      <c r="BF45" s="27">
        <f t="shared" si="64"/>
        <v>0</v>
      </c>
      <c r="BG45" s="27">
        <f t="shared" si="65"/>
        <v>0</v>
      </c>
      <c r="BH45" s="27">
        <f t="shared" si="66"/>
        <v>0</v>
      </c>
      <c r="BI45" s="27">
        <f t="shared" si="71"/>
        <v>0</v>
      </c>
      <c r="BJ45" s="27">
        <f t="shared" si="72"/>
        <v>0</v>
      </c>
    </row>
    <row r="46" spans="1:62" ht="22.5">
      <c r="A46" s="5" t="s">
        <v>2</v>
      </c>
      <c r="B46" s="7"/>
      <c r="C46" s="25"/>
      <c r="D46" s="25"/>
      <c r="E46" s="25"/>
      <c r="F46" s="25"/>
      <c r="G46" s="25">
        <v>0</v>
      </c>
      <c r="H46" s="25">
        <v>1</v>
      </c>
      <c r="I46" s="28"/>
      <c r="J46" s="28"/>
      <c r="K46" s="29"/>
      <c r="L46" s="25"/>
      <c r="M46" s="25"/>
      <c r="N46" s="25"/>
      <c r="O46" s="25"/>
      <c r="P46" s="25">
        <v>0</v>
      </c>
      <c r="Q46" s="25">
        <v>1</v>
      </c>
      <c r="R46" s="28"/>
      <c r="S46" s="28"/>
      <c r="U46" s="9">
        <f t="shared" si="43"/>
        <v>1</v>
      </c>
      <c r="V46" s="1">
        <f t="shared" si="67"/>
        <v>3.3333333333333333E-2</v>
      </c>
      <c r="W46" s="11">
        <f t="shared" si="68"/>
        <v>0</v>
      </c>
      <c r="X46" s="12">
        <v>1</v>
      </c>
      <c r="Y46" s="10">
        <f t="shared" si="69"/>
        <v>3.3333333333333333E-2</v>
      </c>
      <c r="Z46" s="18"/>
      <c r="AA46" s="18"/>
      <c r="AB46" s="18"/>
      <c r="AC46" s="18"/>
      <c r="AD46" s="18">
        <v>0</v>
      </c>
      <c r="AE46" s="18">
        <v>1</v>
      </c>
      <c r="AF46" s="18"/>
      <c r="AG46" s="18"/>
      <c r="AH46" s="12"/>
      <c r="AI46" s="18">
        <f t="shared" si="44"/>
        <v>0</v>
      </c>
      <c r="AJ46" s="18">
        <f t="shared" si="45"/>
        <v>0</v>
      </c>
      <c r="AK46" s="18">
        <f t="shared" si="46"/>
        <v>0</v>
      </c>
      <c r="AL46" s="18">
        <f t="shared" si="47"/>
        <v>0</v>
      </c>
      <c r="AM46" s="18">
        <f t="shared" si="48"/>
        <v>0</v>
      </c>
      <c r="AN46" s="18">
        <f t="shared" si="49"/>
        <v>1</v>
      </c>
      <c r="AO46" s="18">
        <f t="shared" si="50"/>
        <v>0</v>
      </c>
      <c r="AP46" s="18">
        <f t="shared" si="51"/>
        <v>0</v>
      </c>
      <c r="AQ46" s="9"/>
      <c r="AR46" s="18">
        <f t="shared" si="52"/>
        <v>0</v>
      </c>
      <c r="AS46" s="18">
        <f t="shared" si="53"/>
        <v>0</v>
      </c>
      <c r="AT46" s="18">
        <f t="shared" si="54"/>
        <v>0</v>
      </c>
      <c r="AU46" s="18">
        <f t="shared" si="55"/>
        <v>0</v>
      </c>
      <c r="AV46" s="18">
        <f t="shared" si="56"/>
        <v>0</v>
      </c>
      <c r="AW46" s="18">
        <f t="shared" si="57"/>
        <v>1</v>
      </c>
      <c r="AX46" s="18">
        <f t="shared" si="58"/>
        <v>0</v>
      </c>
      <c r="AY46" s="18">
        <f t="shared" si="59"/>
        <v>0</v>
      </c>
      <c r="BA46" s="27">
        <f t="shared" si="70"/>
        <v>0</v>
      </c>
      <c r="BB46" s="27">
        <f t="shared" si="60"/>
        <v>0</v>
      </c>
      <c r="BC46" s="27">
        <f t="shared" si="61"/>
        <v>0</v>
      </c>
      <c r="BD46" s="27">
        <f t="shared" si="62"/>
        <v>0</v>
      </c>
      <c r="BE46" s="27">
        <f t="shared" si="63"/>
        <v>0</v>
      </c>
      <c r="BF46" s="27">
        <f t="shared" si="64"/>
        <v>0</v>
      </c>
      <c r="BG46" s="27">
        <f t="shared" si="65"/>
        <v>0</v>
      </c>
      <c r="BH46" s="27">
        <f t="shared" si="66"/>
        <v>0</v>
      </c>
      <c r="BI46" s="27">
        <f t="shared" si="71"/>
        <v>0</v>
      </c>
      <c r="BJ46" s="27">
        <f t="shared" si="72"/>
        <v>0</v>
      </c>
    </row>
    <row r="47" spans="1:62" ht="22.5">
      <c r="A47" s="5" t="s">
        <v>3</v>
      </c>
      <c r="B47" s="7"/>
      <c r="C47" s="25"/>
      <c r="D47" s="25"/>
      <c r="E47" s="25"/>
      <c r="F47" s="25"/>
      <c r="G47" s="25">
        <v>1</v>
      </c>
      <c r="H47" s="25">
        <v>0</v>
      </c>
      <c r="I47" s="28"/>
      <c r="J47" s="28"/>
      <c r="K47" s="29"/>
      <c r="L47" s="25"/>
      <c r="M47" s="25"/>
      <c r="N47" s="25"/>
      <c r="O47" s="25"/>
      <c r="P47" s="25">
        <v>1</v>
      </c>
      <c r="Q47" s="25">
        <v>0</v>
      </c>
      <c r="R47" s="28"/>
      <c r="S47" s="28"/>
      <c r="U47" s="9">
        <f t="shared" si="43"/>
        <v>1</v>
      </c>
      <c r="V47" s="1">
        <f>(1-W47)*Y47</f>
        <v>0.1</v>
      </c>
      <c r="W47" s="11">
        <f t="shared" si="68"/>
        <v>0</v>
      </c>
      <c r="X47" s="12">
        <v>3</v>
      </c>
      <c r="Y47" s="10">
        <f t="shared" si="69"/>
        <v>0.1</v>
      </c>
      <c r="Z47" s="18"/>
      <c r="AA47" s="18"/>
      <c r="AB47" s="18"/>
      <c r="AC47" s="18"/>
      <c r="AD47" s="18">
        <v>0</v>
      </c>
      <c r="AE47" s="18">
        <v>1</v>
      </c>
      <c r="AF47" s="18"/>
      <c r="AG47" s="18"/>
      <c r="AH47" s="12"/>
      <c r="AI47" s="18">
        <f t="shared" si="44"/>
        <v>0</v>
      </c>
      <c r="AJ47" s="18">
        <f t="shared" si="45"/>
        <v>0</v>
      </c>
      <c r="AK47" s="18">
        <f t="shared" si="46"/>
        <v>0</v>
      </c>
      <c r="AL47" s="18">
        <f t="shared" si="47"/>
        <v>0</v>
      </c>
      <c r="AM47" s="18">
        <f t="shared" si="48"/>
        <v>0</v>
      </c>
      <c r="AN47" s="18">
        <f t="shared" si="49"/>
        <v>0</v>
      </c>
      <c r="AO47" s="18">
        <f t="shared" si="50"/>
        <v>0</v>
      </c>
      <c r="AP47" s="18">
        <f t="shared" si="51"/>
        <v>0</v>
      </c>
      <c r="AQ47" s="9"/>
      <c r="AR47" s="18">
        <f t="shared" si="52"/>
        <v>0</v>
      </c>
      <c r="AS47" s="18">
        <f t="shared" si="53"/>
        <v>0</v>
      </c>
      <c r="AT47" s="18">
        <f t="shared" si="54"/>
        <v>0</v>
      </c>
      <c r="AU47" s="18">
        <f t="shared" si="55"/>
        <v>0</v>
      </c>
      <c r="AV47" s="18">
        <f t="shared" si="56"/>
        <v>0</v>
      </c>
      <c r="AW47" s="18">
        <f t="shared" si="57"/>
        <v>0</v>
      </c>
      <c r="AX47" s="18">
        <f t="shared" si="58"/>
        <v>0</v>
      </c>
      <c r="AY47" s="18">
        <f t="shared" si="59"/>
        <v>0</v>
      </c>
      <c r="BA47" s="27">
        <f t="shared" si="70"/>
        <v>0</v>
      </c>
      <c r="BB47" s="27">
        <f t="shared" si="60"/>
        <v>0</v>
      </c>
      <c r="BC47" s="27">
        <f t="shared" si="61"/>
        <v>0</v>
      </c>
      <c r="BD47" s="27">
        <f t="shared" si="62"/>
        <v>0</v>
      </c>
      <c r="BE47" s="27">
        <f t="shared" si="63"/>
        <v>0</v>
      </c>
      <c r="BF47" s="27">
        <f t="shared" si="64"/>
        <v>0</v>
      </c>
      <c r="BG47" s="27">
        <f t="shared" si="65"/>
        <v>0</v>
      </c>
      <c r="BH47" s="27">
        <f t="shared" si="66"/>
        <v>0</v>
      </c>
      <c r="BI47" s="27">
        <f t="shared" si="71"/>
        <v>0</v>
      </c>
      <c r="BJ47" s="27">
        <f t="shared" si="72"/>
        <v>0</v>
      </c>
    </row>
    <row r="48" spans="1:62" ht="22.5">
      <c r="A48" s="8" t="s">
        <v>4</v>
      </c>
      <c r="B48" s="7"/>
      <c r="C48" s="25"/>
      <c r="D48" s="25"/>
      <c r="E48" s="25"/>
      <c r="F48" s="25"/>
      <c r="G48" s="25"/>
      <c r="H48" s="25"/>
      <c r="I48" s="25">
        <v>0</v>
      </c>
      <c r="J48" s="25">
        <v>1</v>
      </c>
      <c r="K48" s="29"/>
      <c r="L48" s="25"/>
      <c r="M48" s="25"/>
      <c r="N48" s="25"/>
      <c r="O48" s="25"/>
      <c r="P48" s="25"/>
      <c r="Q48" s="25"/>
      <c r="R48" s="25">
        <v>1</v>
      </c>
      <c r="S48" s="25">
        <v>0</v>
      </c>
      <c r="U48" s="9">
        <f t="shared" si="43"/>
        <v>0</v>
      </c>
      <c r="V48" s="1">
        <f t="shared" ref="V48:V51" si="73">(1-W48)*Y48</f>
        <v>0</v>
      </c>
      <c r="W48" s="11">
        <f t="shared" si="68"/>
        <v>1</v>
      </c>
      <c r="X48" s="12">
        <v>1</v>
      </c>
      <c r="Y48" s="10">
        <f t="shared" si="69"/>
        <v>3.3333333333333333E-2</v>
      </c>
      <c r="Z48" s="18"/>
      <c r="AA48" s="18"/>
      <c r="AB48" s="18"/>
      <c r="AC48" s="18"/>
      <c r="AD48" s="18"/>
      <c r="AE48" s="18"/>
      <c r="AF48" s="18">
        <v>0</v>
      </c>
      <c r="AG48" s="18">
        <v>1</v>
      </c>
      <c r="AH48" s="12"/>
      <c r="AI48" s="18">
        <f t="shared" si="44"/>
        <v>0</v>
      </c>
      <c r="AJ48" s="18">
        <f t="shared" si="45"/>
        <v>0</v>
      </c>
      <c r="AK48" s="18">
        <f t="shared" si="46"/>
        <v>0</v>
      </c>
      <c r="AL48" s="18">
        <f t="shared" si="47"/>
        <v>0</v>
      </c>
      <c r="AM48" s="18">
        <f t="shared" si="48"/>
        <v>0</v>
      </c>
      <c r="AN48" s="18">
        <f t="shared" si="49"/>
        <v>0</v>
      </c>
      <c r="AO48" s="18">
        <f t="shared" si="50"/>
        <v>0</v>
      </c>
      <c r="AP48" s="18">
        <f t="shared" si="51"/>
        <v>1</v>
      </c>
      <c r="AQ48" s="9"/>
      <c r="AR48" s="18">
        <f t="shared" si="52"/>
        <v>0</v>
      </c>
      <c r="AS48" s="18">
        <f t="shared" si="53"/>
        <v>0</v>
      </c>
      <c r="AT48" s="18">
        <f t="shared" si="54"/>
        <v>0</v>
      </c>
      <c r="AU48" s="18">
        <f t="shared" si="55"/>
        <v>0</v>
      </c>
      <c r="AV48" s="18">
        <f t="shared" si="56"/>
        <v>0</v>
      </c>
      <c r="AW48" s="18">
        <f t="shared" si="57"/>
        <v>0</v>
      </c>
      <c r="AX48" s="18">
        <f t="shared" si="58"/>
        <v>0</v>
      </c>
      <c r="AY48" s="18">
        <f t="shared" si="59"/>
        <v>0</v>
      </c>
      <c r="BA48" s="27">
        <f t="shared" si="70"/>
        <v>0</v>
      </c>
      <c r="BB48" s="27">
        <f t="shared" si="60"/>
        <v>0</v>
      </c>
      <c r="BC48" s="27">
        <f t="shared" si="61"/>
        <v>0</v>
      </c>
      <c r="BD48" s="27">
        <f t="shared" si="62"/>
        <v>0</v>
      </c>
      <c r="BE48" s="27">
        <f t="shared" si="63"/>
        <v>0</v>
      </c>
      <c r="BF48" s="27">
        <f t="shared" si="64"/>
        <v>0</v>
      </c>
      <c r="BG48" s="27">
        <f t="shared" si="65"/>
        <v>0</v>
      </c>
      <c r="BH48" s="27">
        <f t="shared" si="66"/>
        <v>1</v>
      </c>
      <c r="BI48" s="27">
        <f t="shared" si="71"/>
        <v>1</v>
      </c>
      <c r="BJ48" s="27">
        <f t="shared" si="72"/>
        <v>3.3333333333333333E-2</v>
      </c>
    </row>
    <row r="49" spans="1:62" ht="22.5">
      <c r="A49" s="8" t="s">
        <v>22</v>
      </c>
      <c r="B49" s="7"/>
      <c r="C49" s="25"/>
      <c r="D49" s="25"/>
      <c r="E49" s="25"/>
      <c r="F49" s="25"/>
      <c r="G49" s="25"/>
      <c r="H49" s="25"/>
      <c r="I49" s="25">
        <v>0</v>
      </c>
      <c r="J49" s="25">
        <v>1</v>
      </c>
      <c r="K49" s="29"/>
      <c r="L49" s="25"/>
      <c r="M49" s="25"/>
      <c r="N49" s="25"/>
      <c r="O49" s="25"/>
      <c r="P49" s="25"/>
      <c r="Q49" s="25"/>
      <c r="R49" s="25">
        <v>0</v>
      </c>
      <c r="S49" s="25">
        <v>1</v>
      </c>
      <c r="U49" s="9">
        <f t="shared" si="43"/>
        <v>1</v>
      </c>
      <c r="V49" s="1">
        <f t="shared" si="73"/>
        <v>3.3333333333333333E-2</v>
      </c>
      <c r="W49" s="11">
        <f t="shared" si="68"/>
        <v>0</v>
      </c>
      <c r="X49" s="12">
        <v>1</v>
      </c>
      <c r="Y49" s="10">
        <f t="shared" si="69"/>
        <v>3.3333333333333333E-2</v>
      </c>
      <c r="Z49" s="18"/>
      <c r="AA49" s="18"/>
      <c r="AB49" s="18"/>
      <c r="AC49" s="18"/>
      <c r="AD49" s="18"/>
      <c r="AE49" s="18"/>
      <c r="AF49" s="18">
        <v>0</v>
      </c>
      <c r="AG49" s="18">
        <v>1</v>
      </c>
      <c r="AH49" s="12"/>
      <c r="AI49" s="18">
        <f t="shared" si="44"/>
        <v>0</v>
      </c>
      <c r="AJ49" s="18">
        <f t="shared" si="45"/>
        <v>0</v>
      </c>
      <c r="AK49" s="18">
        <f t="shared" si="46"/>
        <v>0</v>
      </c>
      <c r="AL49" s="18">
        <f t="shared" si="47"/>
        <v>0</v>
      </c>
      <c r="AM49" s="18">
        <f t="shared" si="48"/>
        <v>0</v>
      </c>
      <c r="AN49" s="18">
        <f t="shared" si="49"/>
        <v>0</v>
      </c>
      <c r="AO49" s="18">
        <f t="shared" si="50"/>
        <v>0</v>
      </c>
      <c r="AP49" s="18">
        <f t="shared" si="51"/>
        <v>1</v>
      </c>
      <c r="AQ49" s="9"/>
      <c r="AR49" s="18">
        <f t="shared" si="52"/>
        <v>0</v>
      </c>
      <c r="AS49" s="18">
        <f t="shared" si="53"/>
        <v>0</v>
      </c>
      <c r="AT49" s="18">
        <f t="shared" si="54"/>
        <v>0</v>
      </c>
      <c r="AU49" s="18">
        <f t="shared" si="55"/>
        <v>0</v>
      </c>
      <c r="AV49" s="18">
        <f t="shared" si="56"/>
        <v>0</v>
      </c>
      <c r="AW49" s="18">
        <f t="shared" si="57"/>
        <v>0</v>
      </c>
      <c r="AX49" s="18">
        <f t="shared" si="58"/>
        <v>0</v>
      </c>
      <c r="AY49" s="18">
        <f t="shared" si="59"/>
        <v>1</v>
      </c>
      <c r="BA49" s="27">
        <f t="shared" si="70"/>
        <v>0</v>
      </c>
      <c r="BB49" s="27">
        <f t="shared" si="60"/>
        <v>0</v>
      </c>
      <c r="BC49" s="27">
        <f t="shared" si="61"/>
        <v>0</v>
      </c>
      <c r="BD49" s="27">
        <f t="shared" si="62"/>
        <v>0</v>
      </c>
      <c r="BE49" s="27">
        <f t="shared" si="63"/>
        <v>0</v>
      </c>
      <c r="BF49" s="27">
        <f t="shared" si="64"/>
        <v>0</v>
      </c>
      <c r="BG49" s="27">
        <f t="shared" si="65"/>
        <v>0</v>
      </c>
      <c r="BH49" s="27">
        <f t="shared" si="66"/>
        <v>0</v>
      </c>
      <c r="BI49" s="27">
        <f t="shared" si="71"/>
        <v>0</v>
      </c>
      <c r="BJ49" s="27">
        <f t="shared" si="72"/>
        <v>0</v>
      </c>
    </row>
    <row r="50" spans="1:62" ht="22.5">
      <c r="A50" s="8" t="s">
        <v>23</v>
      </c>
      <c r="B50" s="7"/>
      <c r="C50" s="25"/>
      <c r="D50" s="25"/>
      <c r="E50" s="25"/>
      <c r="F50" s="25"/>
      <c r="G50" s="25"/>
      <c r="H50" s="25"/>
      <c r="I50" s="25">
        <v>0</v>
      </c>
      <c r="J50" s="25">
        <v>1</v>
      </c>
      <c r="K50" s="29"/>
      <c r="L50" s="25"/>
      <c r="M50" s="25"/>
      <c r="N50" s="25"/>
      <c r="O50" s="25"/>
      <c r="P50" s="25"/>
      <c r="Q50" s="25"/>
      <c r="R50" s="25">
        <v>0</v>
      </c>
      <c r="S50" s="25">
        <v>1</v>
      </c>
      <c r="U50" s="9">
        <f>IF(MATCH(1,C50:J50,0)=MATCH(1,L50:S50,0),1,0)</f>
        <v>1</v>
      </c>
      <c r="V50" s="1">
        <f t="shared" si="73"/>
        <v>3.3333333333333333E-2</v>
      </c>
      <c r="W50" s="11">
        <f>BI50</f>
        <v>0</v>
      </c>
      <c r="X50" s="12">
        <v>1</v>
      </c>
      <c r="Y50" s="10">
        <f t="shared" si="69"/>
        <v>3.3333333333333333E-2</v>
      </c>
      <c r="Z50" s="18"/>
      <c r="AA50" s="18"/>
      <c r="AB50" s="18"/>
      <c r="AC50" s="18"/>
      <c r="AD50" s="18"/>
      <c r="AE50" s="18"/>
      <c r="AF50" s="18">
        <v>0</v>
      </c>
      <c r="AG50" s="18">
        <v>1</v>
      </c>
      <c r="AI50" s="18">
        <f t="shared" si="44"/>
        <v>0</v>
      </c>
      <c r="AJ50" s="18">
        <f t="shared" si="45"/>
        <v>0</v>
      </c>
      <c r="AK50" s="18">
        <f t="shared" si="46"/>
        <v>0</v>
      </c>
      <c r="AL50" s="18">
        <f t="shared" si="47"/>
        <v>0</v>
      </c>
      <c r="AM50" s="18">
        <f t="shared" si="48"/>
        <v>0</v>
      </c>
      <c r="AN50" s="18">
        <f t="shared" si="49"/>
        <v>0</v>
      </c>
      <c r="AO50" s="18">
        <f t="shared" si="50"/>
        <v>0</v>
      </c>
      <c r="AP50" s="18">
        <f t="shared" si="51"/>
        <v>1</v>
      </c>
      <c r="AQ50" s="9" t="s">
        <v>24</v>
      </c>
      <c r="AR50" s="18">
        <f t="shared" si="52"/>
        <v>0</v>
      </c>
      <c r="AS50" s="18">
        <f t="shared" si="53"/>
        <v>0</v>
      </c>
      <c r="AT50" s="18">
        <f t="shared" si="54"/>
        <v>0</v>
      </c>
      <c r="AU50" s="18">
        <f t="shared" si="55"/>
        <v>0</v>
      </c>
      <c r="AV50" s="18">
        <f t="shared" si="56"/>
        <v>0</v>
      </c>
      <c r="AW50" s="18">
        <f t="shared" si="57"/>
        <v>0</v>
      </c>
      <c r="AX50" s="18">
        <f t="shared" si="58"/>
        <v>0</v>
      </c>
      <c r="AY50" s="18">
        <f t="shared" si="59"/>
        <v>1</v>
      </c>
      <c r="BA50" s="27">
        <f t="shared" si="70"/>
        <v>0</v>
      </c>
      <c r="BB50" s="27">
        <f t="shared" si="60"/>
        <v>0</v>
      </c>
      <c r="BC50" s="27">
        <f t="shared" si="61"/>
        <v>0</v>
      </c>
      <c r="BD50" s="27">
        <f t="shared" si="62"/>
        <v>0</v>
      </c>
      <c r="BE50" s="27">
        <f t="shared" si="63"/>
        <v>0</v>
      </c>
      <c r="BF50" s="27">
        <f t="shared" si="64"/>
        <v>0</v>
      </c>
      <c r="BG50" s="27">
        <f t="shared" si="65"/>
        <v>0</v>
      </c>
      <c r="BH50" s="27">
        <f t="shared" si="66"/>
        <v>0</v>
      </c>
      <c r="BI50" s="27">
        <f t="shared" si="71"/>
        <v>0</v>
      </c>
      <c r="BJ50" s="27">
        <f t="shared" si="72"/>
        <v>0</v>
      </c>
    </row>
    <row r="51" spans="1:62" ht="22.5">
      <c r="A51" s="14" t="s">
        <v>5</v>
      </c>
      <c r="B51" s="7"/>
      <c r="C51" s="25"/>
      <c r="D51" s="25"/>
      <c r="E51" s="25"/>
      <c r="F51" s="25"/>
      <c r="G51" s="25"/>
      <c r="H51" s="25"/>
      <c r="I51" s="25">
        <v>1</v>
      </c>
      <c r="J51" s="25">
        <v>0</v>
      </c>
      <c r="K51" s="29"/>
      <c r="L51" s="25"/>
      <c r="M51" s="25"/>
      <c r="N51" s="25"/>
      <c r="O51" s="25"/>
      <c r="P51" s="25"/>
      <c r="Q51" s="25"/>
      <c r="R51" s="25">
        <v>1</v>
      </c>
      <c r="S51" s="25">
        <v>0</v>
      </c>
      <c r="U51" s="9">
        <f t="shared" ref="U51" si="74">IF(MATCH(1,C51:J51,0)=MATCH(1,L51:S51,0),1,0)</f>
        <v>1</v>
      </c>
      <c r="V51" s="1">
        <f t="shared" si="73"/>
        <v>0.16666666666666666</v>
      </c>
      <c r="W51" s="11">
        <f t="shared" ref="W51" si="75">BI51</f>
        <v>0</v>
      </c>
      <c r="X51" s="12">
        <v>5</v>
      </c>
      <c r="Y51" s="10">
        <f t="shared" si="69"/>
        <v>0.16666666666666666</v>
      </c>
      <c r="Z51" s="18"/>
      <c r="AA51" s="18"/>
      <c r="AB51" s="18"/>
      <c r="AC51" s="18"/>
      <c r="AD51" s="18"/>
      <c r="AE51" s="18"/>
      <c r="AF51" s="18">
        <v>0</v>
      </c>
      <c r="AG51" s="18">
        <v>1</v>
      </c>
      <c r="AH51" s="20"/>
      <c r="AI51" s="18">
        <f t="shared" si="44"/>
        <v>0</v>
      </c>
      <c r="AJ51" s="18">
        <f t="shared" si="45"/>
        <v>0</v>
      </c>
      <c r="AK51" s="18">
        <f t="shared" si="46"/>
        <v>0</v>
      </c>
      <c r="AL51" s="18">
        <f t="shared" si="47"/>
        <v>0</v>
      </c>
      <c r="AM51" s="18">
        <f t="shared" si="48"/>
        <v>0</v>
      </c>
      <c r="AN51" s="18">
        <f t="shared" si="49"/>
        <v>0</v>
      </c>
      <c r="AO51" s="18">
        <f t="shared" si="50"/>
        <v>0</v>
      </c>
      <c r="AP51" s="18">
        <f t="shared" si="51"/>
        <v>0</v>
      </c>
      <c r="AQ51" s="9"/>
      <c r="AR51" s="18">
        <f t="shared" si="52"/>
        <v>0</v>
      </c>
      <c r="AS51" s="18">
        <f t="shared" si="53"/>
        <v>0</v>
      </c>
      <c r="AT51" s="18">
        <f t="shared" si="54"/>
        <v>0</v>
      </c>
      <c r="AU51" s="18">
        <f t="shared" si="55"/>
        <v>0</v>
      </c>
      <c r="AV51" s="18">
        <f>P51*AD51</f>
        <v>0</v>
      </c>
      <c r="AW51" s="18">
        <f t="shared" si="57"/>
        <v>0</v>
      </c>
      <c r="AX51" s="18">
        <f t="shared" si="58"/>
        <v>0</v>
      </c>
      <c r="AY51" s="18">
        <f t="shared" si="59"/>
        <v>0</v>
      </c>
      <c r="BA51" s="27">
        <f>(AI51-AR51)</f>
        <v>0</v>
      </c>
      <c r="BB51" s="27">
        <f t="shared" si="60"/>
        <v>0</v>
      </c>
      <c r="BC51" s="27">
        <f t="shared" si="61"/>
        <v>0</v>
      </c>
      <c r="BD51" s="27">
        <f t="shared" si="62"/>
        <v>0</v>
      </c>
      <c r="BE51" s="27">
        <f t="shared" si="63"/>
        <v>0</v>
      </c>
      <c r="BF51" s="27">
        <f t="shared" si="64"/>
        <v>0</v>
      </c>
      <c r="BG51" s="27">
        <f t="shared" si="65"/>
        <v>0</v>
      </c>
      <c r="BH51" s="27">
        <f t="shared" si="66"/>
        <v>0</v>
      </c>
      <c r="BI51" s="27">
        <f t="shared" si="71"/>
        <v>0</v>
      </c>
      <c r="BJ51" s="27">
        <f t="shared" si="72"/>
        <v>0</v>
      </c>
    </row>
    <row r="52" spans="1:62">
      <c r="C52" s="30"/>
      <c r="D52" s="30"/>
      <c r="E52" s="30"/>
      <c r="F52" s="30"/>
      <c r="G52" s="30"/>
      <c r="H52" s="30"/>
      <c r="I52" s="30"/>
      <c r="J52" s="30"/>
      <c r="K52" s="29"/>
      <c r="L52" s="30"/>
      <c r="M52" s="30"/>
      <c r="N52" s="30"/>
      <c r="O52" s="30"/>
      <c r="P52" s="30"/>
      <c r="Q52" s="30"/>
      <c r="R52" s="30"/>
      <c r="S52" s="30"/>
      <c r="T52" s="3">
        <f>SUM(V53:V68)</f>
        <v>0.86666666666666659</v>
      </c>
      <c r="U52" s="12" t="e">
        <f>IF(MATCH(1,C52:J52,0)=MATCH(1,L52:S52,0),1,0)</f>
        <v>#N/A</v>
      </c>
      <c r="Z52" s="20"/>
      <c r="AA52" s="20"/>
      <c r="AB52" s="20"/>
      <c r="AC52" s="20"/>
      <c r="AD52" s="20"/>
      <c r="AE52" s="20"/>
      <c r="AF52" s="20"/>
      <c r="AG52" s="20"/>
      <c r="AH52" s="20"/>
      <c r="AI52" s="11">
        <f t="shared" si="44"/>
        <v>0</v>
      </c>
      <c r="AJ52" s="11">
        <f t="shared" si="45"/>
        <v>0</v>
      </c>
      <c r="AK52" s="11">
        <f t="shared" si="46"/>
        <v>0</v>
      </c>
      <c r="AL52" s="11">
        <f t="shared" si="47"/>
        <v>0</v>
      </c>
      <c r="AM52" s="11">
        <f t="shared" si="48"/>
        <v>0</v>
      </c>
      <c r="AN52" s="11">
        <f t="shared" si="49"/>
        <v>0</v>
      </c>
      <c r="AR52" s="11">
        <f t="shared" si="52"/>
        <v>0</v>
      </c>
      <c r="AS52" s="11">
        <f t="shared" si="53"/>
        <v>0</v>
      </c>
      <c r="AT52" s="11">
        <f t="shared" si="54"/>
        <v>0</v>
      </c>
      <c r="AU52" s="11">
        <f t="shared" si="55"/>
        <v>0</v>
      </c>
      <c r="AV52" s="11">
        <f>P52*AD52</f>
        <v>0</v>
      </c>
      <c r="AW52" s="11">
        <f t="shared" si="57"/>
        <v>0</v>
      </c>
      <c r="BA52" s="27">
        <f>(AI52-AR52)</f>
        <v>0</v>
      </c>
      <c r="BB52" s="27">
        <f t="shared" si="60"/>
        <v>0</v>
      </c>
      <c r="BC52" s="27">
        <f t="shared" si="61"/>
        <v>0</v>
      </c>
      <c r="BD52" s="27">
        <f t="shared" si="62"/>
        <v>0</v>
      </c>
      <c r="BE52" s="27">
        <f t="shared" si="63"/>
        <v>0</v>
      </c>
      <c r="BF52" s="27">
        <f t="shared" si="64"/>
        <v>0</v>
      </c>
    </row>
    <row r="53" spans="1:62" ht="22.5">
      <c r="A53" s="6" t="s">
        <v>10</v>
      </c>
      <c r="B53" s="7"/>
      <c r="C53" s="25">
        <v>0</v>
      </c>
      <c r="D53" s="28">
        <v>1</v>
      </c>
      <c r="E53" s="28"/>
      <c r="F53" s="28"/>
      <c r="G53" s="28"/>
      <c r="H53" s="28"/>
      <c r="I53" s="28"/>
      <c r="J53" s="28"/>
      <c r="K53" s="29"/>
      <c r="L53" s="25">
        <v>0</v>
      </c>
      <c r="M53" s="28">
        <v>1</v>
      </c>
      <c r="N53" s="28"/>
      <c r="O53" s="28"/>
      <c r="P53" s="28"/>
      <c r="Q53" s="28"/>
      <c r="R53" s="28"/>
      <c r="S53" s="28"/>
      <c r="U53" s="9">
        <f t="shared" ref="U53:U66" si="76">IF(MATCH(1,C53:J53,0)=MATCH(1,L53:S53,0),1,0)</f>
        <v>1</v>
      </c>
      <c r="V53" s="1">
        <f>(1-W53)*Y53</f>
        <v>3.3333333333333333E-2</v>
      </c>
      <c r="W53" s="11">
        <f>BI53</f>
        <v>0</v>
      </c>
      <c r="X53" s="9">
        <v>1</v>
      </c>
      <c r="Y53" s="10">
        <f>X53/SUM($X$2:$X$17)</f>
        <v>3.3333333333333333E-2</v>
      </c>
      <c r="Z53" s="18">
        <v>0</v>
      </c>
      <c r="AA53" s="18">
        <v>1</v>
      </c>
      <c r="AB53" s="18"/>
      <c r="AC53" s="18"/>
      <c r="AD53" s="18"/>
      <c r="AE53" s="18"/>
      <c r="AF53" s="18"/>
      <c r="AG53" s="18"/>
      <c r="AH53" s="12"/>
      <c r="AI53" s="18">
        <f t="shared" ref="AI53:AI69" si="77">C53*Z53</f>
        <v>0</v>
      </c>
      <c r="AJ53" s="18">
        <f t="shared" ref="AJ53:AJ69" si="78">D53*AA53</f>
        <v>1</v>
      </c>
      <c r="AK53" s="18">
        <f t="shared" ref="AK53:AK69" si="79">E53*AB53</f>
        <v>0</v>
      </c>
      <c r="AL53" s="18">
        <f t="shared" ref="AL53:AL69" si="80">F53*AC53</f>
        <v>0</v>
      </c>
      <c r="AM53" s="18">
        <f t="shared" ref="AM53:AM69" si="81">G53*AD53</f>
        <v>0</v>
      </c>
      <c r="AN53" s="18">
        <f t="shared" ref="AN53:AN69" si="82">H53*AE53</f>
        <v>0</v>
      </c>
      <c r="AO53" s="18">
        <f t="shared" ref="AO53:AO68" si="83">I53*AF53</f>
        <v>0</v>
      </c>
      <c r="AP53" s="18">
        <f t="shared" ref="AP53:AP68" si="84">J53*AG53</f>
        <v>0</v>
      </c>
      <c r="AQ53" s="9"/>
      <c r="AR53" s="18">
        <f t="shared" ref="AR53:AR69" si="85">L53*Z53</f>
        <v>0</v>
      </c>
      <c r="AS53" s="18">
        <f t="shared" ref="AS53:AS69" si="86">M53*AA53</f>
        <v>1</v>
      </c>
      <c r="AT53" s="18">
        <f t="shared" ref="AT53:AT69" si="87">N53*AB53</f>
        <v>0</v>
      </c>
      <c r="AU53" s="18">
        <f t="shared" ref="AU53:AU69" si="88">O53*AC53</f>
        <v>0</v>
      </c>
      <c r="AV53" s="18">
        <f t="shared" ref="AV53:AV67" si="89">P53*AD53</f>
        <v>0</v>
      </c>
      <c r="AW53" s="18">
        <f t="shared" ref="AW53:AW69" si="90">Q53*AE53</f>
        <v>0</v>
      </c>
      <c r="AX53" s="18">
        <f t="shared" ref="AX53:AX68" si="91">R53*AF53</f>
        <v>0</v>
      </c>
      <c r="AY53" s="18">
        <f t="shared" ref="AY53:AY68" si="92">S53*AG53</f>
        <v>0</v>
      </c>
      <c r="BA53" s="27">
        <f>(AI53-AR53)</f>
        <v>0</v>
      </c>
      <c r="BB53" s="27">
        <f t="shared" ref="BB53:BB69" si="93">(AJ53-AS53)</f>
        <v>0</v>
      </c>
      <c r="BC53" s="27">
        <f t="shared" ref="BC53:BC69" si="94">(AK53-AT53)</f>
        <v>0</v>
      </c>
      <c r="BD53" s="27">
        <f t="shared" ref="BD53:BD69" si="95">(AL53-AU53)</f>
        <v>0</v>
      </c>
      <c r="BE53" s="27">
        <f t="shared" ref="BE53:BE69" si="96">(AM53-AV53)</f>
        <v>0</v>
      </c>
      <c r="BF53" s="27">
        <f t="shared" ref="BF53:BF69" si="97">(AN53-AW53)</f>
        <v>0</v>
      </c>
      <c r="BG53" s="27">
        <f t="shared" ref="BG53:BG68" si="98">(AO53-AX53)</f>
        <v>0</v>
      </c>
      <c r="BH53" s="27">
        <f t="shared" ref="BH53:BH68" si="99">(AP53-AY53)</f>
        <v>0</v>
      </c>
      <c r="BI53" s="27">
        <f>ABS(SUM(BA53:BH53))</f>
        <v>0</v>
      </c>
      <c r="BJ53" s="27">
        <f>BI53*Y53</f>
        <v>0</v>
      </c>
    </row>
    <row r="54" spans="1:62" ht="22.5">
      <c r="A54" s="6" t="s">
        <v>11</v>
      </c>
      <c r="B54" s="7"/>
      <c r="C54" s="25">
        <v>0</v>
      </c>
      <c r="D54" s="28">
        <v>1</v>
      </c>
      <c r="E54" s="28"/>
      <c r="F54" s="28"/>
      <c r="G54" s="28"/>
      <c r="H54" s="28"/>
      <c r="I54" s="28"/>
      <c r="J54" s="28"/>
      <c r="K54" s="29"/>
      <c r="L54" s="25">
        <v>1</v>
      </c>
      <c r="M54" s="28">
        <v>0</v>
      </c>
      <c r="N54" s="28"/>
      <c r="O54" s="28"/>
      <c r="P54" s="28"/>
      <c r="Q54" s="28"/>
      <c r="R54" s="28"/>
      <c r="S54" s="28"/>
      <c r="U54" s="9">
        <f t="shared" si="76"/>
        <v>0</v>
      </c>
      <c r="V54" s="1">
        <f t="shared" ref="V54:V63" si="100">(1-W54)*Y54</f>
        <v>0</v>
      </c>
      <c r="W54" s="11">
        <f t="shared" ref="W54:W66" si="101">BI54</f>
        <v>1</v>
      </c>
      <c r="X54" s="9">
        <v>1</v>
      </c>
      <c r="Y54" s="10">
        <f t="shared" ref="Y54:Y68" si="102">X54/SUM($X$2:$X$17)</f>
        <v>3.3333333333333333E-2</v>
      </c>
      <c r="Z54" s="18">
        <v>0</v>
      </c>
      <c r="AA54" s="18">
        <v>1</v>
      </c>
      <c r="AB54" s="18"/>
      <c r="AC54" s="18"/>
      <c r="AD54" s="18"/>
      <c r="AE54" s="18"/>
      <c r="AF54" s="18"/>
      <c r="AG54" s="18"/>
      <c r="AH54" s="12"/>
      <c r="AI54" s="18">
        <f t="shared" si="77"/>
        <v>0</v>
      </c>
      <c r="AJ54" s="18">
        <f t="shared" si="78"/>
        <v>1</v>
      </c>
      <c r="AK54" s="18">
        <f t="shared" si="79"/>
        <v>0</v>
      </c>
      <c r="AL54" s="18">
        <f t="shared" si="80"/>
        <v>0</v>
      </c>
      <c r="AM54" s="18">
        <f t="shared" si="81"/>
        <v>0</v>
      </c>
      <c r="AN54" s="18">
        <f t="shared" si="82"/>
        <v>0</v>
      </c>
      <c r="AO54" s="18">
        <f t="shared" si="83"/>
        <v>0</v>
      </c>
      <c r="AP54" s="18">
        <f t="shared" si="84"/>
        <v>0</v>
      </c>
      <c r="AQ54" s="9"/>
      <c r="AR54" s="18">
        <f t="shared" si="85"/>
        <v>0</v>
      </c>
      <c r="AS54" s="18">
        <f t="shared" si="86"/>
        <v>0</v>
      </c>
      <c r="AT54" s="18">
        <f t="shared" si="87"/>
        <v>0</v>
      </c>
      <c r="AU54" s="18">
        <f t="shared" si="88"/>
        <v>0</v>
      </c>
      <c r="AV54" s="18">
        <f t="shared" si="89"/>
        <v>0</v>
      </c>
      <c r="AW54" s="18">
        <f t="shared" si="90"/>
        <v>0</v>
      </c>
      <c r="AX54" s="18">
        <f t="shared" si="91"/>
        <v>0</v>
      </c>
      <c r="AY54" s="18">
        <f t="shared" si="92"/>
        <v>0</v>
      </c>
      <c r="BA54" s="27">
        <f t="shared" ref="BA54:BA67" si="103">(AI54-AR54)</f>
        <v>0</v>
      </c>
      <c r="BB54" s="27">
        <f t="shared" si="93"/>
        <v>1</v>
      </c>
      <c r="BC54" s="27">
        <f t="shared" si="94"/>
        <v>0</v>
      </c>
      <c r="BD54" s="27">
        <f t="shared" si="95"/>
        <v>0</v>
      </c>
      <c r="BE54" s="27">
        <f t="shared" si="96"/>
        <v>0</v>
      </c>
      <c r="BF54" s="27">
        <f t="shared" si="97"/>
        <v>0</v>
      </c>
      <c r="BG54" s="27">
        <f t="shared" si="98"/>
        <v>0</v>
      </c>
      <c r="BH54" s="27">
        <f t="shared" si="99"/>
        <v>0</v>
      </c>
      <c r="BI54" s="27">
        <f t="shared" ref="BI54:BI68" si="104">ABS(SUM(BA54:BH54))</f>
        <v>1</v>
      </c>
      <c r="BJ54" s="27">
        <f t="shared" ref="BJ54:BJ68" si="105">BI54*Y54</f>
        <v>3.3333333333333333E-2</v>
      </c>
    </row>
    <row r="55" spans="1:62" s="22" customFormat="1" ht="22.5">
      <c r="A55" s="8" t="s">
        <v>12</v>
      </c>
      <c r="B55" s="21"/>
      <c r="C55" s="25">
        <v>0</v>
      </c>
      <c r="D55" s="25">
        <v>1</v>
      </c>
      <c r="E55" s="25">
        <v>0</v>
      </c>
      <c r="F55" s="28">
        <v>0</v>
      </c>
      <c r="G55" s="28"/>
      <c r="H55" s="28"/>
      <c r="I55" s="28"/>
      <c r="J55" s="28"/>
      <c r="K55" s="29"/>
      <c r="L55" s="25">
        <v>0</v>
      </c>
      <c r="M55" s="25">
        <v>1</v>
      </c>
      <c r="N55" s="25">
        <v>0</v>
      </c>
      <c r="O55" s="28">
        <v>0</v>
      </c>
      <c r="P55" s="28"/>
      <c r="Q55" s="28"/>
      <c r="R55" s="28"/>
      <c r="S55" s="28"/>
      <c r="T55"/>
      <c r="U55" s="23">
        <f t="shared" si="76"/>
        <v>1</v>
      </c>
      <c r="V55" s="1">
        <f t="shared" si="100"/>
        <v>0.1</v>
      </c>
      <c r="W55" s="11">
        <f t="shared" si="101"/>
        <v>0</v>
      </c>
      <c r="X55" s="23">
        <v>3</v>
      </c>
      <c r="Y55" s="24">
        <f t="shared" si="102"/>
        <v>0.1</v>
      </c>
      <c r="Z55" s="18">
        <v>0</v>
      </c>
      <c r="AA55" s="18">
        <v>0.3</v>
      </c>
      <c r="AB55" s="18">
        <v>0.8</v>
      </c>
      <c r="AC55" s="18">
        <v>1</v>
      </c>
      <c r="AD55" s="18"/>
      <c r="AE55" s="18"/>
      <c r="AF55" s="18"/>
      <c r="AG55" s="18"/>
      <c r="AH55" s="12"/>
      <c r="AI55" s="18">
        <f t="shared" si="77"/>
        <v>0</v>
      </c>
      <c r="AJ55" s="18">
        <f t="shared" si="78"/>
        <v>0.3</v>
      </c>
      <c r="AK55" s="18">
        <f t="shared" si="79"/>
        <v>0</v>
      </c>
      <c r="AL55" s="18">
        <f t="shared" si="80"/>
        <v>0</v>
      </c>
      <c r="AM55" s="18">
        <f t="shared" si="81"/>
        <v>0</v>
      </c>
      <c r="AN55" s="18">
        <f t="shared" si="82"/>
        <v>0</v>
      </c>
      <c r="AO55" s="18">
        <f t="shared" si="83"/>
        <v>0</v>
      </c>
      <c r="AP55" s="18">
        <f t="shared" si="84"/>
        <v>0</v>
      </c>
      <c r="AQ55" s="23"/>
      <c r="AR55" s="18">
        <f t="shared" si="85"/>
        <v>0</v>
      </c>
      <c r="AS55" s="18">
        <f t="shared" si="86"/>
        <v>0.3</v>
      </c>
      <c r="AT55" s="18">
        <f t="shared" si="87"/>
        <v>0</v>
      </c>
      <c r="AU55" s="18">
        <f t="shared" si="88"/>
        <v>0</v>
      </c>
      <c r="AV55" s="18">
        <f t="shared" si="89"/>
        <v>0</v>
      </c>
      <c r="AW55" s="18">
        <f t="shared" si="90"/>
        <v>0</v>
      </c>
      <c r="AX55" s="18">
        <f t="shared" si="91"/>
        <v>0</v>
      </c>
      <c r="AY55" s="18">
        <f t="shared" si="92"/>
        <v>0</v>
      </c>
      <c r="BA55" s="27">
        <f t="shared" si="103"/>
        <v>0</v>
      </c>
      <c r="BB55" s="27">
        <f t="shared" si="93"/>
        <v>0</v>
      </c>
      <c r="BC55" s="27">
        <f t="shared" si="94"/>
        <v>0</v>
      </c>
      <c r="BD55" s="27">
        <f t="shared" si="95"/>
        <v>0</v>
      </c>
      <c r="BE55" s="27">
        <f t="shared" si="96"/>
        <v>0</v>
      </c>
      <c r="BF55" s="27">
        <f t="shared" si="97"/>
        <v>0</v>
      </c>
      <c r="BG55" s="27">
        <f t="shared" si="98"/>
        <v>0</v>
      </c>
      <c r="BH55" s="27">
        <f t="shared" si="99"/>
        <v>0</v>
      </c>
      <c r="BI55" s="27">
        <f t="shared" si="104"/>
        <v>0</v>
      </c>
      <c r="BJ55" s="27">
        <f t="shared" si="105"/>
        <v>0</v>
      </c>
    </row>
    <row r="56" spans="1:62" s="22" customFormat="1" ht="22.5">
      <c r="A56" s="8" t="s">
        <v>13</v>
      </c>
      <c r="B56" s="21"/>
      <c r="C56" s="25">
        <v>0</v>
      </c>
      <c r="D56" s="25">
        <v>0</v>
      </c>
      <c r="E56" s="25">
        <v>0</v>
      </c>
      <c r="F56" s="28">
        <v>1</v>
      </c>
      <c r="G56" s="28"/>
      <c r="H56" s="28"/>
      <c r="I56" s="28"/>
      <c r="J56" s="28"/>
      <c r="K56" s="29"/>
      <c r="L56" s="25">
        <v>0</v>
      </c>
      <c r="M56" s="25">
        <v>0</v>
      </c>
      <c r="N56" s="25">
        <v>0</v>
      </c>
      <c r="O56" s="28">
        <v>1</v>
      </c>
      <c r="P56" s="28"/>
      <c r="Q56" s="28"/>
      <c r="R56" s="28"/>
      <c r="S56" s="28"/>
      <c r="T56"/>
      <c r="U56" s="23">
        <f t="shared" si="76"/>
        <v>1</v>
      </c>
      <c r="V56" s="1">
        <f t="shared" si="100"/>
        <v>3.3333333333333333E-2</v>
      </c>
      <c r="W56" s="11">
        <f t="shared" si="101"/>
        <v>0</v>
      </c>
      <c r="X56" s="23">
        <v>1</v>
      </c>
      <c r="Y56" s="24">
        <f t="shared" si="102"/>
        <v>3.3333333333333333E-2</v>
      </c>
      <c r="Z56" s="18">
        <v>0</v>
      </c>
      <c r="AA56" s="18">
        <v>0.3</v>
      </c>
      <c r="AB56" s="18">
        <v>0.8</v>
      </c>
      <c r="AC56" s="18">
        <v>1</v>
      </c>
      <c r="AD56" s="18"/>
      <c r="AE56" s="18"/>
      <c r="AF56" s="18"/>
      <c r="AG56" s="18"/>
      <c r="AH56" s="12"/>
      <c r="AI56" s="18">
        <f t="shared" si="77"/>
        <v>0</v>
      </c>
      <c r="AJ56" s="18">
        <f t="shared" si="78"/>
        <v>0</v>
      </c>
      <c r="AK56" s="18">
        <f t="shared" si="79"/>
        <v>0</v>
      </c>
      <c r="AL56" s="18">
        <f t="shared" si="80"/>
        <v>1</v>
      </c>
      <c r="AM56" s="18">
        <f t="shared" si="81"/>
        <v>0</v>
      </c>
      <c r="AN56" s="18">
        <f t="shared" si="82"/>
        <v>0</v>
      </c>
      <c r="AO56" s="18">
        <f t="shared" si="83"/>
        <v>0</v>
      </c>
      <c r="AP56" s="18">
        <f t="shared" si="84"/>
        <v>0</v>
      </c>
      <c r="AQ56" s="23"/>
      <c r="AR56" s="18">
        <f t="shared" si="85"/>
        <v>0</v>
      </c>
      <c r="AS56" s="18">
        <f t="shared" si="86"/>
        <v>0</v>
      </c>
      <c r="AT56" s="18">
        <f t="shared" si="87"/>
        <v>0</v>
      </c>
      <c r="AU56" s="18">
        <f t="shared" si="88"/>
        <v>1</v>
      </c>
      <c r="AV56" s="18">
        <f t="shared" si="89"/>
        <v>0</v>
      </c>
      <c r="AW56" s="18">
        <f t="shared" si="90"/>
        <v>0</v>
      </c>
      <c r="AX56" s="18">
        <f t="shared" si="91"/>
        <v>0</v>
      </c>
      <c r="AY56" s="18">
        <f t="shared" si="92"/>
        <v>0</v>
      </c>
      <c r="BA56" s="27">
        <f t="shared" si="103"/>
        <v>0</v>
      </c>
      <c r="BB56" s="27">
        <f t="shared" si="93"/>
        <v>0</v>
      </c>
      <c r="BC56" s="27">
        <f t="shared" si="94"/>
        <v>0</v>
      </c>
      <c r="BD56" s="27">
        <f t="shared" si="95"/>
        <v>0</v>
      </c>
      <c r="BE56" s="27">
        <f t="shared" si="96"/>
        <v>0</v>
      </c>
      <c r="BF56" s="27">
        <f t="shared" si="97"/>
        <v>0</v>
      </c>
      <c r="BG56" s="27">
        <f t="shared" si="98"/>
        <v>0</v>
      </c>
      <c r="BH56" s="27">
        <f t="shared" si="99"/>
        <v>0</v>
      </c>
      <c r="BI56" s="27">
        <f t="shared" si="104"/>
        <v>0</v>
      </c>
      <c r="BJ56" s="27">
        <f t="shared" si="105"/>
        <v>0</v>
      </c>
    </row>
    <row r="57" spans="1:62" s="22" customFormat="1" ht="22.5">
      <c r="A57" s="8" t="s">
        <v>14</v>
      </c>
      <c r="B57" s="21"/>
      <c r="C57" s="25">
        <v>0</v>
      </c>
      <c r="D57" s="25">
        <v>0</v>
      </c>
      <c r="E57" s="25">
        <v>1</v>
      </c>
      <c r="F57" s="28">
        <v>0</v>
      </c>
      <c r="G57" s="28"/>
      <c r="H57" s="28"/>
      <c r="I57" s="28"/>
      <c r="J57" s="28"/>
      <c r="K57" s="29"/>
      <c r="L57" s="25">
        <v>0</v>
      </c>
      <c r="M57" s="25">
        <v>0</v>
      </c>
      <c r="N57" s="25">
        <v>1</v>
      </c>
      <c r="O57" s="28">
        <v>0</v>
      </c>
      <c r="P57" s="28"/>
      <c r="Q57" s="28"/>
      <c r="R57" s="28"/>
      <c r="S57" s="28"/>
      <c r="T57"/>
      <c r="U57" s="23">
        <f t="shared" si="76"/>
        <v>1</v>
      </c>
      <c r="V57" s="1">
        <f t="shared" si="100"/>
        <v>3.3333333333333333E-2</v>
      </c>
      <c r="W57" s="11">
        <f t="shared" si="101"/>
        <v>0</v>
      </c>
      <c r="X57" s="23">
        <v>1</v>
      </c>
      <c r="Y57" s="24">
        <f t="shared" si="102"/>
        <v>3.3333333333333333E-2</v>
      </c>
      <c r="Z57" s="18">
        <v>0</v>
      </c>
      <c r="AA57" s="18">
        <v>0.3</v>
      </c>
      <c r="AB57" s="18">
        <v>0.8</v>
      </c>
      <c r="AC57" s="18">
        <v>1</v>
      </c>
      <c r="AD57" s="18"/>
      <c r="AE57" s="18"/>
      <c r="AF57" s="18"/>
      <c r="AG57" s="18"/>
      <c r="AH57" s="12"/>
      <c r="AI57" s="18">
        <f t="shared" si="77"/>
        <v>0</v>
      </c>
      <c r="AJ57" s="18">
        <f t="shared" si="78"/>
        <v>0</v>
      </c>
      <c r="AK57" s="18">
        <f t="shared" si="79"/>
        <v>0.8</v>
      </c>
      <c r="AL57" s="18">
        <f t="shared" si="80"/>
        <v>0</v>
      </c>
      <c r="AM57" s="18">
        <f t="shared" si="81"/>
        <v>0</v>
      </c>
      <c r="AN57" s="18">
        <f t="shared" si="82"/>
        <v>0</v>
      </c>
      <c r="AO57" s="18">
        <f t="shared" si="83"/>
        <v>0</v>
      </c>
      <c r="AP57" s="18">
        <f t="shared" si="84"/>
        <v>0</v>
      </c>
      <c r="AQ57" s="23"/>
      <c r="AR57" s="18">
        <f t="shared" si="85"/>
        <v>0</v>
      </c>
      <c r="AS57" s="18">
        <f t="shared" si="86"/>
        <v>0</v>
      </c>
      <c r="AT57" s="18">
        <f t="shared" si="87"/>
        <v>0.8</v>
      </c>
      <c r="AU57" s="18">
        <f t="shared" si="88"/>
        <v>0</v>
      </c>
      <c r="AV57" s="18">
        <f t="shared" si="89"/>
        <v>0</v>
      </c>
      <c r="AW57" s="18">
        <f t="shared" si="90"/>
        <v>0</v>
      </c>
      <c r="AX57" s="18">
        <f t="shared" si="91"/>
        <v>0</v>
      </c>
      <c r="AY57" s="18">
        <f t="shared" si="92"/>
        <v>0</v>
      </c>
      <c r="BA57" s="27">
        <f t="shared" si="103"/>
        <v>0</v>
      </c>
      <c r="BB57" s="27">
        <f t="shared" si="93"/>
        <v>0</v>
      </c>
      <c r="BC57" s="27">
        <f t="shared" si="94"/>
        <v>0</v>
      </c>
      <c r="BD57" s="27">
        <f t="shared" si="95"/>
        <v>0</v>
      </c>
      <c r="BE57" s="27">
        <f t="shared" si="96"/>
        <v>0</v>
      </c>
      <c r="BF57" s="27">
        <f t="shared" si="97"/>
        <v>0</v>
      </c>
      <c r="BG57" s="27">
        <f t="shared" si="98"/>
        <v>0</v>
      </c>
      <c r="BH57" s="27">
        <f t="shared" si="99"/>
        <v>0</v>
      </c>
      <c r="BI57" s="27">
        <f t="shared" si="104"/>
        <v>0</v>
      </c>
      <c r="BJ57" s="27">
        <f t="shared" si="105"/>
        <v>0</v>
      </c>
    </row>
    <row r="58" spans="1:62" s="22" customFormat="1" ht="22.5">
      <c r="A58" s="8" t="s">
        <v>15</v>
      </c>
      <c r="B58" s="21"/>
      <c r="C58" s="25">
        <v>0</v>
      </c>
      <c r="D58" s="25">
        <v>1</v>
      </c>
      <c r="E58" s="25">
        <v>0</v>
      </c>
      <c r="F58" s="28">
        <v>0</v>
      </c>
      <c r="G58" s="28"/>
      <c r="H58" s="28"/>
      <c r="I58" s="28"/>
      <c r="J58" s="28"/>
      <c r="K58" s="29"/>
      <c r="L58" s="25">
        <v>0</v>
      </c>
      <c r="M58" s="25">
        <v>1</v>
      </c>
      <c r="N58" s="25">
        <v>0</v>
      </c>
      <c r="O58" s="28">
        <v>0</v>
      </c>
      <c r="P58" s="28"/>
      <c r="Q58" s="28"/>
      <c r="R58" s="28"/>
      <c r="S58" s="28"/>
      <c r="T58"/>
      <c r="U58" s="23">
        <f t="shared" si="76"/>
        <v>1</v>
      </c>
      <c r="V58" s="1">
        <f t="shared" si="100"/>
        <v>0.1</v>
      </c>
      <c r="W58" s="11">
        <f t="shared" si="101"/>
        <v>0</v>
      </c>
      <c r="X58" s="23">
        <v>3</v>
      </c>
      <c r="Y58" s="24">
        <f t="shared" si="102"/>
        <v>0.1</v>
      </c>
      <c r="Z58" s="18">
        <v>0</v>
      </c>
      <c r="AA58" s="18">
        <v>0.3</v>
      </c>
      <c r="AB58" s="18">
        <v>0.8</v>
      </c>
      <c r="AC58" s="18">
        <v>1</v>
      </c>
      <c r="AD58" s="18"/>
      <c r="AE58" s="18"/>
      <c r="AF58" s="18"/>
      <c r="AG58" s="18"/>
      <c r="AH58" s="12"/>
      <c r="AI58" s="18">
        <f t="shared" si="77"/>
        <v>0</v>
      </c>
      <c r="AJ58" s="18">
        <f t="shared" si="78"/>
        <v>0.3</v>
      </c>
      <c r="AK58" s="18">
        <f t="shared" si="79"/>
        <v>0</v>
      </c>
      <c r="AL58" s="18">
        <f t="shared" si="80"/>
        <v>0</v>
      </c>
      <c r="AM58" s="18">
        <f t="shared" si="81"/>
        <v>0</v>
      </c>
      <c r="AN58" s="18">
        <f t="shared" si="82"/>
        <v>0</v>
      </c>
      <c r="AO58" s="18">
        <f t="shared" si="83"/>
        <v>0</v>
      </c>
      <c r="AP58" s="18">
        <f t="shared" si="84"/>
        <v>0</v>
      </c>
      <c r="AQ58" s="23"/>
      <c r="AR58" s="18">
        <f t="shared" si="85"/>
        <v>0</v>
      </c>
      <c r="AS58" s="18">
        <f t="shared" si="86"/>
        <v>0.3</v>
      </c>
      <c r="AT58" s="18">
        <f t="shared" si="87"/>
        <v>0</v>
      </c>
      <c r="AU58" s="18">
        <f t="shared" si="88"/>
        <v>0</v>
      </c>
      <c r="AV58" s="18">
        <f t="shared" si="89"/>
        <v>0</v>
      </c>
      <c r="AW58" s="18">
        <f t="shared" si="90"/>
        <v>0</v>
      </c>
      <c r="AX58" s="18">
        <f t="shared" si="91"/>
        <v>0</v>
      </c>
      <c r="AY58" s="18">
        <f t="shared" si="92"/>
        <v>0</v>
      </c>
      <c r="BA58" s="27">
        <f t="shared" si="103"/>
        <v>0</v>
      </c>
      <c r="BB58" s="27">
        <f t="shared" si="93"/>
        <v>0</v>
      </c>
      <c r="BC58" s="27">
        <f t="shared" si="94"/>
        <v>0</v>
      </c>
      <c r="BD58" s="27">
        <f t="shared" si="95"/>
        <v>0</v>
      </c>
      <c r="BE58" s="27">
        <f t="shared" si="96"/>
        <v>0</v>
      </c>
      <c r="BF58" s="27">
        <f t="shared" si="97"/>
        <v>0</v>
      </c>
      <c r="BG58" s="27">
        <f t="shared" si="98"/>
        <v>0</v>
      </c>
      <c r="BH58" s="27">
        <f t="shared" si="99"/>
        <v>0</v>
      </c>
      <c r="BI58" s="27">
        <f t="shared" si="104"/>
        <v>0</v>
      </c>
      <c r="BJ58" s="27">
        <f t="shared" si="105"/>
        <v>0</v>
      </c>
    </row>
    <row r="59" spans="1:62" s="22" customFormat="1" ht="22.5">
      <c r="A59" s="8" t="s">
        <v>16</v>
      </c>
      <c r="B59" s="21"/>
      <c r="C59" s="25">
        <v>1</v>
      </c>
      <c r="D59" s="25">
        <v>0</v>
      </c>
      <c r="E59" s="25">
        <v>0</v>
      </c>
      <c r="F59" s="28">
        <v>0</v>
      </c>
      <c r="G59" s="28"/>
      <c r="H59" s="28"/>
      <c r="I59" s="28"/>
      <c r="J59" s="28"/>
      <c r="K59" s="29"/>
      <c r="L59" s="25">
        <v>1</v>
      </c>
      <c r="M59" s="25">
        <v>0</v>
      </c>
      <c r="N59" s="25">
        <v>0</v>
      </c>
      <c r="O59" s="28">
        <v>0</v>
      </c>
      <c r="P59" s="28"/>
      <c r="Q59" s="28"/>
      <c r="R59" s="28"/>
      <c r="S59" s="28"/>
      <c r="T59"/>
      <c r="U59" s="23">
        <f t="shared" si="76"/>
        <v>1</v>
      </c>
      <c r="V59" s="1">
        <f t="shared" si="100"/>
        <v>0.16666666666666666</v>
      </c>
      <c r="W59" s="11">
        <f t="shared" si="101"/>
        <v>0</v>
      </c>
      <c r="X59" s="23">
        <v>5</v>
      </c>
      <c r="Y59" s="24">
        <f t="shared" si="102"/>
        <v>0.16666666666666666</v>
      </c>
      <c r="Z59" s="18">
        <v>0</v>
      </c>
      <c r="AA59" s="18">
        <v>0.3</v>
      </c>
      <c r="AB59" s="18">
        <v>0.8</v>
      </c>
      <c r="AC59" s="18">
        <v>1</v>
      </c>
      <c r="AD59" s="18"/>
      <c r="AE59" s="18"/>
      <c r="AF59" s="18"/>
      <c r="AG59" s="18"/>
      <c r="AH59" s="12"/>
      <c r="AI59" s="18">
        <f t="shared" si="77"/>
        <v>0</v>
      </c>
      <c r="AJ59" s="18">
        <f t="shared" si="78"/>
        <v>0</v>
      </c>
      <c r="AK59" s="18">
        <f t="shared" si="79"/>
        <v>0</v>
      </c>
      <c r="AL59" s="18">
        <f t="shared" si="80"/>
        <v>0</v>
      </c>
      <c r="AM59" s="18">
        <f t="shared" si="81"/>
        <v>0</v>
      </c>
      <c r="AN59" s="18">
        <f t="shared" si="82"/>
        <v>0</v>
      </c>
      <c r="AO59" s="18">
        <f t="shared" si="83"/>
        <v>0</v>
      </c>
      <c r="AP59" s="18">
        <f t="shared" si="84"/>
        <v>0</v>
      </c>
      <c r="AQ59" s="23"/>
      <c r="AR59" s="18">
        <f t="shared" si="85"/>
        <v>0</v>
      </c>
      <c r="AS59" s="18">
        <f t="shared" si="86"/>
        <v>0</v>
      </c>
      <c r="AT59" s="18">
        <f t="shared" si="87"/>
        <v>0</v>
      </c>
      <c r="AU59" s="18">
        <f t="shared" si="88"/>
        <v>0</v>
      </c>
      <c r="AV59" s="18">
        <f t="shared" si="89"/>
        <v>0</v>
      </c>
      <c r="AW59" s="18">
        <f t="shared" si="90"/>
        <v>0</v>
      </c>
      <c r="AX59" s="18">
        <f t="shared" si="91"/>
        <v>0</v>
      </c>
      <c r="AY59" s="18">
        <f t="shared" si="92"/>
        <v>0</v>
      </c>
      <c r="BA59" s="27">
        <f t="shared" si="103"/>
        <v>0</v>
      </c>
      <c r="BB59" s="27">
        <f t="shared" si="93"/>
        <v>0</v>
      </c>
      <c r="BC59" s="27">
        <f t="shared" si="94"/>
        <v>0</v>
      </c>
      <c r="BD59" s="27">
        <f t="shared" si="95"/>
        <v>0</v>
      </c>
      <c r="BE59" s="27">
        <f t="shared" si="96"/>
        <v>0</v>
      </c>
      <c r="BF59" s="27">
        <f t="shared" si="97"/>
        <v>0</v>
      </c>
      <c r="BG59" s="27">
        <f t="shared" si="98"/>
        <v>0</v>
      </c>
      <c r="BH59" s="27">
        <f t="shared" si="99"/>
        <v>0</v>
      </c>
      <c r="BI59" s="27">
        <f t="shared" si="104"/>
        <v>0</v>
      </c>
      <c r="BJ59" s="27">
        <f t="shared" si="105"/>
        <v>0</v>
      </c>
    </row>
    <row r="60" spans="1:62" ht="22.5">
      <c r="A60" s="4" t="s">
        <v>0</v>
      </c>
      <c r="B60" s="7"/>
      <c r="C60" s="25">
        <v>0</v>
      </c>
      <c r="D60" s="25">
        <v>1</v>
      </c>
      <c r="E60" s="25"/>
      <c r="F60" s="28"/>
      <c r="G60" s="28"/>
      <c r="H60" s="28"/>
      <c r="I60" s="28"/>
      <c r="J60" s="28"/>
      <c r="K60" s="29"/>
      <c r="L60" s="25">
        <v>0</v>
      </c>
      <c r="M60" s="25">
        <v>1</v>
      </c>
      <c r="N60" s="25"/>
      <c r="O60" s="28"/>
      <c r="P60" s="28"/>
      <c r="Q60" s="28"/>
      <c r="R60" s="28"/>
      <c r="S60" s="28"/>
      <c r="U60" s="9">
        <f t="shared" si="76"/>
        <v>1</v>
      </c>
      <c r="V60" s="1">
        <f t="shared" si="100"/>
        <v>3.3333333333333333E-2</v>
      </c>
      <c r="W60" s="11">
        <f t="shared" si="101"/>
        <v>0</v>
      </c>
      <c r="X60" s="12">
        <v>1</v>
      </c>
      <c r="Y60" s="10">
        <f t="shared" si="102"/>
        <v>3.3333333333333333E-2</v>
      </c>
      <c r="Z60" s="18">
        <v>0</v>
      </c>
      <c r="AA60" s="18">
        <f>IF(M60=1,1,0)</f>
        <v>1</v>
      </c>
      <c r="AB60" s="18">
        <v>0</v>
      </c>
      <c r="AC60" s="18">
        <v>0</v>
      </c>
      <c r="AD60" s="18"/>
      <c r="AE60" s="18"/>
      <c r="AF60" s="18"/>
      <c r="AG60" s="18"/>
      <c r="AH60" s="12"/>
      <c r="AI60" s="18">
        <f t="shared" si="77"/>
        <v>0</v>
      </c>
      <c r="AJ60" s="18">
        <f t="shared" si="78"/>
        <v>1</v>
      </c>
      <c r="AK60" s="18">
        <f t="shared" si="79"/>
        <v>0</v>
      </c>
      <c r="AL60" s="18">
        <f t="shared" si="80"/>
        <v>0</v>
      </c>
      <c r="AM60" s="18">
        <f t="shared" si="81"/>
        <v>0</v>
      </c>
      <c r="AN60" s="18">
        <f t="shared" si="82"/>
        <v>0</v>
      </c>
      <c r="AO60" s="18">
        <f t="shared" si="83"/>
        <v>0</v>
      </c>
      <c r="AP60" s="18">
        <f t="shared" si="84"/>
        <v>0</v>
      </c>
      <c r="AQ60" s="9"/>
      <c r="AR60" s="18">
        <f t="shared" si="85"/>
        <v>0</v>
      </c>
      <c r="AS60" s="18">
        <f t="shared" si="86"/>
        <v>1</v>
      </c>
      <c r="AT60" s="18">
        <f t="shared" si="87"/>
        <v>0</v>
      </c>
      <c r="AU60" s="18">
        <f t="shared" si="88"/>
        <v>0</v>
      </c>
      <c r="AV60" s="18">
        <f t="shared" si="89"/>
        <v>0</v>
      </c>
      <c r="AW60" s="18">
        <f t="shared" si="90"/>
        <v>0</v>
      </c>
      <c r="AX60" s="18">
        <f t="shared" si="91"/>
        <v>0</v>
      </c>
      <c r="AY60" s="18">
        <f t="shared" si="92"/>
        <v>0</v>
      </c>
      <c r="BA60" s="27">
        <f t="shared" si="103"/>
        <v>0</v>
      </c>
      <c r="BB60" s="27">
        <f t="shared" si="93"/>
        <v>0</v>
      </c>
      <c r="BC60" s="27">
        <f t="shared" si="94"/>
        <v>0</v>
      </c>
      <c r="BD60" s="27">
        <f t="shared" si="95"/>
        <v>0</v>
      </c>
      <c r="BE60" s="27">
        <f t="shared" si="96"/>
        <v>0</v>
      </c>
      <c r="BF60" s="27">
        <f t="shared" si="97"/>
        <v>0</v>
      </c>
      <c r="BG60" s="27">
        <f t="shared" si="98"/>
        <v>0</v>
      </c>
      <c r="BH60" s="27">
        <f t="shared" si="99"/>
        <v>0</v>
      </c>
      <c r="BI60" s="27">
        <f t="shared" si="104"/>
        <v>0</v>
      </c>
      <c r="BJ60" s="27">
        <f t="shared" si="105"/>
        <v>0</v>
      </c>
    </row>
    <row r="61" spans="1:62" ht="22.5">
      <c r="A61" s="5" t="s">
        <v>1</v>
      </c>
      <c r="B61" s="7"/>
      <c r="C61" s="25"/>
      <c r="D61" s="25"/>
      <c r="E61" s="25"/>
      <c r="F61" s="25"/>
      <c r="G61" s="25">
        <v>0</v>
      </c>
      <c r="H61" s="25">
        <v>1</v>
      </c>
      <c r="I61" s="28"/>
      <c r="J61" s="28"/>
      <c r="K61" s="29"/>
      <c r="L61" s="25"/>
      <c r="M61" s="25"/>
      <c r="N61" s="25"/>
      <c r="O61" s="25"/>
      <c r="P61" s="25">
        <v>0</v>
      </c>
      <c r="Q61" s="25">
        <v>1</v>
      </c>
      <c r="R61" s="28"/>
      <c r="S61" s="28"/>
      <c r="U61" s="9">
        <f t="shared" si="76"/>
        <v>1</v>
      </c>
      <c r="V61" s="1">
        <f t="shared" si="100"/>
        <v>3.3333333333333333E-2</v>
      </c>
      <c r="W61" s="11">
        <f t="shared" si="101"/>
        <v>0</v>
      </c>
      <c r="X61" s="12">
        <v>1</v>
      </c>
      <c r="Y61" s="10">
        <f t="shared" si="102"/>
        <v>3.3333333333333333E-2</v>
      </c>
      <c r="Z61" s="18"/>
      <c r="AA61" s="18"/>
      <c r="AB61" s="18"/>
      <c r="AC61" s="18"/>
      <c r="AD61" s="18">
        <v>0</v>
      </c>
      <c r="AE61" s="18">
        <v>1</v>
      </c>
      <c r="AF61" s="18"/>
      <c r="AG61" s="18"/>
      <c r="AH61" s="12"/>
      <c r="AI61" s="18">
        <f t="shared" si="77"/>
        <v>0</v>
      </c>
      <c r="AJ61" s="18">
        <f t="shared" si="78"/>
        <v>0</v>
      </c>
      <c r="AK61" s="18">
        <f t="shared" si="79"/>
        <v>0</v>
      </c>
      <c r="AL61" s="18">
        <f t="shared" si="80"/>
        <v>0</v>
      </c>
      <c r="AM61" s="18">
        <f t="shared" si="81"/>
        <v>0</v>
      </c>
      <c r="AN61" s="18">
        <f t="shared" si="82"/>
        <v>1</v>
      </c>
      <c r="AO61" s="18">
        <f t="shared" si="83"/>
        <v>0</v>
      </c>
      <c r="AP61" s="18">
        <f t="shared" si="84"/>
        <v>0</v>
      </c>
      <c r="AQ61" s="9"/>
      <c r="AR61" s="18">
        <f t="shared" si="85"/>
        <v>0</v>
      </c>
      <c r="AS61" s="18">
        <f t="shared" si="86"/>
        <v>0</v>
      </c>
      <c r="AT61" s="18">
        <f t="shared" si="87"/>
        <v>0</v>
      </c>
      <c r="AU61" s="18">
        <f t="shared" si="88"/>
        <v>0</v>
      </c>
      <c r="AV61" s="18">
        <f t="shared" si="89"/>
        <v>0</v>
      </c>
      <c r="AW61" s="18">
        <f t="shared" si="90"/>
        <v>1</v>
      </c>
      <c r="AX61" s="18">
        <f t="shared" si="91"/>
        <v>0</v>
      </c>
      <c r="AY61" s="18">
        <f t="shared" si="92"/>
        <v>0</v>
      </c>
      <c r="BA61" s="27">
        <f t="shared" si="103"/>
        <v>0</v>
      </c>
      <c r="BB61" s="27">
        <f t="shared" si="93"/>
        <v>0</v>
      </c>
      <c r="BC61" s="27">
        <f t="shared" si="94"/>
        <v>0</v>
      </c>
      <c r="BD61" s="27">
        <f t="shared" si="95"/>
        <v>0</v>
      </c>
      <c r="BE61" s="27">
        <f t="shared" si="96"/>
        <v>0</v>
      </c>
      <c r="BF61" s="27">
        <f t="shared" si="97"/>
        <v>0</v>
      </c>
      <c r="BG61" s="27">
        <f t="shared" si="98"/>
        <v>0</v>
      </c>
      <c r="BH61" s="27">
        <f t="shared" si="99"/>
        <v>0</v>
      </c>
      <c r="BI61" s="27">
        <f t="shared" si="104"/>
        <v>0</v>
      </c>
      <c r="BJ61" s="27">
        <f t="shared" si="105"/>
        <v>0</v>
      </c>
    </row>
    <row r="62" spans="1:62" ht="22.5">
      <c r="A62" s="5" t="s">
        <v>21</v>
      </c>
      <c r="B62" s="7"/>
      <c r="C62" s="25"/>
      <c r="D62" s="25"/>
      <c r="E62" s="25"/>
      <c r="F62" s="25"/>
      <c r="G62" s="25">
        <v>0</v>
      </c>
      <c r="H62" s="25">
        <v>1</v>
      </c>
      <c r="I62" s="28"/>
      <c r="J62" s="28"/>
      <c r="K62" s="29"/>
      <c r="L62" s="25"/>
      <c r="M62" s="25"/>
      <c r="N62" s="25"/>
      <c r="O62" s="25"/>
      <c r="P62" s="25">
        <v>0</v>
      </c>
      <c r="Q62" s="25">
        <v>1</v>
      </c>
      <c r="R62" s="28"/>
      <c r="S62" s="28"/>
      <c r="U62" s="9">
        <f t="shared" si="76"/>
        <v>1</v>
      </c>
      <c r="V62" s="1">
        <f t="shared" si="100"/>
        <v>3.3333333333333333E-2</v>
      </c>
      <c r="W62" s="11">
        <f t="shared" si="101"/>
        <v>0</v>
      </c>
      <c r="X62" s="12">
        <v>1</v>
      </c>
      <c r="Y62" s="10">
        <f t="shared" si="102"/>
        <v>3.3333333333333333E-2</v>
      </c>
      <c r="Z62" s="18"/>
      <c r="AA62" s="18"/>
      <c r="AB62" s="18"/>
      <c r="AC62" s="18"/>
      <c r="AD62" s="18">
        <v>0</v>
      </c>
      <c r="AE62" s="18">
        <v>1</v>
      </c>
      <c r="AF62" s="18"/>
      <c r="AG62" s="18"/>
      <c r="AH62" s="12"/>
      <c r="AI62" s="18">
        <f t="shared" si="77"/>
        <v>0</v>
      </c>
      <c r="AJ62" s="18">
        <f t="shared" si="78"/>
        <v>0</v>
      </c>
      <c r="AK62" s="18">
        <f t="shared" si="79"/>
        <v>0</v>
      </c>
      <c r="AL62" s="18">
        <f t="shared" si="80"/>
        <v>0</v>
      </c>
      <c r="AM62" s="18">
        <f t="shared" si="81"/>
        <v>0</v>
      </c>
      <c r="AN62" s="18">
        <f t="shared" si="82"/>
        <v>1</v>
      </c>
      <c r="AO62" s="18">
        <f t="shared" si="83"/>
        <v>0</v>
      </c>
      <c r="AP62" s="18">
        <f t="shared" si="84"/>
        <v>0</v>
      </c>
      <c r="AQ62" s="9"/>
      <c r="AR62" s="18">
        <f t="shared" si="85"/>
        <v>0</v>
      </c>
      <c r="AS62" s="18">
        <f t="shared" si="86"/>
        <v>0</v>
      </c>
      <c r="AT62" s="18">
        <f t="shared" si="87"/>
        <v>0</v>
      </c>
      <c r="AU62" s="18">
        <f t="shared" si="88"/>
        <v>0</v>
      </c>
      <c r="AV62" s="18">
        <f t="shared" si="89"/>
        <v>0</v>
      </c>
      <c r="AW62" s="18">
        <f t="shared" si="90"/>
        <v>1</v>
      </c>
      <c r="AX62" s="18">
        <f t="shared" si="91"/>
        <v>0</v>
      </c>
      <c r="AY62" s="18">
        <f t="shared" si="92"/>
        <v>0</v>
      </c>
      <c r="BA62" s="27">
        <f t="shared" si="103"/>
        <v>0</v>
      </c>
      <c r="BB62" s="27">
        <f t="shared" si="93"/>
        <v>0</v>
      </c>
      <c r="BC62" s="27">
        <f t="shared" si="94"/>
        <v>0</v>
      </c>
      <c r="BD62" s="27">
        <f t="shared" si="95"/>
        <v>0</v>
      </c>
      <c r="BE62" s="27">
        <f t="shared" si="96"/>
        <v>0</v>
      </c>
      <c r="BF62" s="27">
        <f t="shared" si="97"/>
        <v>0</v>
      </c>
      <c r="BG62" s="27">
        <f t="shared" si="98"/>
        <v>0</v>
      </c>
      <c r="BH62" s="27">
        <f t="shared" si="99"/>
        <v>0</v>
      </c>
      <c r="BI62" s="27">
        <f t="shared" si="104"/>
        <v>0</v>
      </c>
      <c r="BJ62" s="27">
        <f t="shared" si="105"/>
        <v>0</v>
      </c>
    </row>
    <row r="63" spans="1:62" ht="22.5">
      <c r="A63" s="5" t="s">
        <v>2</v>
      </c>
      <c r="B63" s="7"/>
      <c r="C63" s="25"/>
      <c r="D63" s="25"/>
      <c r="E63" s="25"/>
      <c r="F63" s="25"/>
      <c r="G63" s="25">
        <v>0</v>
      </c>
      <c r="H63" s="25">
        <v>1</v>
      </c>
      <c r="I63" s="28"/>
      <c r="J63" s="28"/>
      <c r="K63" s="29"/>
      <c r="L63" s="25"/>
      <c r="M63" s="25"/>
      <c r="N63" s="25"/>
      <c r="O63" s="25"/>
      <c r="P63" s="25">
        <v>0</v>
      </c>
      <c r="Q63" s="25">
        <v>1</v>
      </c>
      <c r="R63" s="28"/>
      <c r="S63" s="28"/>
      <c r="U63" s="9">
        <f t="shared" si="76"/>
        <v>1</v>
      </c>
      <c r="V63" s="1">
        <f t="shared" si="100"/>
        <v>3.3333333333333333E-2</v>
      </c>
      <c r="W63" s="11">
        <f t="shared" si="101"/>
        <v>0</v>
      </c>
      <c r="X63" s="12">
        <v>1</v>
      </c>
      <c r="Y63" s="10">
        <f t="shared" si="102"/>
        <v>3.3333333333333333E-2</v>
      </c>
      <c r="Z63" s="18"/>
      <c r="AA63" s="18"/>
      <c r="AB63" s="18"/>
      <c r="AC63" s="18"/>
      <c r="AD63" s="18">
        <v>0</v>
      </c>
      <c r="AE63" s="18">
        <v>1</v>
      </c>
      <c r="AF63" s="18"/>
      <c r="AG63" s="18"/>
      <c r="AH63" s="12"/>
      <c r="AI63" s="18">
        <f t="shared" si="77"/>
        <v>0</v>
      </c>
      <c r="AJ63" s="18">
        <f t="shared" si="78"/>
        <v>0</v>
      </c>
      <c r="AK63" s="18">
        <f t="shared" si="79"/>
        <v>0</v>
      </c>
      <c r="AL63" s="18">
        <f t="shared" si="80"/>
        <v>0</v>
      </c>
      <c r="AM63" s="18">
        <f t="shared" si="81"/>
        <v>0</v>
      </c>
      <c r="AN63" s="18">
        <f t="shared" si="82"/>
        <v>1</v>
      </c>
      <c r="AO63" s="18">
        <f t="shared" si="83"/>
        <v>0</v>
      </c>
      <c r="AP63" s="18">
        <f t="shared" si="84"/>
        <v>0</v>
      </c>
      <c r="AQ63" s="9"/>
      <c r="AR63" s="18">
        <f t="shared" si="85"/>
        <v>0</v>
      </c>
      <c r="AS63" s="18">
        <f t="shared" si="86"/>
        <v>0</v>
      </c>
      <c r="AT63" s="18">
        <f t="shared" si="87"/>
        <v>0</v>
      </c>
      <c r="AU63" s="18">
        <f t="shared" si="88"/>
        <v>0</v>
      </c>
      <c r="AV63" s="18">
        <f t="shared" si="89"/>
        <v>0</v>
      </c>
      <c r="AW63" s="18">
        <f t="shared" si="90"/>
        <v>1</v>
      </c>
      <c r="AX63" s="18">
        <f t="shared" si="91"/>
        <v>0</v>
      </c>
      <c r="AY63" s="18">
        <f t="shared" si="92"/>
        <v>0</v>
      </c>
      <c r="BA63" s="27">
        <f t="shared" si="103"/>
        <v>0</v>
      </c>
      <c r="BB63" s="27">
        <f t="shared" si="93"/>
        <v>0</v>
      </c>
      <c r="BC63" s="27">
        <f t="shared" si="94"/>
        <v>0</v>
      </c>
      <c r="BD63" s="27">
        <f t="shared" si="95"/>
        <v>0</v>
      </c>
      <c r="BE63" s="27">
        <f t="shared" si="96"/>
        <v>0</v>
      </c>
      <c r="BF63" s="27">
        <f t="shared" si="97"/>
        <v>0</v>
      </c>
      <c r="BG63" s="27">
        <f t="shared" si="98"/>
        <v>0</v>
      </c>
      <c r="BH63" s="27">
        <f t="shared" si="99"/>
        <v>0</v>
      </c>
      <c r="BI63" s="27">
        <f t="shared" si="104"/>
        <v>0</v>
      </c>
      <c r="BJ63" s="27">
        <f t="shared" si="105"/>
        <v>0</v>
      </c>
    </row>
    <row r="64" spans="1:62" ht="22.5">
      <c r="A64" s="5" t="s">
        <v>3</v>
      </c>
      <c r="B64" s="7"/>
      <c r="C64" s="25"/>
      <c r="D64" s="25"/>
      <c r="E64" s="25"/>
      <c r="F64" s="25"/>
      <c r="G64" s="25">
        <v>1</v>
      </c>
      <c r="H64" s="25">
        <v>0</v>
      </c>
      <c r="I64" s="28"/>
      <c r="J64" s="28"/>
      <c r="K64" s="29"/>
      <c r="L64" s="25"/>
      <c r="M64" s="25"/>
      <c r="N64" s="25"/>
      <c r="O64" s="25"/>
      <c r="P64" s="25">
        <v>0</v>
      </c>
      <c r="Q64" s="25">
        <v>1</v>
      </c>
      <c r="R64" s="28"/>
      <c r="S64" s="28"/>
      <c r="U64" s="9">
        <f t="shared" si="76"/>
        <v>0</v>
      </c>
      <c r="V64" s="1">
        <f>(1-W64)*Y64</f>
        <v>0</v>
      </c>
      <c r="W64" s="11">
        <f t="shared" si="101"/>
        <v>1</v>
      </c>
      <c r="X64" s="12">
        <v>3</v>
      </c>
      <c r="Y64" s="10">
        <f t="shared" si="102"/>
        <v>0.1</v>
      </c>
      <c r="Z64" s="18"/>
      <c r="AA64" s="18"/>
      <c r="AB64" s="18"/>
      <c r="AC64" s="18"/>
      <c r="AD64" s="18">
        <v>0</v>
      </c>
      <c r="AE64" s="18">
        <v>1</v>
      </c>
      <c r="AF64" s="18"/>
      <c r="AG64" s="18"/>
      <c r="AH64" s="12"/>
      <c r="AI64" s="18">
        <f t="shared" si="77"/>
        <v>0</v>
      </c>
      <c r="AJ64" s="18">
        <f t="shared" si="78"/>
        <v>0</v>
      </c>
      <c r="AK64" s="18">
        <f t="shared" si="79"/>
        <v>0</v>
      </c>
      <c r="AL64" s="18">
        <f t="shared" si="80"/>
        <v>0</v>
      </c>
      <c r="AM64" s="18">
        <f t="shared" si="81"/>
        <v>0</v>
      </c>
      <c r="AN64" s="18">
        <f t="shared" si="82"/>
        <v>0</v>
      </c>
      <c r="AO64" s="18">
        <f t="shared" si="83"/>
        <v>0</v>
      </c>
      <c r="AP64" s="18">
        <f t="shared" si="84"/>
        <v>0</v>
      </c>
      <c r="AQ64" s="9"/>
      <c r="AR64" s="18">
        <f t="shared" si="85"/>
        <v>0</v>
      </c>
      <c r="AS64" s="18">
        <f t="shared" si="86"/>
        <v>0</v>
      </c>
      <c r="AT64" s="18">
        <f t="shared" si="87"/>
        <v>0</v>
      </c>
      <c r="AU64" s="18">
        <f t="shared" si="88"/>
        <v>0</v>
      </c>
      <c r="AV64" s="18">
        <f t="shared" si="89"/>
        <v>0</v>
      </c>
      <c r="AW64" s="18">
        <f t="shared" si="90"/>
        <v>1</v>
      </c>
      <c r="AX64" s="18">
        <f t="shared" si="91"/>
        <v>0</v>
      </c>
      <c r="AY64" s="18">
        <f t="shared" si="92"/>
        <v>0</v>
      </c>
      <c r="BA64" s="27">
        <f t="shared" si="103"/>
        <v>0</v>
      </c>
      <c r="BB64" s="27">
        <f t="shared" si="93"/>
        <v>0</v>
      </c>
      <c r="BC64" s="27">
        <f t="shared" si="94"/>
        <v>0</v>
      </c>
      <c r="BD64" s="27">
        <f t="shared" si="95"/>
        <v>0</v>
      </c>
      <c r="BE64" s="27">
        <f t="shared" si="96"/>
        <v>0</v>
      </c>
      <c r="BF64" s="27">
        <f t="shared" si="97"/>
        <v>-1</v>
      </c>
      <c r="BG64" s="27">
        <f t="shared" si="98"/>
        <v>0</v>
      </c>
      <c r="BH64" s="27">
        <f t="shared" si="99"/>
        <v>0</v>
      </c>
      <c r="BI64" s="27">
        <f t="shared" si="104"/>
        <v>1</v>
      </c>
      <c r="BJ64" s="27">
        <f t="shared" si="105"/>
        <v>0.1</v>
      </c>
    </row>
    <row r="65" spans="1:62" ht="22.5">
      <c r="A65" s="8" t="s">
        <v>4</v>
      </c>
      <c r="B65" s="7"/>
      <c r="C65" s="25"/>
      <c r="D65" s="25"/>
      <c r="E65" s="25"/>
      <c r="F65" s="25"/>
      <c r="G65" s="25"/>
      <c r="H65" s="25"/>
      <c r="I65" s="25">
        <v>0</v>
      </c>
      <c r="J65" s="25">
        <v>1</v>
      </c>
      <c r="K65" s="29"/>
      <c r="L65" s="25"/>
      <c r="M65" s="25"/>
      <c r="N65" s="25"/>
      <c r="O65" s="25"/>
      <c r="P65" s="25"/>
      <c r="Q65" s="25"/>
      <c r="R65" s="25">
        <v>0</v>
      </c>
      <c r="S65" s="25">
        <v>1</v>
      </c>
      <c r="U65" s="9">
        <f t="shared" si="76"/>
        <v>1</v>
      </c>
      <c r="V65" s="1">
        <f t="shared" ref="V65:V68" si="106">(1-W65)*Y65</f>
        <v>3.3333333333333333E-2</v>
      </c>
      <c r="W65" s="11">
        <f t="shared" si="101"/>
        <v>0</v>
      </c>
      <c r="X65" s="12">
        <v>1</v>
      </c>
      <c r="Y65" s="10">
        <f t="shared" si="102"/>
        <v>3.3333333333333333E-2</v>
      </c>
      <c r="Z65" s="18"/>
      <c r="AA65" s="18"/>
      <c r="AB65" s="18"/>
      <c r="AC65" s="18"/>
      <c r="AD65" s="18"/>
      <c r="AE65" s="18"/>
      <c r="AF65" s="18">
        <v>0</v>
      </c>
      <c r="AG65" s="18">
        <v>1</v>
      </c>
      <c r="AH65" s="12"/>
      <c r="AI65" s="18">
        <f t="shared" si="77"/>
        <v>0</v>
      </c>
      <c r="AJ65" s="18">
        <f t="shared" si="78"/>
        <v>0</v>
      </c>
      <c r="AK65" s="18">
        <f t="shared" si="79"/>
        <v>0</v>
      </c>
      <c r="AL65" s="18">
        <f t="shared" si="80"/>
        <v>0</v>
      </c>
      <c r="AM65" s="18">
        <f t="shared" si="81"/>
        <v>0</v>
      </c>
      <c r="AN65" s="18">
        <f t="shared" si="82"/>
        <v>0</v>
      </c>
      <c r="AO65" s="18">
        <f t="shared" si="83"/>
        <v>0</v>
      </c>
      <c r="AP65" s="18">
        <f t="shared" si="84"/>
        <v>1</v>
      </c>
      <c r="AQ65" s="9"/>
      <c r="AR65" s="18">
        <f t="shared" si="85"/>
        <v>0</v>
      </c>
      <c r="AS65" s="18">
        <f t="shared" si="86"/>
        <v>0</v>
      </c>
      <c r="AT65" s="18">
        <f t="shared" si="87"/>
        <v>0</v>
      </c>
      <c r="AU65" s="18">
        <f t="shared" si="88"/>
        <v>0</v>
      </c>
      <c r="AV65" s="18">
        <f t="shared" si="89"/>
        <v>0</v>
      </c>
      <c r="AW65" s="18">
        <f t="shared" si="90"/>
        <v>0</v>
      </c>
      <c r="AX65" s="18">
        <f t="shared" si="91"/>
        <v>0</v>
      </c>
      <c r="AY65" s="18">
        <f t="shared" si="92"/>
        <v>1</v>
      </c>
      <c r="BA65" s="27">
        <f t="shared" si="103"/>
        <v>0</v>
      </c>
      <c r="BB65" s="27">
        <f t="shared" si="93"/>
        <v>0</v>
      </c>
      <c r="BC65" s="27">
        <f t="shared" si="94"/>
        <v>0</v>
      </c>
      <c r="BD65" s="27">
        <f t="shared" si="95"/>
        <v>0</v>
      </c>
      <c r="BE65" s="27">
        <f t="shared" si="96"/>
        <v>0</v>
      </c>
      <c r="BF65" s="27">
        <f t="shared" si="97"/>
        <v>0</v>
      </c>
      <c r="BG65" s="27">
        <f t="shared" si="98"/>
        <v>0</v>
      </c>
      <c r="BH65" s="27">
        <f t="shared" si="99"/>
        <v>0</v>
      </c>
      <c r="BI65" s="27">
        <f t="shared" si="104"/>
        <v>0</v>
      </c>
      <c r="BJ65" s="27">
        <f t="shared" si="105"/>
        <v>0</v>
      </c>
    </row>
    <row r="66" spans="1:62" ht="22.5">
      <c r="A66" s="8" t="s">
        <v>22</v>
      </c>
      <c r="B66" s="7"/>
      <c r="C66" s="25"/>
      <c r="D66" s="25"/>
      <c r="E66" s="25"/>
      <c r="F66" s="25"/>
      <c r="G66" s="25"/>
      <c r="H66" s="25"/>
      <c r="I66" s="25">
        <v>0</v>
      </c>
      <c r="J66" s="25">
        <v>1</v>
      </c>
      <c r="K66" s="29"/>
      <c r="L66" s="25"/>
      <c r="M66" s="25"/>
      <c r="N66" s="25"/>
      <c r="O66" s="25"/>
      <c r="P66" s="25"/>
      <c r="Q66" s="25"/>
      <c r="R66" s="25">
        <v>0</v>
      </c>
      <c r="S66" s="25">
        <v>1</v>
      </c>
      <c r="U66" s="9">
        <f t="shared" si="76"/>
        <v>1</v>
      </c>
      <c r="V66" s="1">
        <f t="shared" si="106"/>
        <v>3.3333333333333333E-2</v>
      </c>
      <c r="W66" s="11">
        <f t="shared" si="101"/>
        <v>0</v>
      </c>
      <c r="X66" s="12">
        <v>1</v>
      </c>
      <c r="Y66" s="10">
        <f t="shared" si="102"/>
        <v>3.3333333333333333E-2</v>
      </c>
      <c r="Z66" s="18"/>
      <c r="AA66" s="18"/>
      <c r="AB66" s="18"/>
      <c r="AC66" s="18"/>
      <c r="AD66" s="18"/>
      <c r="AE66" s="18"/>
      <c r="AF66" s="18">
        <v>0</v>
      </c>
      <c r="AG66" s="18">
        <v>1</v>
      </c>
      <c r="AH66" s="12"/>
      <c r="AI66" s="18">
        <f t="shared" si="77"/>
        <v>0</v>
      </c>
      <c r="AJ66" s="18">
        <f t="shared" si="78"/>
        <v>0</v>
      </c>
      <c r="AK66" s="18">
        <f t="shared" si="79"/>
        <v>0</v>
      </c>
      <c r="AL66" s="18">
        <f t="shared" si="80"/>
        <v>0</v>
      </c>
      <c r="AM66" s="18">
        <f t="shared" si="81"/>
        <v>0</v>
      </c>
      <c r="AN66" s="18">
        <f t="shared" si="82"/>
        <v>0</v>
      </c>
      <c r="AO66" s="18">
        <f t="shared" si="83"/>
        <v>0</v>
      </c>
      <c r="AP66" s="18">
        <f t="shared" si="84"/>
        <v>1</v>
      </c>
      <c r="AQ66" s="9"/>
      <c r="AR66" s="18">
        <f t="shared" si="85"/>
        <v>0</v>
      </c>
      <c r="AS66" s="18">
        <f t="shared" si="86"/>
        <v>0</v>
      </c>
      <c r="AT66" s="18">
        <f t="shared" si="87"/>
        <v>0</v>
      </c>
      <c r="AU66" s="18">
        <f t="shared" si="88"/>
        <v>0</v>
      </c>
      <c r="AV66" s="18">
        <f t="shared" si="89"/>
        <v>0</v>
      </c>
      <c r="AW66" s="18">
        <f t="shared" si="90"/>
        <v>0</v>
      </c>
      <c r="AX66" s="18">
        <f t="shared" si="91"/>
        <v>0</v>
      </c>
      <c r="AY66" s="18">
        <f t="shared" si="92"/>
        <v>1</v>
      </c>
      <c r="BA66" s="27">
        <f t="shared" si="103"/>
        <v>0</v>
      </c>
      <c r="BB66" s="27">
        <f t="shared" si="93"/>
        <v>0</v>
      </c>
      <c r="BC66" s="27">
        <f t="shared" si="94"/>
        <v>0</v>
      </c>
      <c r="BD66" s="27">
        <f t="shared" si="95"/>
        <v>0</v>
      </c>
      <c r="BE66" s="27">
        <f t="shared" si="96"/>
        <v>0</v>
      </c>
      <c r="BF66" s="27">
        <f t="shared" si="97"/>
        <v>0</v>
      </c>
      <c r="BG66" s="27">
        <f t="shared" si="98"/>
        <v>0</v>
      </c>
      <c r="BH66" s="27">
        <f t="shared" si="99"/>
        <v>0</v>
      </c>
      <c r="BI66" s="27">
        <f t="shared" si="104"/>
        <v>0</v>
      </c>
      <c r="BJ66" s="27">
        <f t="shared" si="105"/>
        <v>0</v>
      </c>
    </row>
    <row r="67" spans="1:62" ht="22.5">
      <c r="A67" s="8" t="s">
        <v>23</v>
      </c>
      <c r="B67" s="7"/>
      <c r="C67" s="25"/>
      <c r="D67" s="25"/>
      <c r="E67" s="25"/>
      <c r="F67" s="25"/>
      <c r="G67" s="25"/>
      <c r="H67" s="25"/>
      <c r="I67" s="25">
        <v>0</v>
      </c>
      <c r="J67" s="25">
        <v>1</v>
      </c>
      <c r="K67" s="29"/>
      <c r="L67" s="25"/>
      <c r="M67" s="25"/>
      <c r="N67" s="25"/>
      <c r="O67" s="25"/>
      <c r="P67" s="25"/>
      <c r="Q67" s="25"/>
      <c r="R67" s="25">
        <v>0</v>
      </c>
      <c r="S67" s="25">
        <v>1</v>
      </c>
      <c r="U67" s="9">
        <f>IF(MATCH(1,C67:J67,0)=MATCH(1,L67:S67,0),1,0)</f>
        <v>1</v>
      </c>
      <c r="V67" s="1">
        <f t="shared" si="106"/>
        <v>3.3333333333333333E-2</v>
      </c>
      <c r="W67" s="11">
        <f>BI67</f>
        <v>0</v>
      </c>
      <c r="X67" s="12">
        <v>1</v>
      </c>
      <c r="Y67" s="10">
        <f t="shared" si="102"/>
        <v>3.3333333333333333E-2</v>
      </c>
      <c r="Z67" s="18"/>
      <c r="AA67" s="18"/>
      <c r="AB67" s="18"/>
      <c r="AC67" s="18"/>
      <c r="AD67" s="18"/>
      <c r="AE67" s="18"/>
      <c r="AF67" s="18">
        <v>0</v>
      </c>
      <c r="AG67" s="18">
        <v>1</v>
      </c>
      <c r="AI67" s="18">
        <f t="shared" si="77"/>
        <v>0</v>
      </c>
      <c r="AJ67" s="18">
        <f t="shared" si="78"/>
        <v>0</v>
      </c>
      <c r="AK67" s="18">
        <f t="shared" si="79"/>
        <v>0</v>
      </c>
      <c r="AL67" s="18">
        <f t="shared" si="80"/>
        <v>0</v>
      </c>
      <c r="AM67" s="18">
        <f t="shared" si="81"/>
        <v>0</v>
      </c>
      <c r="AN67" s="18">
        <f t="shared" si="82"/>
        <v>0</v>
      </c>
      <c r="AO67" s="18">
        <f t="shared" si="83"/>
        <v>0</v>
      </c>
      <c r="AP67" s="18">
        <f t="shared" si="84"/>
        <v>1</v>
      </c>
      <c r="AQ67" s="9" t="s">
        <v>24</v>
      </c>
      <c r="AR67" s="18">
        <f t="shared" si="85"/>
        <v>0</v>
      </c>
      <c r="AS67" s="18">
        <f t="shared" si="86"/>
        <v>0</v>
      </c>
      <c r="AT67" s="18">
        <f t="shared" si="87"/>
        <v>0</v>
      </c>
      <c r="AU67" s="18">
        <f t="shared" si="88"/>
        <v>0</v>
      </c>
      <c r="AV67" s="18">
        <f t="shared" si="89"/>
        <v>0</v>
      </c>
      <c r="AW67" s="18">
        <f t="shared" si="90"/>
        <v>0</v>
      </c>
      <c r="AX67" s="18">
        <f t="shared" si="91"/>
        <v>0</v>
      </c>
      <c r="AY67" s="18">
        <f t="shared" si="92"/>
        <v>1</v>
      </c>
      <c r="BA67" s="27">
        <f t="shared" si="103"/>
        <v>0</v>
      </c>
      <c r="BB67" s="27">
        <f t="shared" si="93"/>
        <v>0</v>
      </c>
      <c r="BC67" s="27">
        <f t="shared" si="94"/>
        <v>0</v>
      </c>
      <c r="BD67" s="27">
        <f t="shared" si="95"/>
        <v>0</v>
      </c>
      <c r="BE67" s="27">
        <f t="shared" si="96"/>
        <v>0</v>
      </c>
      <c r="BF67" s="27">
        <f t="shared" si="97"/>
        <v>0</v>
      </c>
      <c r="BG67" s="27">
        <f t="shared" si="98"/>
        <v>0</v>
      </c>
      <c r="BH67" s="27">
        <f t="shared" si="99"/>
        <v>0</v>
      </c>
      <c r="BI67" s="27">
        <f t="shared" si="104"/>
        <v>0</v>
      </c>
      <c r="BJ67" s="27">
        <f t="shared" si="105"/>
        <v>0</v>
      </c>
    </row>
    <row r="68" spans="1:62" ht="22.5">
      <c r="A68" s="14" t="s">
        <v>5</v>
      </c>
      <c r="B68" s="7"/>
      <c r="C68" s="25"/>
      <c r="D68" s="25"/>
      <c r="E68" s="25"/>
      <c r="F68" s="25"/>
      <c r="G68" s="25"/>
      <c r="H68" s="25"/>
      <c r="I68" s="25">
        <v>1</v>
      </c>
      <c r="J68" s="25">
        <v>0</v>
      </c>
      <c r="K68" s="29"/>
      <c r="L68" s="25"/>
      <c r="M68" s="25"/>
      <c r="N68" s="25"/>
      <c r="O68" s="25"/>
      <c r="P68" s="25"/>
      <c r="Q68" s="25"/>
      <c r="R68" s="25">
        <v>1</v>
      </c>
      <c r="S68" s="25">
        <v>0</v>
      </c>
      <c r="U68" s="9">
        <f t="shared" ref="U68:U69" si="107">IF(MATCH(1,C68:J68,0)=MATCH(1,L68:S68,0),1,0)</f>
        <v>1</v>
      </c>
      <c r="V68" s="1">
        <f t="shared" si="106"/>
        <v>0.16666666666666666</v>
      </c>
      <c r="W68" s="11">
        <f t="shared" ref="W68" si="108">BI68</f>
        <v>0</v>
      </c>
      <c r="X68" s="12">
        <v>5</v>
      </c>
      <c r="Y68" s="10">
        <f t="shared" si="102"/>
        <v>0.16666666666666666</v>
      </c>
      <c r="Z68" s="18"/>
      <c r="AA68" s="18"/>
      <c r="AB68" s="18"/>
      <c r="AC68" s="18"/>
      <c r="AD68" s="18"/>
      <c r="AE68" s="18"/>
      <c r="AF68" s="18">
        <v>0</v>
      </c>
      <c r="AG68" s="18">
        <v>1</v>
      </c>
      <c r="AH68" s="20"/>
      <c r="AI68" s="18">
        <f t="shared" si="77"/>
        <v>0</v>
      </c>
      <c r="AJ68" s="18">
        <f t="shared" si="78"/>
        <v>0</v>
      </c>
      <c r="AK68" s="18">
        <f t="shared" si="79"/>
        <v>0</v>
      </c>
      <c r="AL68" s="18">
        <f t="shared" si="80"/>
        <v>0</v>
      </c>
      <c r="AM68" s="18">
        <f t="shared" si="81"/>
        <v>0</v>
      </c>
      <c r="AN68" s="18">
        <f t="shared" si="82"/>
        <v>0</v>
      </c>
      <c r="AO68" s="18">
        <f t="shared" si="83"/>
        <v>0</v>
      </c>
      <c r="AP68" s="18">
        <f t="shared" si="84"/>
        <v>0</v>
      </c>
      <c r="AQ68" s="9"/>
      <c r="AR68" s="18">
        <f t="shared" si="85"/>
        <v>0</v>
      </c>
      <c r="AS68" s="18">
        <f t="shared" si="86"/>
        <v>0</v>
      </c>
      <c r="AT68" s="18">
        <f t="shared" si="87"/>
        <v>0</v>
      </c>
      <c r="AU68" s="18">
        <f t="shared" si="88"/>
        <v>0</v>
      </c>
      <c r="AV68" s="18">
        <f>P68*AD68</f>
        <v>0</v>
      </c>
      <c r="AW68" s="18">
        <f t="shared" si="90"/>
        <v>0</v>
      </c>
      <c r="AX68" s="18">
        <f t="shared" si="91"/>
        <v>0</v>
      </c>
      <c r="AY68" s="18">
        <f t="shared" si="92"/>
        <v>0</v>
      </c>
      <c r="BA68" s="27">
        <f>(AI68-AR68)</f>
        <v>0</v>
      </c>
      <c r="BB68" s="27">
        <f t="shared" si="93"/>
        <v>0</v>
      </c>
      <c r="BC68" s="27">
        <f t="shared" si="94"/>
        <v>0</v>
      </c>
      <c r="BD68" s="27">
        <f t="shared" si="95"/>
        <v>0</v>
      </c>
      <c r="BE68" s="27">
        <f t="shared" si="96"/>
        <v>0</v>
      </c>
      <c r="BF68" s="27">
        <f t="shared" si="97"/>
        <v>0</v>
      </c>
      <c r="BG68" s="27">
        <f t="shared" si="98"/>
        <v>0</v>
      </c>
      <c r="BH68" s="27">
        <f t="shared" si="99"/>
        <v>0</v>
      </c>
      <c r="BI68" s="27">
        <f t="shared" si="104"/>
        <v>0</v>
      </c>
      <c r="BJ68" s="27">
        <f t="shared" si="105"/>
        <v>0</v>
      </c>
    </row>
    <row r="69" spans="1:62">
      <c r="C69" s="30"/>
      <c r="D69" s="30"/>
      <c r="E69" s="30"/>
      <c r="F69" s="30"/>
      <c r="G69" s="30"/>
      <c r="H69" s="30"/>
      <c r="I69" s="30"/>
      <c r="J69" s="30"/>
      <c r="K69" s="29"/>
      <c r="L69" s="30"/>
      <c r="M69" s="30"/>
      <c r="N69" s="30"/>
      <c r="O69" s="30"/>
      <c r="P69" s="30"/>
      <c r="Q69" s="30"/>
      <c r="R69" s="30"/>
      <c r="S69" s="30"/>
      <c r="T69" s="3">
        <f>SUM(V70:V85)</f>
        <v>0.80666666666666653</v>
      </c>
      <c r="U69" s="12" t="e">
        <f t="shared" si="107"/>
        <v>#N/A</v>
      </c>
      <c r="Z69" s="20"/>
      <c r="AA69" s="20"/>
      <c r="AB69" s="20"/>
      <c r="AC69" s="20"/>
      <c r="AD69" s="20"/>
      <c r="AE69" s="20"/>
      <c r="AF69" s="20"/>
      <c r="AG69" s="20"/>
      <c r="AH69" s="20"/>
      <c r="AI69" s="11">
        <f t="shared" si="77"/>
        <v>0</v>
      </c>
      <c r="AJ69" s="11">
        <f t="shared" si="78"/>
        <v>0</v>
      </c>
      <c r="AK69" s="11">
        <f t="shared" si="79"/>
        <v>0</v>
      </c>
      <c r="AL69" s="11">
        <f t="shared" si="80"/>
        <v>0</v>
      </c>
      <c r="AM69" s="11">
        <f t="shared" si="81"/>
        <v>0</v>
      </c>
      <c r="AN69" s="11">
        <f t="shared" si="82"/>
        <v>0</v>
      </c>
      <c r="AR69" s="11">
        <f t="shared" si="85"/>
        <v>0</v>
      </c>
      <c r="AS69" s="11">
        <f t="shared" si="86"/>
        <v>0</v>
      </c>
      <c r="AT69" s="11">
        <f t="shared" si="87"/>
        <v>0</v>
      </c>
      <c r="AU69" s="11">
        <f t="shared" si="88"/>
        <v>0</v>
      </c>
      <c r="AV69" s="11">
        <f>P69*AD69</f>
        <v>0</v>
      </c>
      <c r="AW69" s="11">
        <f t="shared" si="90"/>
        <v>0</v>
      </c>
      <c r="BA69" s="27">
        <f>(AI69-AR69)</f>
        <v>0</v>
      </c>
      <c r="BB69" s="27">
        <f t="shared" si="93"/>
        <v>0</v>
      </c>
      <c r="BC69" s="27">
        <f t="shared" si="94"/>
        <v>0</v>
      </c>
      <c r="BD69" s="27">
        <f t="shared" si="95"/>
        <v>0</v>
      </c>
      <c r="BE69" s="27">
        <f t="shared" si="96"/>
        <v>0</v>
      </c>
      <c r="BF69" s="27">
        <f t="shared" si="97"/>
        <v>0</v>
      </c>
    </row>
    <row r="70" spans="1:62" ht="22.5">
      <c r="A70" s="6" t="s">
        <v>10</v>
      </c>
      <c r="B70" s="7"/>
      <c r="C70" s="25">
        <v>0</v>
      </c>
      <c r="D70" s="28">
        <v>1</v>
      </c>
      <c r="E70" s="28"/>
      <c r="F70" s="28"/>
      <c r="G70" s="28"/>
      <c r="H70" s="28"/>
      <c r="I70" s="28"/>
      <c r="J70" s="28"/>
      <c r="K70" s="29"/>
      <c r="L70" s="25">
        <v>1</v>
      </c>
      <c r="M70" s="28">
        <v>0</v>
      </c>
      <c r="N70" s="28"/>
      <c r="O70" s="28"/>
      <c r="P70" s="28"/>
      <c r="Q70" s="28"/>
      <c r="R70" s="28"/>
      <c r="S70" s="28"/>
      <c r="U70" s="9">
        <f t="shared" ref="U70:U83" si="109">IF(MATCH(1,C70:J70,0)=MATCH(1,L70:S70,0),1,0)</f>
        <v>0</v>
      </c>
      <c r="V70" s="1">
        <f>(1-W70)*Y70</f>
        <v>0</v>
      </c>
      <c r="W70" s="11">
        <f>BI70</f>
        <v>1</v>
      </c>
      <c r="X70" s="9">
        <v>1</v>
      </c>
      <c r="Y70" s="10">
        <f>X70/SUM($X$2:$X$17)</f>
        <v>3.3333333333333333E-2</v>
      </c>
      <c r="Z70" s="18">
        <v>0</v>
      </c>
      <c r="AA70" s="18">
        <v>1</v>
      </c>
      <c r="AB70" s="18"/>
      <c r="AC70" s="18"/>
      <c r="AD70" s="18"/>
      <c r="AE70" s="18"/>
      <c r="AF70" s="18"/>
      <c r="AG70" s="18"/>
      <c r="AH70" s="12"/>
      <c r="AI70" s="18">
        <f t="shared" ref="AI70:AI86" si="110">C70*Z70</f>
        <v>0</v>
      </c>
      <c r="AJ70" s="18">
        <f t="shared" ref="AJ70:AJ86" si="111">D70*AA70</f>
        <v>1</v>
      </c>
      <c r="AK70" s="18">
        <f t="shared" ref="AK70:AK86" si="112">E70*AB70</f>
        <v>0</v>
      </c>
      <c r="AL70" s="18">
        <f t="shared" ref="AL70:AL86" si="113">F70*AC70</f>
        <v>0</v>
      </c>
      <c r="AM70" s="18">
        <f t="shared" ref="AM70:AM86" si="114">G70*AD70</f>
        <v>0</v>
      </c>
      <c r="AN70" s="18">
        <f t="shared" ref="AN70:AN86" si="115">H70*AE70</f>
        <v>0</v>
      </c>
      <c r="AO70" s="18">
        <f t="shared" ref="AO70:AO85" si="116">I70*AF70</f>
        <v>0</v>
      </c>
      <c r="AP70" s="18">
        <f t="shared" ref="AP70:AP85" si="117">J70*AG70</f>
        <v>0</v>
      </c>
      <c r="AQ70" s="9"/>
      <c r="AR70" s="18">
        <f t="shared" ref="AR70:AR86" si="118">L70*Z70</f>
        <v>0</v>
      </c>
      <c r="AS70" s="18">
        <f t="shared" ref="AS70:AS86" si="119">M70*AA70</f>
        <v>0</v>
      </c>
      <c r="AT70" s="18">
        <f t="shared" ref="AT70:AT86" si="120">N70*AB70</f>
        <v>0</v>
      </c>
      <c r="AU70" s="18">
        <f t="shared" ref="AU70:AU86" si="121">O70*AC70</f>
        <v>0</v>
      </c>
      <c r="AV70" s="18">
        <f t="shared" ref="AV70:AV84" si="122">P70*AD70</f>
        <v>0</v>
      </c>
      <c r="AW70" s="18">
        <f t="shared" ref="AW70:AW86" si="123">Q70*AE70</f>
        <v>0</v>
      </c>
      <c r="AX70" s="18">
        <f t="shared" ref="AX70:AX85" si="124">R70*AF70</f>
        <v>0</v>
      </c>
      <c r="AY70" s="18">
        <f t="shared" ref="AY70:AY85" si="125">S70*AG70</f>
        <v>0</v>
      </c>
      <c r="BA70" s="27">
        <f>(AI70-AR70)</f>
        <v>0</v>
      </c>
      <c r="BB70" s="27">
        <f t="shared" ref="BB70:BB86" si="126">(AJ70-AS70)</f>
        <v>1</v>
      </c>
      <c r="BC70" s="27">
        <f t="shared" ref="BC70:BC86" si="127">(AK70-AT70)</f>
        <v>0</v>
      </c>
      <c r="BD70" s="27">
        <f t="shared" ref="BD70:BD86" si="128">(AL70-AU70)</f>
        <v>0</v>
      </c>
      <c r="BE70" s="27">
        <f t="shared" ref="BE70:BE86" si="129">(AM70-AV70)</f>
        <v>0</v>
      </c>
      <c r="BF70" s="27">
        <f t="shared" ref="BF70:BF86" si="130">(AN70-AW70)</f>
        <v>0</v>
      </c>
      <c r="BG70" s="27">
        <f t="shared" ref="BG70:BG85" si="131">(AO70-AX70)</f>
        <v>0</v>
      </c>
      <c r="BH70" s="27">
        <f t="shared" ref="BH70:BH85" si="132">(AP70-AY70)</f>
        <v>0</v>
      </c>
      <c r="BI70" s="27">
        <f>ABS(SUM(BA70:BH70))</f>
        <v>1</v>
      </c>
      <c r="BJ70" s="27">
        <f>BI70*Y70</f>
        <v>3.3333333333333333E-2</v>
      </c>
    </row>
    <row r="71" spans="1:62" ht="22.5">
      <c r="A71" s="6" t="s">
        <v>11</v>
      </c>
      <c r="B71" s="7"/>
      <c r="C71" s="25">
        <v>0</v>
      </c>
      <c r="D71" s="28">
        <v>1</v>
      </c>
      <c r="E71" s="28"/>
      <c r="F71" s="28"/>
      <c r="G71" s="28"/>
      <c r="H71" s="28"/>
      <c r="I71" s="28"/>
      <c r="J71" s="28"/>
      <c r="K71" s="29"/>
      <c r="L71" s="25">
        <v>0</v>
      </c>
      <c r="M71" s="28">
        <v>1</v>
      </c>
      <c r="N71" s="28"/>
      <c r="O71" s="28"/>
      <c r="P71" s="28"/>
      <c r="Q71" s="28"/>
      <c r="R71" s="28"/>
      <c r="S71" s="28"/>
      <c r="U71" s="9">
        <f t="shared" si="109"/>
        <v>1</v>
      </c>
      <c r="V71" s="1">
        <f t="shared" ref="V71:V80" si="133">(1-W71)*Y71</f>
        <v>3.3333333333333333E-2</v>
      </c>
      <c r="W71" s="11">
        <f t="shared" ref="W71:W83" si="134">BI71</f>
        <v>0</v>
      </c>
      <c r="X71" s="9">
        <v>1</v>
      </c>
      <c r="Y71" s="10">
        <f t="shared" ref="Y71:Y85" si="135">X71/SUM($X$2:$X$17)</f>
        <v>3.3333333333333333E-2</v>
      </c>
      <c r="Z71" s="18">
        <v>0</v>
      </c>
      <c r="AA71" s="18">
        <v>1</v>
      </c>
      <c r="AB71" s="18"/>
      <c r="AC71" s="18"/>
      <c r="AD71" s="18"/>
      <c r="AE71" s="18"/>
      <c r="AF71" s="18"/>
      <c r="AG71" s="18"/>
      <c r="AH71" s="12"/>
      <c r="AI71" s="18">
        <f t="shared" si="110"/>
        <v>0</v>
      </c>
      <c r="AJ71" s="18">
        <f t="shared" si="111"/>
        <v>1</v>
      </c>
      <c r="AK71" s="18">
        <f t="shared" si="112"/>
        <v>0</v>
      </c>
      <c r="AL71" s="18">
        <f t="shared" si="113"/>
        <v>0</v>
      </c>
      <c r="AM71" s="18">
        <f t="shared" si="114"/>
        <v>0</v>
      </c>
      <c r="AN71" s="18">
        <f t="shared" si="115"/>
        <v>0</v>
      </c>
      <c r="AO71" s="18">
        <f t="shared" si="116"/>
        <v>0</v>
      </c>
      <c r="AP71" s="18">
        <f t="shared" si="117"/>
        <v>0</v>
      </c>
      <c r="AQ71" s="9"/>
      <c r="AR71" s="18">
        <f t="shared" si="118"/>
        <v>0</v>
      </c>
      <c r="AS71" s="18">
        <f t="shared" si="119"/>
        <v>1</v>
      </c>
      <c r="AT71" s="18">
        <f t="shared" si="120"/>
        <v>0</v>
      </c>
      <c r="AU71" s="18">
        <f t="shared" si="121"/>
        <v>0</v>
      </c>
      <c r="AV71" s="18">
        <f t="shared" si="122"/>
        <v>0</v>
      </c>
      <c r="AW71" s="18">
        <f t="shared" si="123"/>
        <v>0</v>
      </c>
      <c r="AX71" s="18">
        <f t="shared" si="124"/>
        <v>0</v>
      </c>
      <c r="AY71" s="18">
        <f t="shared" si="125"/>
        <v>0</v>
      </c>
      <c r="BA71" s="27">
        <f t="shared" ref="BA71:BA84" si="136">(AI71-AR71)</f>
        <v>0</v>
      </c>
      <c r="BB71" s="27">
        <f t="shared" si="126"/>
        <v>0</v>
      </c>
      <c r="BC71" s="27">
        <f t="shared" si="127"/>
        <v>0</v>
      </c>
      <c r="BD71" s="27">
        <f t="shared" si="128"/>
        <v>0</v>
      </c>
      <c r="BE71" s="27">
        <f t="shared" si="129"/>
        <v>0</v>
      </c>
      <c r="BF71" s="27">
        <f t="shared" si="130"/>
        <v>0</v>
      </c>
      <c r="BG71" s="27">
        <f t="shared" si="131"/>
        <v>0</v>
      </c>
      <c r="BH71" s="27">
        <f t="shared" si="132"/>
        <v>0</v>
      </c>
      <c r="BI71" s="27">
        <f t="shared" ref="BI71:BI85" si="137">ABS(SUM(BA71:BH71))</f>
        <v>0</v>
      </c>
      <c r="BJ71" s="27">
        <f t="shared" ref="BJ71:BJ85" si="138">BI71*Y71</f>
        <v>0</v>
      </c>
    </row>
    <row r="72" spans="1:62" s="22" customFormat="1" ht="22.5">
      <c r="A72" s="8" t="s">
        <v>12</v>
      </c>
      <c r="B72" s="21"/>
      <c r="C72" s="25">
        <v>0</v>
      </c>
      <c r="D72" s="25">
        <v>1</v>
      </c>
      <c r="E72" s="25">
        <v>0</v>
      </c>
      <c r="F72" s="28">
        <v>0</v>
      </c>
      <c r="G72" s="28"/>
      <c r="H72" s="28"/>
      <c r="I72" s="28"/>
      <c r="J72" s="28"/>
      <c r="K72" s="29"/>
      <c r="L72" s="25">
        <v>0</v>
      </c>
      <c r="M72" s="25">
        <v>1</v>
      </c>
      <c r="N72" s="25">
        <v>0</v>
      </c>
      <c r="O72" s="28">
        <v>0</v>
      </c>
      <c r="P72" s="28"/>
      <c r="Q72" s="28"/>
      <c r="R72" s="28"/>
      <c r="S72" s="28"/>
      <c r="T72"/>
      <c r="U72" s="23">
        <f t="shared" si="109"/>
        <v>1</v>
      </c>
      <c r="V72" s="1">
        <f t="shared" si="133"/>
        <v>0.1</v>
      </c>
      <c r="W72" s="11">
        <f t="shared" si="134"/>
        <v>0</v>
      </c>
      <c r="X72" s="23">
        <v>3</v>
      </c>
      <c r="Y72" s="24">
        <f t="shared" si="135"/>
        <v>0.1</v>
      </c>
      <c r="Z72" s="18">
        <v>0</v>
      </c>
      <c r="AA72" s="18">
        <v>0.3</v>
      </c>
      <c r="AB72" s="18">
        <v>0.8</v>
      </c>
      <c r="AC72" s="18">
        <v>1</v>
      </c>
      <c r="AD72" s="18"/>
      <c r="AE72" s="18"/>
      <c r="AF72" s="18"/>
      <c r="AG72" s="18"/>
      <c r="AH72" s="12"/>
      <c r="AI72" s="18">
        <f t="shared" si="110"/>
        <v>0</v>
      </c>
      <c r="AJ72" s="18">
        <f t="shared" si="111"/>
        <v>0.3</v>
      </c>
      <c r="AK72" s="18">
        <f t="shared" si="112"/>
        <v>0</v>
      </c>
      <c r="AL72" s="18">
        <f t="shared" si="113"/>
        <v>0</v>
      </c>
      <c r="AM72" s="18">
        <f t="shared" si="114"/>
        <v>0</v>
      </c>
      <c r="AN72" s="18">
        <f t="shared" si="115"/>
        <v>0</v>
      </c>
      <c r="AO72" s="18">
        <f t="shared" si="116"/>
        <v>0</v>
      </c>
      <c r="AP72" s="18">
        <f t="shared" si="117"/>
        <v>0</v>
      </c>
      <c r="AQ72" s="23"/>
      <c r="AR72" s="18">
        <f t="shared" si="118"/>
        <v>0</v>
      </c>
      <c r="AS72" s="18">
        <f t="shared" si="119"/>
        <v>0.3</v>
      </c>
      <c r="AT72" s="18">
        <f t="shared" si="120"/>
        <v>0</v>
      </c>
      <c r="AU72" s="18">
        <f t="shared" si="121"/>
        <v>0</v>
      </c>
      <c r="AV72" s="18">
        <f t="shared" si="122"/>
        <v>0</v>
      </c>
      <c r="AW72" s="18">
        <f t="shared" si="123"/>
        <v>0</v>
      </c>
      <c r="AX72" s="18">
        <f t="shared" si="124"/>
        <v>0</v>
      </c>
      <c r="AY72" s="18">
        <f t="shared" si="125"/>
        <v>0</v>
      </c>
      <c r="BA72" s="27">
        <f t="shared" si="136"/>
        <v>0</v>
      </c>
      <c r="BB72" s="27">
        <f t="shared" si="126"/>
        <v>0</v>
      </c>
      <c r="BC72" s="27">
        <f t="shared" si="127"/>
        <v>0</v>
      </c>
      <c r="BD72" s="27">
        <f t="shared" si="128"/>
        <v>0</v>
      </c>
      <c r="BE72" s="27">
        <f t="shared" si="129"/>
        <v>0</v>
      </c>
      <c r="BF72" s="27">
        <f t="shared" si="130"/>
        <v>0</v>
      </c>
      <c r="BG72" s="27">
        <f t="shared" si="131"/>
        <v>0</v>
      </c>
      <c r="BH72" s="27">
        <f t="shared" si="132"/>
        <v>0</v>
      </c>
      <c r="BI72" s="27">
        <f t="shared" si="137"/>
        <v>0</v>
      </c>
      <c r="BJ72" s="27">
        <f t="shared" si="138"/>
        <v>0</v>
      </c>
    </row>
    <row r="73" spans="1:62" s="22" customFormat="1" ht="22.5">
      <c r="A73" s="8" t="s">
        <v>13</v>
      </c>
      <c r="B73" s="21"/>
      <c r="C73" s="25">
        <v>0</v>
      </c>
      <c r="D73" s="25">
        <v>0</v>
      </c>
      <c r="E73" s="25">
        <v>0</v>
      </c>
      <c r="F73" s="28">
        <v>1</v>
      </c>
      <c r="G73" s="28"/>
      <c r="H73" s="28"/>
      <c r="I73" s="28"/>
      <c r="J73" s="28"/>
      <c r="K73" s="29"/>
      <c r="L73" s="25">
        <v>0</v>
      </c>
      <c r="M73" s="25">
        <v>0</v>
      </c>
      <c r="N73" s="25">
        <v>0</v>
      </c>
      <c r="O73" s="28">
        <v>1</v>
      </c>
      <c r="P73" s="28"/>
      <c r="Q73" s="28"/>
      <c r="R73" s="28"/>
      <c r="S73" s="28"/>
      <c r="T73"/>
      <c r="U73" s="23">
        <f t="shared" si="109"/>
        <v>1</v>
      </c>
      <c r="V73" s="1">
        <f t="shared" si="133"/>
        <v>3.3333333333333333E-2</v>
      </c>
      <c r="W73" s="11">
        <f t="shared" si="134"/>
        <v>0</v>
      </c>
      <c r="X73" s="23">
        <v>1</v>
      </c>
      <c r="Y73" s="24">
        <f t="shared" si="135"/>
        <v>3.3333333333333333E-2</v>
      </c>
      <c r="Z73" s="18">
        <v>0</v>
      </c>
      <c r="AA73" s="18">
        <v>0.3</v>
      </c>
      <c r="AB73" s="18">
        <v>0.8</v>
      </c>
      <c r="AC73" s="18">
        <v>1</v>
      </c>
      <c r="AD73" s="18"/>
      <c r="AE73" s="18"/>
      <c r="AF73" s="18"/>
      <c r="AG73" s="18"/>
      <c r="AH73" s="12"/>
      <c r="AI73" s="18">
        <f t="shared" si="110"/>
        <v>0</v>
      </c>
      <c r="AJ73" s="18">
        <f t="shared" si="111"/>
        <v>0</v>
      </c>
      <c r="AK73" s="18">
        <f t="shared" si="112"/>
        <v>0</v>
      </c>
      <c r="AL73" s="18">
        <f t="shared" si="113"/>
        <v>1</v>
      </c>
      <c r="AM73" s="18">
        <f t="shared" si="114"/>
        <v>0</v>
      </c>
      <c r="AN73" s="18">
        <f t="shared" si="115"/>
        <v>0</v>
      </c>
      <c r="AO73" s="18">
        <f t="shared" si="116"/>
        <v>0</v>
      </c>
      <c r="AP73" s="18">
        <f t="shared" si="117"/>
        <v>0</v>
      </c>
      <c r="AQ73" s="23"/>
      <c r="AR73" s="18">
        <f t="shared" si="118"/>
        <v>0</v>
      </c>
      <c r="AS73" s="18">
        <f t="shared" si="119"/>
        <v>0</v>
      </c>
      <c r="AT73" s="18">
        <f t="shared" si="120"/>
        <v>0</v>
      </c>
      <c r="AU73" s="18">
        <f t="shared" si="121"/>
        <v>1</v>
      </c>
      <c r="AV73" s="18">
        <f t="shared" si="122"/>
        <v>0</v>
      </c>
      <c r="AW73" s="18">
        <f t="shared" si="123"/>
        <v>0</v>
      </c>
      <c r="AX73" s="18">
        <f t="shared" si="124"/>
        <v>0</v>
      </c>
      <c r="AY73" s="18">
        <f t="shared" si="125"/>
        <v>0</v>
      </c>
      <c r="BA73" s="27">
        <f t="shared" si="136"/>
        <v>0</v>
      </c>
      <c r="BB73" s="27">
        <f t="shared" si="126"/>
        <v>0</v>
      </c>
      <c r="BC73" s="27">
        <f t="shared" si="127"/>
        <v>0</v>
      </c>
      <c r="BD73" s="27">
        <f t="shared" si="128"/>
        <v>0</v>
      </c>
      <c r="BE73" s="27">
        <f t="shared" si="129"/>
        <v>0</v>
      </c>
      <c r="BF73" s="27">
        <f t="shared" si="130"/>
        <v>0</v>
      </c>
      <c r="BG73" s="27">
        <f t="shared" si="131"/>
        <v>0</v>
      </c>
      <c r="BH73" s="27">
        <f t="shared" si="132"/>
        <v>0</v>
      </c>
      <c r="BI73" s="27">
        <f t="shared" si="137"/>
        <v>0</v>
      </c>
      <c r="BJ73" s="27">
        <f t="shared" si="138"/>
        <v>0</v>
      </c>
    </row>
    <row r="74" spans="1:62" s="22" customFormat="1" ht="22.5">
      <c r="A74" s="8" t="s">
        <v>14</v>
      </c>
      <c r="B74" s="21"/>
      <c r="C74" s="25">
        <v>0</v>
      </c>
      <c r="D74" s="25">
        <v>0</v>
      </c>
      <c r="E74" s="25">
        <v>1</v>
      </c>
      <c r="F74" s="28">
        <v>0</v>
      </c>
      <c r="G74" s="28"/>
      <c r="H74" s="28"/>
      <c r="I74" s="28"/>
      <c r="J74" s="28"/>
      <c r="K74" s="29"/>
      <c r="L74" s="25">
        <v>1</v>
      </c>
      <c r="M74" s="25">
        <v>0</v>
      </c>
      <c r="N74" s="25">
        <v>0</v>
      </c>
      <c r="O74" s="28">
        <v>0</v>
      </c>
      <c r="P74" s="28"/>
      <c r="Q74" s="28"/>
      <c r="R74" s="28"/>
      <c r="S74" s="28"/>
      <c r="T74"/>
      <c r="U74" s="23">
        <f t="shared" si="109"/>
        <v>0</v>
      </c>
      <c r="V74" s="1">
        <f t="shared" si="133"/>
        <v>6.6666666666666654E-3</v>
      </c>
      <c r="W74" s="11">
        <f t="shared" si="134"/>
        <v>0.8</v>
      </c>
      <c r="X74" s="23">
        <v>1</v>
      </c>
      <c r="Y74" s="24">
        <f t="shared" si="135"/>
        <v>3.3333333333333333E-2</v>
      </c>
      <c r="Z74" s="18">
        <v>0</v>
      </c>
      <c r="AA74" s="18">
        <v>0.3</v>
      </c>
      <c r="AB74" s="18">
        <v>0.8</v>
      </c>
      <c r="AC74" s="18">
        <v>1</v>
      </c>
      <c r="AD74" s="18"/>
      <c r="AE74" s="18"/>
      <c r="AF74" s="18"/>
      <c r="AG74" s="18"/>
      <c r="AH74" s="12"/>
      <c r="AI74" s="18">
        <f t="shared" si="110"/>
        <v>0</v>
      </c>
      <c r="AJ74" s="18">
        <f t="shared" si="111"/>
        <v>0</v>
      </c>
      <c r="AK74" s="18">
        <f t="shared" si="112"/>
        <v>0.8</v>
      </c>
      <c r="AL74" s="18">
        <f t="shared" si="113"/>
        <v>0</v>
      </c>
      <c r="AM74" s="18">
        <f t="shared" si="114"/>
        <v>0</v>
      </c>
      <c r="AN74" s="18">
        <f t="shared" si="115"/>
        <v>0</v>
      </c>
      <c r="AO74" s="18">
        <f t="shared" si="116"/>
        <v>0</v>
      </c>
      <c r="AP74" s="18">
        <f t="shared" si="117"/>
        <v>0</v>
      </c>
      <c r="AQ74" s="23"/>
      <c r="AR74" s="18">
        <f t="shared" si="118"/>
        <v>0</v>
      </c>
      <c r="AS74" s="18">
        <f t="shared" si="119"/>
        <v>0</v>
      </c>
      <c r="AT74" s="18">
        <f t="shared" si="120"/>
        <v>0</v>
      </c>
      <c r="AU74" s="18">
        <f t="shared" si="121"/>
        <v>0</v>
      </c>
      <c r="AV74" s="18">
        <f t="shared" si="122"/>
        <v>0</v>
      </c>
      <c r="AW74" s="18">
        <f t="shared" si="123"/>
        <v>0</v>
      </c>
      <c r="AX74" s="18">
        <f t="shared" si="124"/>
        <v>0</v>
      </c>
      <c r="AY74" s="18">
        <f t="shared" si="125"/>
        <v>0</v>
      </c>
      <c r="BA74" s="27">
        <f t="shared" si="136"/>
        <v>0</v>
      </c>
      <c r="BB74" s="27">
        <f t="shared" si="126"/>
        <v>0</v>
      </c>
      <c r="BC74" s="27">
        <f t="shared" si="127"/>
        <v>0.8</v>
      </c>
      <c r="BD74" s="27">
        <f t="shared" si="128"/>
        <v>0</v>
      </c>
      <c r="BE74" s="27">
        <f t="shared" si="129"/>
        <v>0</v>
      </c>
      <c r="BF74" s="27">
        <f t="shared" si="130"/>
        <v>0</v>
      </c>
      <c r="BG74" s="27">
        <f t="shared" si="131"/>
        <v>0</v>
      </c>
      <c r="BH74" s="27">
        <f t="shared" si="132"/>
        <v>0</v>
      </c>
      <c r="BI74" s="27">
        <f t="shared" si="137"/>
        <v>0.8</v>
      </c>
      <c r="BJ74" s="27">
        <f t="shared" si="138"/>
        <v>2.6666666666666668E-2</v>
      </c>
    </row>
    <row r="75" spans="1:62" s="22" customFormat="1" ht="22.5">
      <c r="A75" s="8" t="s">
        <v>15</v>
      </c>
      <c r="B75" s="21"/>
      <c r="C75" s="25">
        <v>0</v>
      </c>
      <c r="D75" s="25">
        <v>1</v>
      </c>
      <c r="E75" s="25">
        <v>0</v>
      </c>
      <c r="F75" s="28">
        <v>0</v>
      </c>
      <c r="G75" s="28"/>
      <c r="H75" s="28"/>
      <c r="I75" s="28"/>
      <c r="J75" s="28"/>
      <c r="K75" s="29"/>
      <c r="L75" s="25">
        <v>0</v>
      </c>
      <c r="M75" s="25">
        <v>1</v>
      </c>
      <c r="N75" s="25">
        <v>0</v>
      </c>
      <c r="O75" s="28">
        <v>0</v>
      </c>
      <c r="P75" s="28"/>
      <c r="Q75" s="28"/>
      <c r="R75" s="28"/>
      <c r="S75" s="28"/>
      <c r="T75"/>
      <c r="U75" s="23">
        <f t="shared" si="109"/>
        <v>1</v>
      </c>
      <c r="V75" s="1">
        <f t="shared" si="133"/>
        <v>0.1</v>
      </c>
      <c r="W75" s="11">
        <f t="shared" si="134"/>
        <v>0</v>
      </c>
      <c r="X75" s="23">
        <v>3</v>
      </c>
      <c r="Y75" s="24">
        <f t="shared" si="135"/>
        <v>0.1</v>
      </c>
      <c r="Z75" s="18">
        <v>0</v>
      </c>
      <c r="AA75" s="18">
        <v>0.3</v>
      </c>
      <c r="AB75" s="18">
        <v>0.8</v>
      </c>
      <c r="AC75" s="18">
        <v>1</v>
      </c>
      <c r="AD75" s="18"/>
      <c r="AE75" s="18"/>
      <c r="AF75" s="18"/>
      <c r="AG75" s="18"/>
      <c r="AH75" s="12"/>
      <c r="AI75" s="18">
        <f t="shared" si="110"/>
        <v>0</v>
      </c>
      <c r="AJ75" s="18">
        <f t="shared" si="111"/>
        <v>0.3</v>
      </c>
      <c r="AK75" s="18">
        <f t="shared" si="112"/>
        <v>0</v>
      </c>
      <c r="AL75" s="18">
        <f t="shared" si="113"/>
        <v>0</v>
      </c>
      <c r="AM75" s="18">
        <f t="shared" si="114"/>
        <v>0</v>
      </c>
      <c r="AN75" s="18">
        <f t="shared" si="115"/>
        <v>0</v>
      </c>
      <c r="AO75" s="18">
        <f t="shared" si="116"/>
        <v>0</v>
      </c>
      <c r="AP75" s="18">
        <f t="shared" si="117"/>
        <v>0</v>
      </c>
      <c r="AQ75" s="23"/>
      <c r="AR75" s="18">
        <f t="shared" si="118"/>
        <v>0</v>
      </c>
      <c r="AS75" s="18">
        <f t="shared" si="119"/>
        <v>0.3</v>
      </c>
      <c r="AT75" s="18">
        <f t="shared" si="120"/>
        <v>0</v>
      </c>
      <c r="AU75" s="18">
        <f t="shared" si="121"/>
        <v>0</v>
      </c>
      <c r="AV75" s="18">
        <f t="shared" si="122"/>
        <v>0</v>
      </c>
      <c r="AW75" s="18">
        <f t="shared" si="123"/>
        <v>0</v>
      </c>
      <c r="AX75" s="18">
        <f t="shared" si="124"/>
        <v>0</v>
      </c>
      <c r="AY75" s="18">
        <f t="shared" si="125"/>
        <v>0</v>
      </c>
      <c r="BA75" s="27">
        <f t="shared" si="136"/>
        <v>0</v>
      </c>
      <c r="BB75" s="27">
        <f t="shared" si="126"/>
        <v>0</v>
      </c>
      <c r="BC75" s="27">
        <f t="shared" si="127"/>
        <v>0</v>
      </c>
      <c r="BD75" s="27">
        <f t="shared" si="128"/>
        <v>0</v>
      </c>
      <c r="BE75" s="27">
        <f t="shared" si="129"/>
        <v>0</v>
      </c>
      <c r="BF75" s="27">
        <f t="shared" si="130"/>
        <v>0</v>
      </c>
      <c r="BG75" s="27">
        <f t="shared" si="131"/>
        <v>0</v>
      </c>
      <c r="BH75" s="27">
        <f t="shared" si="132"/>
        <v>0</v>
      </c>
      <c r="BI75" s="27">
        <f t="shared" si="137"/>
        <v>0</v>
      </c>
      <c r="BJ75" s="27">
        <f t="shared" si="138"/>
        <v>0</v>
      </c>
    </row>
    <row r="76" spans="1:62" s="22" customFormat="1" ht="22.5">
      <c r="A76" s="8" t="s">
        <v>16</v>
      </c>
      <c r="B76" s="21"/>
      <c r="C76" s="25">
        <v>1</v>
      </c>
      <c r="D76" s="25">
        <v>0</v>
      </c>
      <c r="E76" s="25">
        <v>0</v>
      </c>
      <c r="F76" s="28">
        <v>0</v>
      </c>
      <c r="G76" s="28"/>
      <c r="H76" s="28"/>
      <c r="I76" s="28"/>
      <c r="J76" s="28"/>
      <c r="K76" s="29"/>
      <c r="L76" s="25">
        <v>1</v>
      </c>
      <c r="M76" s="25">
        <v>0</v>
      </c>
      <c r="N76" s="25">
        <v>0</v>
      </c>
      <c r="O76" s="28">
        <v>0</v>
      </c>
      <c r="P76" s="28"/>
      <c r="Q76" s="28"/>
      <c r="R76" s="28"/>
      <c r="S76" s="28"/>
      <c r="T76"/>
      <c r="U76" s="23">
        <f t="shared" si="109"/>
        <v>1</v>
      </c>
      <c r="V76" s="1">
        <f t="shared" si="133"/>
        <v>0.16666666666666666</v>
      </c>
      <c r="W76" s="11">
        <f t="shared" si="134"/>
        <v>0</v>
      </c>
      <c r="X76" s="23">
        <v>5</v>
      </c>
      <c r="Y76" s="24">
        <f t="shared" si="135"/>
        <v>0.16666666666666666</v>
      </c>
      <c r="Z76" s="18">
        <v>0</v>
      </c>
      <c r="AA76" s="18">
        <v>0.3</v>
      </c>
      <c r="AB76" s="18">
        <v>0.8</v>
      </c>
      <c r="AC76" s="18">
        <v>1</v>
      </c>
      <c r="AD76" s="18"/>
      <c r="AE76" s="18"/>
      <c r="AF76" s="18"/>
      <c r="AG76" s="18"/>
      <c r="AH76" s="12"/>
      <c r="AI76" s="18">
        <f t="shared" si="110"/>
        <v>0</v>
      </c>
      <c r="AJ76" s="18">
        <f t="shared" si="111"/>
        <v>0</v>
      </c>
      <c r="AK76" s="18">
        <f t="shared" si="112"/>
        <v>0</v>
      </c>
      <c r="AL76" s="18">
        <f t="shared" si="113"/>
        <v>0</v>
      </c>
      <c r="AM76" s="18">
        <f t="shared" si="114"/>
        <v>0</v>
      </c>
      <c r="AN76" s="18">
        <f t="shared" si="115"/>
        <v>0</v>
      </c>
      <c r="AO76" s="18">
        <f t="shared" si="116"/>
        <v>0</v>
      </c>
      <c r="AP76" s="18">
        <f t="shared" si="117"/>
        <v>0</v>
      </c>
      <c r="AQ76" s="23"/>
      <c r="AR76" s="18">
        <f t="shared" si="118"/>
        <v>0</v>
      </c>
      <c r="AS76" s="18">
        <f t="shared" si="119"/>
        <v>0</v>
      </c>
      <c r="AT76" s="18">
        <f t="shared" si="120"/>
        <v>0</v>
      </c>
      <c r="AU76" s="18">
        <f t="shared" si="121"/>
        <v>0</v>
      </c>
      <c r="AV76" s="18">
        <f t="shared" si="122"/>
        <v>0</v>
      </c>
      <c r="AW76" s="18">
        <f t="shared" si="123"/>
        <v>0</v>
      </c>
      <c r="AX76" s="18">
        <f t="shared" si="124"/>
        <v>0</v>
      </c>
      <c r="AY76" s="18">
        <f t="shared" si="125"/>
        <v>0</v>
      </c>
      <c r="BA76" s="27">
        <f t="shared" si="136"/>
        <v>0</v>
      </c>
      <c r="BB76" s="27">
        <f t="shared" si="126"/>
        <v>0</v>
      </c>
      <c r="BC76" s="27">
        <f t="shared" si="127"/>
        <v>0</v>
      </c>
      <c r="BD76" s="27">
        <f t="shared" si="128"/>
        <v>0</v>
      </c>
      <c r="BE76" s="27">
        <f t="shared" si="129"/>
        <v>0</v>
      </c>
      <c r="BF76" s="27">
        <f t="shared" si="130"/>
        <v>0</v>
      </c>
      <c r="BG76" s="27">
        <f t="shared" si="131"/>
        <v>0</v>
      </c>
      <c r="BH76" s="27">
        <f t="shared" si="132"/>
        <v>0</v>
      </c>
      <c r="BI76" s="27">
        <f t="shared" si="137"/>
        <v>0</v>
      </c>
      <c r="BJ76" s="27">
        <f t="shared" si="138"/>
        <v>0</v>
      </c>
    </row>
    <row r="77" spans="1:62" ht="22.5">
      <c r="A77" s="4" t="s">
        <v>0</v>
      </c>
      <c r="B77" s="7"/>
      <c r="C77" s="25">
        <v>0</v>
      </c>
      <c r="D77" s="25">
        <v>1</v>
      </c>
      <c r="E77" s="25"/>
      <c r="F77" s="28"/>
      <c r="G77" s="28"/>
      <c r="H77" s="28"/>
      <c r="I77" s="28"/>
      <c r="J77" s="28"/>
      <c r="K77" s="29"/>
      <c r="L77" s="25">
        <v>1</v>
      </c>
      <c r="M77" s="25">
        <v>0</v>
      </c>
      <c r="N77" s="25"/>
      <c r="O77" s="28"/>
      <c r="P77" s="28"/>
      <c r="Q77" s="28"/>
      <c r="R77" s="28"/>
      <c r="S77" s="28"/>
      <c r="U77" s="9">
        <f t="shared" si="109"/>
        <v>0</v>
      </c>
      <c r="V77" s="1">
        <f t="shared" si="133"/>
        <v>3.3333333333333333E-2</v>
      </c>
      <c r="W77" s="11">
        <f t="shared" si="134"/>
        <v>0</v>
      </c>
      <c r="X77" s="12">
        <v>1</v>
      </c>
      <c r="Y77" s="10">
        <f t="shared" si="135"/>
        <v>3.3333333333333333E-2</v>
      </c>
      <c r="Z77" s="18">
        <v>0</v>
      </c>
      <c r="AA77" s="18">
        <f>IF(M77=1,1,0)</f>
        <v>0</v>
      </c>
      <c r="AB77" s="18">
        <v>0</v>
      </c>
      <c r="AC77" s="18">
        <v>0</v>
      </c>
      <c r="AD77" s="18"/>
      <c r="AE77" s="18"/>
      <c r="AF77" s="18"/>
      <c r="AG77" s="18"/>
      <c r="AH77" s="12"/>
      <c r="AI77" s="18">
        <f t="shared" si="110"/>
        <v>0</v>
      </c>
      <c r="AJ77" s="18">
        <f t="shared" si="111"/>
        <v>0</v>
      </c>
      <c r="AK77" s="18">
        <f t="shared" si="112"/>
        <v>0</v>
      </c>
      <c r="AL77" s="18">
        <f t="shared" si="113"/>
        <v>0</v>
      </c>
      <c r="AM77" s="18">
        <f t="shared" si="114"/>
        <v>0</v>
      </c>
      <c r="AN77" s="18">
        <f t="shared" si="115"/>
        <v>0</v>
      </c>
      <c r="AO77" s="18">
        <f t="shared" si="116"/>
        <v>0</v>
      </c>
      <c r="AP77" s="18">
        <f t="shared" si="117"/>
        <v>0</v>
      </c>
      <c r="AQ77" s="9"/>
      <c r="AR77" s="18">
        <f t="shared" si="118"/>
        <v>0</v>
      </c>
      <c r="AS77" s="18">
        <f t="shared" si="119"/>
        <v>0</v>
      </c>
      <c r="AT77" s="18">
        <f t="shared" si="120"/>
        <v>0</v>
      </c>
      <c r="AU77" s="18">
        <f t="shared" si="121"/>
        <v>0</v>
      </c>
      <c r="AV77" s="18">
        <f t="shared" si="122"/>
        <v>0</v>
      </c>
      <c r="AW77" s="18">
        <f t="shared" si="123"/>
        <v>0</v>
      </c>
      <c r="AX77" s="18">
        <f t="shared" si="124"/>
        <v>0</v>
      </c>
      <c r="AY77" s="18">
        <f t="shared" si="125"/>
        <v>0</v>
      </c>
      <c r="BA77" s="27">
        <f t="shared" si="136"/>
        <v>0</v>
      </c>
      <c r="BB77" s="27">
        <f t="shared" si="126"/>
        <v>0</v>
      </c>
      <c r="BC77" s="27">
        <f t="shared" si="127"/>
        <v>0</v>
      </c>
      <c r="BD77" s="27">
        <f t="shared" si="128"/>
        <v>0</v>
      </c>
      <c r="BE77" s="27">
        <f t="shared" si="129"/>
        <v>0</v>
      </c>
      <c r="BF77" s="27">
        <f t="shared" si="130"/>
        <v>0</v>
      </c>
      <c r="BG77" s="27">
        <f t="shared" si="131"/>
        <v>0</v>
      </c>
      <c r="BH77" s="27">
        <f t="shared" si="132"/>
        <v>0</v>
      </c>
      <c r="BI77" s="27">
        <f t="shared" si="137"/>
        <v>0</v>
      </c>
      <c r="BJ77" s="27">
        <f t="shared" si="138"/>
        <v>0</v>
      </c>
    </row>
    <row r="78" spans="1:62" ht="22.5">
      <c r="A78" s="5" t="s">
        <v>1</v>
      </c>
      <c r="B78" s="7"/>
      <c r="C78" s="25"/>
      <c r="D78" s="25"/>
      <c r="E78" s="25"/>
      <c r="F78" s="25"/>
      <c r="G78" s="25">
        <v>0</v>
      </c>
      <c r="H78" s="25">
        <v>1</v>
      </c>
      <c r="I78" s="28"/>
      <c r="J78" s="28"/>
      <c r="K78" s="29"/>
      <c r="L78" s="25"/>
      <c r="M78" s="25"/>
      <c r="N78" s="25"/>
      <c r="O78" s="25"/>
      <c r="P78" s="25">
        <v>0</v>
      </c>
      <c r="Q78" s="25">
        <v>1</v>
      </c>
      <c r="R78" s="28"/>
      <c r="S78" s="28"/>
      <c r="U78" s="9">
        <f t="shared" si="109"/>
        <v>1</v>
      </c>
      <c r="V78" s="1">
        <f t="shared" si="133"/>
        <v>3.3333333333333333E-2</v>
      </c>
      <c r="W78" s="11">
        <f t="shared" si="134"/>
        <v>0</v>
      </c>
      <c r="X78" s="12">
        <v>1</v>
      </c>
      <c r="Y78" s="10">
        <f t="shared" si="135"/>
        <v>3.3333333333333333E-2</v>
      </c>
      <c r="Z78" s="18"/>
      <c r="AA78" s="18"/>
      <c r="AB78" s="18"/>
      <c r="AC78" s="18"/>
      <c r="AD78" s="18">
        <v>0</v>
      </c>
      <c r="AE78" s="18">
        <v>1</v>
      </c>
      <c r="AF78" s="18"/>
      <c r="AG78" s="18"/>
      <c r="AH78" s="12"/>
      <c r="AI78" s="18">
        <f t="shared" si="110"/>
        <v>0</v>
      </c>
      <c r="AJ78" s="18">
        <f t="shared" si="111"/>
        <v>0</v>
      </c>
      <c r="AK78" s="18">
        <f t="shared" si="112"/>
        <v>0</v>
      </c>
      <c r="AL78" s="18">
        <f t="shared" si="113"/>
        <v>0</v>
      </c>
      <c r="AM78" s="18">
        <f t="shared" si="114"/>
        <v>0</v>
      </c>
      <c r="AN78" s="18">
        <f t="shared" si="115"/>
        <v>1</v>
      </c>
      <c r="AO78" s="18">
        <f t="shared" si="116"/>
        <v>0</v>
      </c>
      <c r="AP78" s="18">
        <f t="shared" si="117"/>
        <v>0</v>
      </c>
      <c r="AQ78" s="9"/>
      <c r="AR78" s="18">
        <f t="shared" si="118"/>
        <v>0</v>
      </c>
      <c r="AS78" s="18">
        <f t="shared" si="119"/>
        <v>0</v>
      </c>
      <c r="AT78" s="18">
        <f t="shared" si="120"/>
        <v>0</v>
      </c>
      <c r="AU78" s="18">
        <f t="shared" si="121"/>
        <v>0</v>
      </c>
      <c r="AV78" s="18">
        <f t="shared" si="122"/>
        <v>0</v>
      </c>
      <c r="AW78" s="18">
        <f t="shared" si="123"/>
        <v>1</v>
      </c>
      <c r="AX78" s="18">
        <f t="shared" si="124"/>
        <v>0</v>
      </c>
      <c r="AY78" s="18">
        <f t="shared" si="125"/>
        <v>0</v>
      </c>
      <c r="BA78" s="27">
        <f t="shared" si="136"/>
        <v>0</v>
      </c>
      <c r="BB78" s="27">
        <f t="shared" si="126"/>
        <v>0</v>
      </c>
      <c r="BC78" s="27">
        <f t="shared" si="127"/>
        <v>0</v>
      </c>
      <c r="BD78" s="27">
        <f t="shared" si="128"/>
        <v>0</v>
      </c>
      <c r="BE78" s="27">
        <f t="shared" si="129"/>
        <v>0</v>
      </c>
      <c r="BF78" s="27">
        <f t="shared" si="130"/>
        <v>0</v>
      </c>
      <c r="BG78" s="27">
        <f t="shared" si="131"/>
        <v>0</v>
      </c>
      <c r="BH78" s="27">
        <f t="shared" si="132"/>
        <v>0</v>
      </c>
      <c r="BI78" s="27">
        <f t="shared" si="137"/>
        <v>0</v>
      </c>
      <c r="BJ78" s="27">
        <f t="shared" si="138"/>
        <v>0</v>
      </c>
    </row>
    <row r="79" spans="1:62" ht="22.5">
      <c r="A79" s="5" t="s">
        <v>21</v>
      </c>
      <c r="B79" s="7"/>
      <c r="C79" s="25"/>
      <c r="D79" s="25"/>
      <c r="E79" s="25"/>
      <c r="F79" s="25"/>
      <c r="G79" s="25">
        <v>0</v>
      </c>
      <c r="H79" s="25">
        <v>1</v>
      </c>
      <c r="I79" s="28"/>
      <c r="J79" s="28"/>
      <c r="K79" s="29"/>
      <c r="L79" s="25"/>
      <c r="M79" s="25"/>
      <c r="N79" s="25"/>
      <c r="O79" s="25"/>
      <c r="P79" s="25">
        <v>0</v>
      </c>
      <c r="Q79" s="25">
        <v>1</v>
      </c>
      <c r="R79" s="28"/>
      <c r="S79" s="28"/>
      <c r="U79" s="9">
        <f t="shared" si="109"/>
        <v>1</v>
      </c>
      <c r="V79" s="1">
        <f t="shared" si="133"/>
        <v>3.3333333333333333E-2</v>
      </c>
      <c r="W79" s="11">
        <f t="shared" si="134"/>
        <v>0</v>
      </c>
      <c r="X79" s="12">
        <v>1</v>
      </c>
      <c r="Y79" s="10">
        <f t="shared" si="135"/>
        <v>3.3333333333333333E-2</v>
      </c>
      <c r="Z79" s="18"/>
      <c r="AA79" s="18"/>
      <c r="AB79" s="18"/>
      <c r="AC79" s="18"/>
      <c r="AD79" s="18">
        <v>0</v>
      </c>
      <c r="AE79" s="18">
        <v>1</v>
      </c>
      <c r="AF79" s="18"/>
      <c r="AG79" s="18"/>
      <c r="AH79" s="12"/>
      <c r="AI79" s="18">
        <f t="shared" si="110"/>
        <v>0</v>
      </c>
      <c r="AJ79" s="18">
        <f t="shared" si="111"/>
        <v>0</v>
      </c>
      <c r="AK79" s="18">
        <f t="shared" si="112"/>
        <v>0</v>
      </c>
      <c r="AL79" s="18">
        <f t="shared" si="113"/>
        <v>0</v>
      </c>
      <c r="AM79" s="18">
        <f t="shared" si="114"/>
        <v>0</v>
      </c>
      <c r="AN79" s="18">
        <f t="shared" si="115"/>
        <v>1</v>
      </c>
      <c r="AO79" s="18">
        <f t="shared" si="116"/>
        <v>0</v>
      </c>
      <c r="AP79" s="18">
        <f t="shared" si="117"/>
        <v>0</v>
      </c>
      <c r="AQ79" s="9"/>
      <c r="AR79" s="18">
        <f t="shared" si="118"/>
        <v>0</v>
      </c>
      <c r="AS79" s="18">
        <f t="shared" si="119"/>
        <v>0</v>
      </c>
      <c r="AT79" s="18">
        <f t="shared" si="120"/>
        <v>0</v>
      </c>
      <c r="AU79" s="18">
        <f t="shared" si="121"/>
        <v>0</v>
      </c>
      <c r="AV79" s="18">
        <f t="shared" si="122"/>
        <v>0</v>
      </c>
      <c r="AW79" s="18">
        <f t="shared" si="123"/>
        <v>1</v>
      </c>
      <c r="AX79" s="18">
        <f t="shared" si="124"/>
        <v>0</v>
      </c>
      <c r="AY79" s="18">
        <f t="shared" si="125"/>
        <v>0</v>
      </c>
      <c r="BA79" s="27">
        <f t="shared" si="136"/>
        <v>0</v>
      </c>
      <c r="BB79" s="27">
        <f t="shared" si="126"/>
        <v>0</v>
      </c>
      <c r="BC79" s="27">
        <f t="shared" si="127"/>
        <v>0</v>
      </c>
      <c r="BD79" s="27">
        <f t="shared" si="128"/>
        <v>0</v>
      </c>
      <c r="BE79" s="27">
        <f t="shared" si="129"/>
        <v>0</v>
      </c>
      <c r="BF79" s="27">
        <f t="shared" si="130"/>
        <v>0</v>
      </c>
      <c r="BG79" s="27">
        <f t="shared" si="131"/>
        <v>0</v>
      </c>
      <c r="BH79" s="27">
        <f t="shared" si="132"/>
        <v>0</v>
      </c>
      <c r="BI79" s="27">
        <f t="shared" si="137"/>
        <v>0</v>
      </c>
      <c r="BJ79" s="27">
        <f t="shared" si="138"/>
        <v>0</v>
      </c>
    </row>
    <row r="80" spans="1:62" ht="22.5">
      <c r="A80" s="5" t="s">
        <v>2</v>
      </c>
      <c r="B80" s="7"/>
      <c r="C80" s="25"/>
      <c r="D80" s="25"/>
      <c r="E80" s="25"/>
      <c r="F80" s="25"/>
      <c r="G80" s="25">
        <v>0</v>
      </c>
      <c r="H80" s="25">
        <v>1</v>
      </c>
      <c r="I80" s="28"/>
      <c r="J80" s="28"/>
      <c r="K80" s="29"/>
      <c r="L80" s="25"/>
      <c r="M80" s="25"/>
      <c r="N80" s="25"/>
      <c r="O80" s="25"/>
      <c r="P80" s="25">
        <v>0</v>
      </c>
      <c r="Q80" s="25">
        <v>1</v>
      </c>
      <c r="R80" s="28"/>
      <c r="S80" s="28"/>
      <c r="U80" s="9">
        <f t="shared" si="109"/>
        <v>1</v>
      </c>
      <c r="V80" s="1">
        <f t="shared" si="133"/>
        <v>3.3333333333333333E-2</v>
      </c>
      <c r="W80" s="11">
        <f t="shared" si="134"/>
        <v>0</v>
      </c>
      <c r="X80" s="12">
        <v>1</v>
      </c>
      <c r="Y80" s="10">
        <f t="shared" si="135"/>
        <v>3.3333333333333333E-2</v>
      </c>
      <c r="Z80" s="18"/>
      <c r="AA80" s="18"/>
      <c r="AB80" s="18"/>
      <c r="AC80" s="18"/>
      <c r="AD80" s="18">
        <v>0</v>
      </c>
      <c r="AE80" s="18">
        <v>1</v>
      </c>
      <c r="AF80" s="18"/>
      <c r="AG80" s="18"/>
      <c r="AH80" s="12"/>
      <c r="AI80" s="18">
        <f t="shared" si="110"/>
        <v>0</v>
      </c>
      <c r="AJ80" s="18">
        <f t="shared" si="111"/>
        <v>0</v>
      </c>
      <c r="AK80" s="18">
        <f t="shared" si="112"/>
        <v>0</v>
      </c>
      <c r="AL80" s="18">
        <f t="shared" si="113"/>
        <v>0</v>
      </c>
      <c r="AM80" s="18">
        <f t="shared" si="114"/>
        <v>0</v>
      </c>
      <c r="AN80" s="18">
        <f t="shared" si="115"/>
        <v>1</v>
      </c>
      <c r="AO80" s="18">
        <f t="shared" si="116"/>
        <v>0</v>
      </c>
      <c r="AP80" s="18">
        <f t="shared" si="117"/>
        <v>0</v>
      </c>
      <c r="AQ80" s="9"/>
      <c r="AR80" s="18">
        <f t="shared" si="118"/>
        <v>0</v>
      </c>
      <c r="AS80" s="18">
        <f t="shared" si="119"/>
        <v>0</v>
      </c>
      <c r="AT80" s="18">
        <f t="shared" si="120"/>
        <v>0</v>
      </c>
      <c r="AU80" s="18">
        <f t="shared" si="121"/>
        <v>0</v>
      </c>
      <c r="AV80" s="18">
        <f t="shared" si="122"/>
        <v>0</v>
      </c>
      <c r="AW80" s="18">
        <f t="shared" si="123"/>
        <v>1</v>
      </c>
      <c r="AX80" s="18">
        <f t="shared" si="124"/>
        <v>0</v>
      </c>
      <c r="AY80" s="18">
        <f t="shared" si="125"/>
        <v>0</v>
      </c>
      <c r="BA80" s="27">
        <f t="shared" si="136"/>
        <v>0</v>
      </c>
      <c r="BB80" s="27">
        <f t="shared" si="126"/>
        <v>0</v>
      </c>
      <c r="BC80" s="27">
        <f t="shared" si="127"/>
        <v>0</v>
      </c>
      <c r="BD80" s="27">
        <f t="shared" si="128"/>
        <v>0</v>
      </c>
      <c r="BE80" s="27">
        <f t="shared" si="129"/>
        <v>0</v>
      </c>
      <c r="BF80" s="27">
        <f t="shared" si="130"/>
        <v>0</v>
      </c>
      <c r="BG80" s="27">
        <f t="shared" si="131"/>
        <v>0</v>
      </c>
      <c r="BH80" s="27">
        <f t="shared" si="132"/>
        <v>0</v>
      </c>
      <c r="BI80" s="27">
        <f t="shared" si="137"/>
        <v>0</v>
      </c>
      <c r="BJ80" s="27">
        <f t="shared" si="138"/>
        <v>0</v>
      </c>
    </row>
    <row r="81" spans="1:62" ht="22.5">
      <c r="A81" s="5" t="s">
        <v>3</v>
      </c>
      <c r="B81" s="7"/>
      <c r="C81" s="25"/>
      <c r="D81" s="25"/>
      <c r="E81" s="25"/>
      <c r="F81" s="25"/>
      <c r="G81" s="25">
        <v>1</v>
      </c>
      <c r="H81" s="25">
        <v>0</v>
      </c>
      <c r="I81" s="28"/>
      <c r="J81" s="28"/>
      <c r="K81" s="29"/>
      <c r="L81" s="25"/>
      <c r="M81" s="25"/>
      <c r="N81" s="25"/>
      <c r="O81" s="25"/>
      <c r="P81" s="25">
        <v>0</v>
      </c>
      <c r="Q81" s="25">
        <v>1</v>
      </c>
      <c r="R81" s="28"/>
      <c r="S81" s="28"/>
      <c r="U81" s="9">
        <f t="shared" si="109"/>
        <v>0</v>
      </c>
      <c r="V81" s="1">
        <f>(1-W81)*Y81</f>
        <v>0</v>
      </c>
      <c r="W81" s="11">
        <f t="shared" si="134"/>
        <v>1</v>
      </c>
      <c r="X81" s="12">
        <v>3</v>
      </c>
      <c r="Y81" s="10">
        <f t="shared" si="135"/>
        <v>0.1</v>
      </c>
      <c r="Z81" s="18"/>
      <c r="AA81" s="18"/>
      <c r="AB81" s="18"/>
      <c r="AC81" s="18"/>
      <c r="AD81" s="18">
        <v>0</v>
      </c>
      <c r="AE81" s="18">
        <v>1</v>
      </c>
      <c r="AF81" s="18"/>
      <c r="AG81" s="18"/>
      <c r="AH81" s="12"/>
      <c r="AI81" s="18">
        <f t="shared" si="110"/>
        <v>0</v>
      </c>
      <c r="AJ81" s="18">
        <f t="shared" si="111"/>
        <v>0</v>
      </c>
      <c r="AK81" s="18">
        <f t="shared" si="112"/>
        <v>0</v>
      </c>
      <c r="AL81" s="18">
        <f t="shared" si="113"/>
        <v>0</v>
      </c>
      <c r="AM81" s="18">
        <f t="shared" si="114"/>
        <v>0</v>
      </c>
      <c r="AN81" s="18">
        <f t="shared" si="115"/>
        <v>0</v>
      </c>
      <c r="AO81" s="18">
        <f t="shared" si="116"/>
        <v>0</v>
      </c>
      <c r="AP81" s="18">
        <f t="shared" si="117"/>
        <v>0</v>
      </c>
      <c r="AQ81" s="9"/>
      <c r="AR81" s="18">
        <f t="shared" si="118"/>
        <v>0</v>
      </c>
      <c r="AS81" s="18">
        <f t="shared" si="119"/>
        <v>0</v>
      </c>
      <c r="AT81" s="18">
        <f t="shared" si="120"/>
        <v>0</v>
      </c>
      <c r="AU81" s="18">
        <f t="shared" si="121"/>
        <v>0</v>
      </c>
      <c r="AV81" s="18">
        <f t="shared" si="122"/>
        <v>0</v>
      </c>
      <c r="AW81" s="18">
        <f t="shared" si="123"/>
        <v>1</v>
      </c>
      <c r="AX81" s="18">
        <f t="shared" si="124"/>
        <v>0</v>
      </c>
      <c r="AY81" s="18">
        <f t="shared" si="125"/>
        <v>0</v>
      </c>
      <c r="BA81" s="27">
        <f t="shared" si="136"/>
        <v>0</v>
      </c>
      <c r="BB81" s="27">
        <f t="shared" si="126"/>
        <v>0</v>
      </c>
      <c r="BC81" s="27">
        <f t="shared" si="127"/>
        <v>0</v>
      </c>
      <c r="BD81" s="27">
        <f t="shared" si="128"/>
        <v>0</v>
      </c>
      <c r="BE81" s="27">
        <f t="shared" si="129"/>
        <v>0</v>
      </c>
      <c r="BF81" s="27">
        <f t="shared" si="130"/>
        <v>-1</v>
      </c>
      <c r="BG81" s="27">
        <f t="shared" si="131"/>
        <v>0</v>
      </c>
      <c r="BH81" s="27">
        <f t="shared" si="132"/>
        <v>0</v>
      </c>
      <c r="BI81" s="27">
        <f t="shared" si="137"/>
        <v>1</v>
      </c>
      <c r="BJ81" s="27">
        <f t="shared" si="138"/>
        <v>0.1</v>
      </c>
    </row>
    <row r="82" spans="1:62" ht="22.5">
      <c r="A82" s="8" t="s">
        <v>4</v>
      </c>
      <c r="B82" s="7"/>
      <c r="C82" s="25"/>
      <c r="D82" s="25"/>
      <c r="E82" s="25"/>
      <c r="F82" s="25"/>
      <c r="G82" s="25"/>
      <c r="H82" s="25"/>
      <c r="I82" s="25">
        <v>0</v>
      </c>
      <c r="J82" s="25">
        <v>1</v>
      </c>
      <c r="K82" s="29"/>
      <c r="L82" s="25"/>
      <c r="M82" s="25"/>
      <c r="N82" s="25"/>
      <c r="O82" s="25"/>
      <c r="P82" s="25"/>
      <c r="Q82" s="25"/>
      <c r="R82" s="25">
        <v>0</v>
      </c>
      <c r="S82" s="25">
        <v>1</v>
      </c>
      <c r="U82" s="9">
        <f t="shared" si="109"/>
        <v>1</v>
      </c>
      <c r="V82" s="1">
        <f t="shared" ref="V82:V85" si="139">(1-W82)*Y82</f>
        <v>3.3333333333333333E-2</v>
      </c>
      <c r="W82" s="11">
        <f t="shared" si="134"/>
        <v>0</v>
      </c>
      <c r="X82" s="12">
        <v>1</v>
      </c>
      <c r="Y82" s="10">
        <f t="shared" si="135"/>
        <v>3.3333333333333333E-2</v>
      </c>
      <c r="Z82" s="18"/>
      <c r="AA82" s="18"/>
      <c r="AB82" s="18"/>
      <c r="AC82" s="18"/>
      <c r="AD82" s="18"/>
      <c r="AE82" s="18"/>
      <c r="AF82" s="18">
        <v>0</v>
      </c>
      <c r="AG82" s="18">
        <v>1</v>
      </c>
      <c r="AH82" s="12"/>
      <c r="AI82" s="18">
        <f t="shared" si="110"/>
        <v>0</v>
      </c>
      <c r="AJ82" s="18">
        <f t="shared" si="111"/>
        <v>0</v>
      </c>
      <c r="AK82" s="18">
        <f t="shared" si="112"/>
        <v>0</v>
      </c>
      <c r="AL82" s="18">
        <f t="shared" si="113"/>
        <v>0</v>
      </c>
      <c r="AM82" s="18">
        <f t="shared" si="114"/>
        <v>0</v>
      </c>
      <c r="AN82" s="18">
        <f t="shared" si="115"/>
        <v>0</v>
      </c>
      <c r="AO82" s="18">
        <f t="shared" si="116"/>
        <v>0</v>
      </c>
      <c r="AP82" s="18">
        <f t="shared" si="117"/>
        <v>1</v>
      </c>
      <c r="AQ82" s="9"/>
      <c r="AR82" s="18">
        <f t="shared" si="118"/>
        <v>0</v>
      </c>
      <c r="AS82" s="18">
        <f t="shared" si="119"/>
        <v>0</v>
      </c>
      <c r="AT82" s="18">
        <f t="shared" si="120"/>
        <v>0</v>
      </c>
      <c r="AU82" s="18">
        <f t="shared" si="121"/>
        <v>0</v>
      </c>
      <c r="AV82" s="18">
        <f t="shared" si="122"/>
        <v>0</v>
      </c>
      <c r="AW82" s="18">
        <f t="shared" si="123"/>
        <v>0</v>
      </c>
      <c r="AX82" s="18">
        <f t="shared" si="124"/>
        <v>0</v>
      </c>
      <c r="AY82" s="18">
        <f t="shared" si="125"/>
        <v>1</v>
      </c>
      <c r="BA82" s="27">
        <f t="shared" si="136"/>
        <v>0</v>
      </c>
      <c r="BB82" s="27">
        <f t="shared" si="126"/>
        <v>0</v>
      </c>
      <c r="BC82" s="27">
        <f t="shared" si="127"/>
        <v>0</v>
      </c>
      <c r="BD82" s="27">
        <f t="shared" si="128"/>
        <v>0</v>
      </c>
      <c r="BE82" s="27">
        <f t="shared" si="129"/>
        <v>0</v>
      </c>
      <c r="BF82" s="27">
        <f t="shared" si="130"/>
        <v>0</v>
      </c>
      <c r="BG82" s="27">
        <f t="shared" si="131"/>
        <v>0</v>
      </c>
      <c r="BH82" s="27">
        <f t="shared" si="132"/>
        <v>0</v>
      </c>
      <c r="BI82" s="27">
        <f t="shared" si="137"/>
        <v>0</v>
      </c>
      <c r="BJ82" s="27">
        <f t="shared" si="138"/>
        <v>0</v>
      </c>
    </row>
    <row r="83" spans="1:62" ht="22.5">
      <c r="A83" s="8" t="s">
        <v>22</v>
      </c>
      <c r="B83" s="7"/>
      <c r="C83" s="25"/>
      <c r="D83" s="25"/>
      <c r="E83" s="25"/>
      <c r="F83" s="25"/>
      <c r="G83" s="25"/>
      <c r="H83" s="25"/>
      <c r="I83" s="25">
        <v>0</v>
      </c>
      <c r="J83" s="25">
        <v>1</v>
      </c>
      <c r="K83" s="29"/>
      <c r="L83" s="25"/>
      <c r="M83" s="25"/>
      <c r="N83" s="25"/>
      <c r="O83" s="25"/>
      <c r="P83" s="25"/>
      <c r="Q83" s="25"/>
      <c r="R83" s="25">
        <v>1</v>
      </c>
      <c r="S83" s="25">
        <v>0</v>
      </c>
      <c r="U83" s="9">
        <f t="shared" si="109"/>
        <v>0</v>
      </c>
      <c r="V83" s="1">
        <f t="shared" si="139"/>
        <v>0</v>
      </c>
      <c r="W83" s="11">
        <f t="shared" si="134"/>
        <v>1</v>
      </c>
      <c r="X83" s="12">
        <v>1</v>
      </c>
      <c r="Y83" s="10">
        <f t="shared" si="135"/>
        <v>3.3333333333333333E-2</v>
      </c>
      <c r="Z83" s="18"/>
      <c r="AA83" s="18"/>
      <c r="AB83" s="18"/>
      <c r="AC83" s="18"/>
      <c r="AD83" s="18"/>
      <c r="AE83" s="18"/>
      <c r="AF83" s="18">
        <v>0</v>
      </c>
      <c r="AG83" s="18">
        <v>1</v>
      </c>
      <c r="AH83" s="12"/>
      <c r="AI83" s="18">
        <f t="shared" si="110"/>
        <v>0</v>
      </c>
      <c r="AJ83" s="18">
        <f t="shared" si="111"/>
        <v>0</v>
      </c>
      <c r="AK83" s="18">
        <f t="shared" si="112"/>
        <v>0</v>
      </c>
      <c r="AL83" s="18">
        <f t="shared" si="113"/>
        <v>0</v>
      </c>
      <c r="AM83" s="18">
        <f t="shared" si="114"/>
        <v>0</v>
      </c>
      <c r="AN83" s="18">
        <f t="shared" si="115"/>
        <v>0</v>
      </c>
      <c r="AO83" s="18">
        <f t="shared" si="116"/>
        <v>0</v>
      </c>
      <c r="AP83" s="18">
        <f t="shared" si="117"/>
        <v>1</v>
      </c>
      <c r="AQ83" s="9"/>
      <c r="AR83" s="18">
        <f t="shared" si="118"/>
        <v>0</v>
      </c>
      <c r="AS83" s="18">
        <f t="shared" si="119"/>
        <v>0</v>
      </c>
      <c r="AT83" s="18">
        <f t="shared" si="120"/>
        <v>0</v>
      </c>
      <c r="AU83" s="18">
        <f t="shared" si="121"/>
        <v>0</v>
      </c>
      <c r="AV83" s="18">
        <f t="shared" si="122"/>
        <v>0</v>
      </c>
      <c r="AW83" s="18">
        <f t="shared" si="123"/>
        <v>0</v>
      </c>
      <c r="AX83" s="18">
        <f t="shared" si="124"/>
        <v>0</v>
      </c>
      <c r="AY83" s="18">
        <f t="shared" si="125"/>
        <v>0</v>
      </c>
      <c r="BA83" s="27">
        <f t="shared" si="136"/>
        <v>0</v>
      </c>
      <c r="BB83" s="27">
        <f t="shared" si="126"/>
        <v>0</v>
      </c>
      <c r="BC83" s="27">
        <f t="shared" si="127"/>
        <v>0</v>
      </c>
      <c r="BD83" s="27">
        <f t="shared" si="128"/>
        <v>0</v>
      </c>
      <c r="BE83" s="27">
        <f t="shared" si="129"/>
        <v>0</v>
      </c>
      <c r="BF83" s="27">
        <f t="shared" si="130"/>
        <v>0</v>
      </c>
      <c r="BG83" s="27">
        <f t="shared" si="131"/>
        <v>0</v>
      </c>
      <c r="BH83" s="27">
        <f t="shared" si="132"/>
        <v>1</v>
      </c>
      <c r="BI83" s="27">
        <f t="shared" si="137"/>
        <v>1</v>
      </c>
      <c r="BJ83" s="27">
        <f t="shared" si="138"/>
        <v>3.3333333333333333E-2</v>
      </c>
    </row>
    <row r="84" spans="1:62" ht="22.5">
      <c r="A84" s="8" t="s">
        <v>23</v>
      </c>
      <c r="B84" s="7"/>
      <c r="C84" s="25"/>
      <c r="D84" s="25"/>
      <c r="E84" s="25"/>
      <c r="F84" s="25"/>
      <c r="G84" s="25"/>
      <c r="H84" s="25"/>
      <c r="I84" s="25">
        <v>0</v>
      </c>
      <c r="J84" s="25">
        <v>1</v>
      </c>
      <c r="K84" s="29"/>
      <c r="L84" s="25"/>
      <c r="M84" s="25"/>
      <c r="N84" s="25"/>
      <c r="O84" s="25"/>
      <c r="P84" s="25"/>
      <c r="Q84" s="25"/>
      <c r="R84" s="25">
        <v>0</v>
      </c>
      <c r="S84" s="25">
        <v>1</v>
      </c>
      <c r="U84" s="9">
        <f>IF(MATCH(1,C84:J84,0)=MATCH(1,L84:S84,0),1,0)</f>
        <v>1</v>
      </c>
      <c r="V84" s="1">
        <f t="shared" si="139"/>
        <v>3.3333333333333333E-2</v>
      </c>
      <c r="W84" s="11">
        <f>BI84</f>
        <v>0</v>
      </c>
      <c r="X84" s="12">
        <v>1</v>
      </c>
      <c r="Y84" s="10">
        <f t="shared" si="135"/>
        <v>3.3333333333333333E-2</v>
      </c>
      <c r="Z84" s="18"/>
      <c r="AA84" s="18"/>
      <c r="AB84" s="18"/>
      <c r="AC84" s="18"/>
      <c r="AD84" s="18"/>
      <c r="AE84" s="18"/>
      <c r="AF84" s="18">
        <v>0</v>
      </c>
      <c r="AG84" s="18">
        <v>1</v>
      </c>
      <c r="AI84" s="18">
        <f t="shared" si="110"/>
        <v>0</v>
      </c>
      <c r="AJ84" s="18">
        <f t="shared" si="111"/>
        <v>0</v>
      </c>
      <c r="AK84" s="18">
        <f t="shared" si="112"/>
        <v>0</v>
      </c>
      <c r="AL84" s="18">
        <f t="shared" si="113"/>
        <v>0</v>
      </c>
      <c r="AM84" s="18">
        <f t="shared" si="114"/>
        <v>0</v>
      </c>
      <c r="AN84" s="18">
        <f t="shared" si="115"/>
        <v>0</v>
      </c>
      <c r="AO84" s="18">
        <f t="shared" si="116"/>
        <v>0</v>
      </c>
      <c r="AP84" s="18">
        <f t="shared" si="117"/>
        <v>1</v>
      </c>
      <c r="AQ84" s="9" t="s">
        <v>24</v>
      </c>
      <c r="AR84" s="18">
        <f t="shared" si="118"/>
        <v>0</v>
      </c>
      <c r="AS84" s="18">
        <f t="shared" si="119"/>
        <v>0</v>
      </c>
      <c r="AT84" s="18">
        <f t="shared" si="120"/>
        <v>0</v>
      </c>
      <c r="AU84" s="18">
        <f t="shared" si="121"/>
        <v>0</v>
      </c>
      <c r="AV84" s="18">
        <f t="shared" si="122"/>
        <v>0</v>
      </c>
      <c r="AW84" s="18">
        <f t="shared" si="123"/>
        <v>0</v>
      </c>
      <c r="AX84" s="18">
        <f t="shared" si="124"/>
        <v>0</v>
      </c>
      <c r="AY84" s="18">
        <f t="shared" si="125"/>
        <v>1</v>
      </c>
      <c r="BA84" s="27">
        <f t="shared" si="136"/>
        <v>0</v>
      </c>
      <c r="BB84" s="27">
        <f t="shared" si="126"/>
        <v>0</v>
      </c>
      <c r="BC84" s="27">
        <f t="shared" si="127"/>
        <v>0</v>
      </c>
      <c r="BD84" s="27">
        <f t="shared" si="128"/>
        <v>0</v>
      </c>
      <c r="BE84" s="27">
        <f t="shared" si="129"/>
        <v>0</v>
      </c>
      <c r="BF84" s="27">
        <f t="shared" si="130"/>
        <v>0</v>
      </c>
      <c r="BG84" s="27">
        <f t="shared" si="131"/>
        <v>0</v>
      </c>
      <c r="BH84" s="27">
        <f t="shared" si="132"/>
        <v>0</v>
      </c>
      <c r="BI84" s="27">
        <f t="shared" si="137"/>
        <v>0</v>
      </c>
      <c r="BJ84" s="27">
        <f t="shared" si="138"/>
        <v>0</v>
      </c>
    </row>
    <row r="85" spans="1:62" ht="22.5">
      <c r="A85" s="14" t="s">
        <v>5</v>
      </c>
      <c r="B85" s="7"/>
      <c r="C85" s="25"/>
      <c r="D85" s="25"/>
      <c r="E85" s="25"/>
      <c r="F85" s="25"/>
      <c r="G85" s="25"/>
      <c r="H85" s="25"/>
      <c r="I85" s="25">
        <v>1</v>
      </c>
      <c r="J85" s="25">
        <v>0</v>
      </c>
      <c r="K85" s="29"/>
      <c r="L85" s="25"/>
      <c r="M85" s="25"/>
      <c r="N85" s="25"/>
      <c r="O85" s="25"/>
      <c r="P85" s="25"/>
      <c r="Q85" s="25"/>
      <c r="R85" s="25">
        <v>1</v>
      </c>
      <c r="S85" s="25">
        <v>0</v>
      </c>
      <c r="U85" s="9">
        <f t="shared" ref="U85:U86" si="140">IF(MATCH(1,C85:J85,0)=MATCH(1,L85:S85,0),1,0)</f>
        <v>1</v>
      </c>
      <c r="V85" s="1">
        <f t="shared" si="139"/>
        <v>0.16666666666666666</v>
      </c>
      <c r="W85" s="11">
        <f t="shared" ref="W85" si="141">BI85</f>
        <v>0</v>
      </c>
      <c r="X85" s="12">
        <v>5</v>
      </c>
      <c r="Y85" s="10">
        <f t="shared" si="135"/>
        <v>0.16666666666666666</v>
      </c>
      <c r="Z85" s="18"/>
      <c r="AA85" s="18"/>
      <c r="AB85" s="18"/>
      <c r="AC85" s="18"/>
      <c r="AD85" s="18"/>
      <c r="AE85" s="18"/>
      <c r="AF85" s="18">
        <v>0</v>
      </c>
      <c r="AG85" s="18">
        <v>1</v>
      </c>
      <c r="AH85" s="20"/>
      <c r="AI85" s="18">
        <f t="shared" si="110"/>
        <v>0</v>
      </c>
      <c r="AJ85" s="18">
        <f t="shared" si="111"/>
        <v>0</v>
      </c>
      <c r="AK85" s="18">
        <f t="shared" si="112"/>
        <v>0</v>
      </c>
      <c r="AL85" s="18">
        <f t="shared" si="113"/>
        <v>0</v>
      </c>
      <c r="AM85" s="18">
        <f t="shared" si="114"/>
        <v>0</v>
      </c>
      <c r="AN85" s="18">
        <f t="shared" si="115"/>
        <v>0</v>
      </c>
      <c r="AO85" s="18">
        <f t="shared" si="116"/>
        <v>0</v>
      </c>
      <c r="AP85" s="18">
        <f t="shared" si="117"/>
        <v>0</v>
      </c>
      <c r="AQ85" s="9"/>
      <c r="AR85" s="18">
        <f t="shared" si="118"/>
        <v>0</v>
      </c>
      <c r="AS85" s="18">
        <f t="shared" si="119"/>
        <v>0</v>
      </c>
      <c r="AT85" s="18">
        <f t="shared" si="120"/>
        <v>0</v>
      </c>
      <c r="AU85" s="18">
        <f t="shared" si="121"/>
        <v>0</v>
      </c>
      <c r="AV85" s="18">
        <f>P85*AD85</f>
        <v>0</v>
      </c>
      <c r="AW85" s="18">
        <f t="shared" si="123"/>
        <v>0</v>
      </c>
      <c r="AX85" s="18">
        <f t="shared" si="124"/>
        <v>0</v>
      </c>
      <c r="AY85" s="18">
        <f t="shared" si="125"/>
        <v>0</v>
      </c>
      <c r="BA85" s="27">
        <f>(AI85-AR85)</f>
        <v>0</v>
      </c>
      <c r="BB85" s="27">
        <f t="shared" si="126"/>
        <v>0</v>
      </c>
      <c r="BC85" s="27">
        <f t="shared" si="127"/>
        <v>0</v>
      </c>
      <c r="BD85" s="27">
        <f t="shared" si="128"/>
        <v>0</v>
      </c>
      <c r="BE85" s="27">
        <f t="shared" si="129"/>
        <v>0</v>
      </c>
      <c r="BF85" s="27">
        <f t="shared" si="130"/>
        <v>0</v>
      </c>
      <c r="BG85" s="27">
        <f t="shared" si="131"/>
        <v>0</v>
      </c>
      <c r="BH85" s="27">
        <f t="shared" si="132"/>
        <v>0</v>
      </c>
      <c r="BI85" s="27">
        <f t="shared" si="137"/>
        <v>0</v>
      </c>
      <c r="BJ85" s="27">
        <f t="shared" si="138"/>
        <v>0</v>
      </c>
    </row>
    <row r="86" spans="1:62">
      <c r="C86" s="30"/>
      <c r="D86" s="30"/>
      <c r="E86" s="30"/>
      <c r="F86" s="30"/>
      <c r="G86" s="30"/>
      <c r="H86" s="30"/>
      <c r="I86" s="30"/>
      <c r="J86" s="30"/>
      <c r="K86" s="29"/>
      <c r="L86" s="30"/>
      <c r="M86" s="30"/>
      <c r="N86" s="30"/>
      <c r="O86" s="30"/>
      <c r="P86" s="30"/>
      <c r="Q86" s="30"/>
      <c r="R86" s="30"/>
      <c r="S86" s="30"/>
      <c r="T86" s="3">
        <f>SUM(V87:V102)</f>
        <v>0.74292682926829279</v>
      </c>
      <c r="U86" s="12" t="e">
        <f t="shared" si="140"/>
        <v>#N/A</v>
      </c>
      <c r="Z86" s="20"/>
      <c r="AA86" s="20"/>
      <c r="AB86" s="20"/>
      <c r="AC86" s="20"/>
      <c r="AD86" s="20"/>
      <c r="AE86" s="20"/>
      <c r="AF86" s="20"/>
      <c r="AG86" s="20"/>
      <c r="AH86" s="20"/>
      <c r="AI86" s="11">
        <f t="shared" si="110"/>
        <v>0</v>
      </c>
      <c r="AJ86" s="11">
        <f t="shared" si="111"/>
        <v>0</v>
      </c>
      <c r="AK86" s="11">
        <f t="shared" si="112"/>
        <v>0</v>
      </c>
      <c r="AL86" s="11">
        <f t="shared" si="113"/>
        <v>0</v>
      </c>
      <c r="AM86" s="11">
        <f t="shared" si="114"/>
        <v>0</v>
      </c>
      <c r="AN86" s="11">
        <f t="shared" si="115"/>
        <v>0</v>
      </c>
      <c r="AR86" s="11">
        <f t="shared" si="118"/>
        <v>0</v>
      </c>
      <c r="AS86" s="11">
        <f t="shared" si="119"/>
        <v>0</v>
      </c>
      <c r="AT86" s="11">
        <f t="shared" si="120"/>
        <v>0</v>
      </c>
      <c r="AU86" s="11">
        <f t="shared" si="121"/>
        <v>0</v>
      </c>
      <c r="AV86" s="11">
        <f>P86*AD86</f>
        <v>0</v>
      </c>
      <c r="AW86" s="11">
        <f t="shared" si="123"/>
        <v>0</v>
      </c>
      <c r="BA86" s="27">
        <f>(AI86-AR86)</f>
        <v>0</v>
      </c>
      <c r="BB86" s="27">
        <f t="shared" si="126"/>
        <v>0</v>
      </c>
      <c r="BC86" s="27">
        <f t="shared" si="127"/>
        <v>0</v>
      </c>
      <c r="BD86" s="27">
        <f t="shared" si="128"/>
        <v>0</v>
      </c>
      <c r="BE86" s="27">
        <f t="shared" si="129"/>
        <v>0</v>
      </c>
      <c r="BF86" s="27">
        <f t="shared" si="130"/>
        <v>0</v>
      </c>
    </row>
    <row r="87" spans="1:62" ht="22.5">
      <c r="A87" s="6" t="s">
        <v>10</v>
      </c>
      <c r="B87" s="7"/>
      <c r="C87" s="25">
        <v>0</v>
      </c>
      <c r="D87" s="28">
        <v>1</v>
      </c>
      <c r="E87" s="28">
        <v>5</v>
      </c>
      <c r="F87" s="28">
        <v>5</v>
      </c>
      <c r="G87" s="28">
        <v>5</v>
      </c>
      <c r="H87" s="28">
        <v>5</v>
      </c>
      <c r="I87" s="28">
        <v>5</v>
      </c>
      <c r="J87" s="28">
        <v>5</v>
      </c>
      <c r="K87" s="29"/>
      <c r="L87" s="25">
        <v>0</v>
      </c>
      <c r="M87" s="28">
        <v>1</v>
      </c>
      <c r="N87" s="28">
        <v>5</v>
      </c>
      <c r="O87" s="28">
        <v>5</v>
      </c>
      <c r="P87" s="28">
        <v>5</v>
      </c>
      <c r="Q87" s="28">
        <v>5</v>
      </c>
      <c r="R87" s="28">
        <v>5</v>
      </c>
      <c r="S87" s="28">
        <v>5</v>
      </c>
      <c r="U87" s="9">
        <f t="shared" ref="U87:U100" si="142">IF(MATCH(1,C87:J87,0)=MATCH(1,L87:S87,0),1,0)</f>
        <v>1</v>
      </c>
      <c r="V87" s="1">
        <f>(1-W87)*Y87</f>
        <v>2.4390243902439025E-2</v>
      </c>
      <c r="W87" s="11">
        <f>BI87</f>
        <v>0</v>
      </c>
      <c r="X87" s="9">
        <v>1</v>
      </c>
      <c r="Y87" s="10">
        <f>X87/SUM($X$87:$X$102)</f>
        <v>2.4390243902439025E-2</v>
      </c>
      <c r="Z87" s="18">
        <v>0</v>
      </c>
      <c r="AA87" s="18">
        <v>1</v>
      </c>
      <c r="AB87" s="18"/>
      <c r="AC87" s="18"/>
      <c r="AD87" s="18"/>
      <c r="AE87" s="18"/>
      <c r="AF87" s="18"/>
      <c r="AG87" s="18"/>
      <c r="AH87" s="12"/>
      <c r="AI87" s="18">
        <f t="shared" ref="AI87:AI102" si="143">C87*Z87</f>
        <v>0</v>
      </c>
      <c r="AJ87" s="18">
        <f t="shared" ref="AJ87:AJ102" si="144">D87*AA87</f>
        <v>1</v>
      </c>
      <c r="AK87" s="18">
        <f t="shared" ref="AK87:AK102" si="145">E87*AB87</f>
        <v>0</v>
      </c>
      <c r="AL87" s="18">
        <f t="shared" ref="AL87:AL102" si="146">F87*AC87</f>
        <v>0</v>
      </c>
      <c r="AM87" s="18">
        <f t="shared" ref="AM87:AM102" si="147">G87*AD87</f>
        <v>0</v>
      </c>
      <c r="AN87" s="18">
        <f t="shared" ref="AN87:AN102" si="148">H87*AE87</f>
        <v>0</v>
      </c>
      <c r="AO87" s="18">
        <f t="shared" ref="AO87:AO102" si="149">I87*AF87</f>
        <v>0</v>
      </c>
      <c r="AP87" s="18">
        <f t="shared" ref="AP87:AP102" si="150">J87*AG87</f>
        <v>0</v>
      </c>
      <c r="AQ87" s="9"/>
      <c r="AR87" s="18">
        <f t="shared" ref="AR87:AR102" si="151">L87*Z87</f>
        <v>0</v>
      </c>
      <c r="AS87" s="18">
        <f t="shared" ref="AS87:AS102" si="152">M87*AA87</f>
        <v>1</v>
      </c>
      <c r="AT87" s="18">
        <f t="shared" ref="AT87:AT102" si="153">N87*AB87</f>
        <v>0</v>
      </c>
      <c r="AU87" s="18">
        <f t="shared" ref="AU87:AU102" si="154">O87*AC87</f>
        <v>0</v>
      </c>
      <c r="AV87" s="18">
        <f t="shared" ref="AV87:AV101" si="155">P87*AD87</f>
        <v>0</v>
      </c>
      <c r="AW87" s="18">
        <f t="shared" ref="AW87:AW102" si="156">Q87*AE87</f>
        <v>0</v>
      </c>
      <c r="AX87" s="18">
        <f t="shared" ref="AX87:AX102" si="157">R87*AF87</f>
        <v>0</v>
      </c>
      <c r="AY87" s="18">
        <f t="shared" ref="AY87:AY102" si="158">S87*AG87</f>
        <v>0</v>
      </c>
      <c r="BA87" s="27">
        <f>(AI87-AR87)</f>
        <v>0</v>
      </c>
      <c r="BB87" s="27">
        <f t="shared" ref="BB87:BB102" si="159">(AJ87-AS87)</f>
        <v>0</v>
      </c>
      <c r="BC87" s="27">
        <f t="shared" ref="BC87:BC102" si="160">(AK87-AT87)</f>
        <v>0</v>
      </c>
      <c r="BD87" s="27">
        <f t="shared" ref="BD87:BD102" si="161">(AL87-AU87)</f>
        <v>0</v>
      </c>
      <c r="BE87" s="27">
        <f t="shared" ref="BE87:BE102" si="162">(AM87-AV87)</f>
        <v>0</v>
      </c>
      <c r="BF87" s="27">
        <f t="shared" ref="BF87:BF102" si="163">(AN87-AW87)</f>
        <v>0</v>
      </c>
      <c r="BG87" s="27">
        <f t="shared" ref="BG87:BG102" si="164">(AO87-AX87)</f>
        <v>0</v>
      </c>
      <c r="BH87" s="27">
        <f t="shared" ref="BH87:BH102" si="165">(AP87-AY87)</f>
        <v>0</v>
      </c>
      <c r="BI87" s="27">
        <f>ABS(SUM(BA87:BH87))</f>
        <v>0</v>
      </c>
      <c r="BJ87" s="27">
        <f>BI87*Y87</f>
        <v>0</v>
      </c>
    </row>
    <row r="88" spans="1:62" ht="22.5">
      <c r="A88" s="6" t="s">
        <v>11</v>
      </c>
      <c r="B88" s="7"/>
      <c r="C88" s="25">
        <v>1</v>
      </c>
      <c r="D88" s="28">
        <v>0</v>
      </c>
      <c r="E88" s="28">
        <v>5</v>
      </c>
      <c r="F88" s="28">
        <v>5</v>
      </c>
      <c r="G88" s="28">
        <v>5</v>
      </c>
      <c r="H88" s="28">
        <v>5</v>
      </c>
      <c r="I88" s="28">
        <v>5</v>
      </c>
      <c r="J88" s="28">
        <v>5</v>
      </c>
      <c r="K88" s="29"/>
      <c r="L88" s="25">
        <v>0</v>
      </c>
      <c r="M88" s="28">
        <v>1</v>
      </c>
      <c r="N88" s="28">
        <v>5</v>
      </c>
      <c r="O88" s="28">
        <v>5</v>
      </c>
      <c r="P88" s="28">
        <v>5</v>
      </c>
      <c r="Q88" s="28">
        <v>5</v>
      </c>
      <c r="R88" s="28">
        <v>5</v>
      </c>
      <c r="S88" s="28">
        <v>5</v>
      </c>
      <c r="U88" s="9">
        <f t="shared" si="142"/>
        <v>0</v>
      </c>
      <c r="V88" s="1">
        <f>(1-W88)*Y88</f>
        <v>0</v>
      </c>
      <c r="W88" s="11">
        <f t="shared" ref="W88:W100" si="166">BI88</f>
        <v>1</v>
      </c>
      <c r="X88" s="9">
        <v>5</v>
      </c>
      <c r="Y88" s="10">
        <f t="shared" ref="Y88:Y102" si="167">X88/SUM($X$87:$X$102)</f>
        <v>0.12195121951219512</v>
      </c>
      <c r="Z88" s="18">
        <v>0</v>
      </c>
      <c r="AA88" s="18">
        <v>1</v>
      </c>
      <c r="AB88" s="18"/>
      <c r="AC88" s="18"/>
      <c r="AD88" s="18"/>
      <c r="AE88" s="18"/>
      <c r="AF88" s="18"/>
      <c r="AG88" s="18"/>
      <c r="AH88" s="12"/>
      <c r="AI88" s="18">
        <f t="shared" si="143"/>
        <v>0</v>
      </c>
      <c r="AJ88" s="18">
        <f t="shared" si="144"/>
        <v>0</v>
      </c>
      <c r="AK88" s="18">
        <f t="shared" si="145"/>
        <v>0</v>
      </c>
      <c r="AL88" s="18">
        <f t="shared" si="146"/>
        <v>0</v>
      </c>
      <c r="AM88" s="18">
        <f t="shared" si="147"/>
        <v>0</v>
      </c>
      <c r="AN88" s="18">
        <f t="shared" si="148"/>
        <v>0</v>
      </c>
      <c r="AO88" s="18">
        <f t="shared" si="149"/>
        <v>0</v>
      </c>
      <c r="AP88" s="18">
        <f t="shared" si="150"/>
        <v>0</v>
      </c>
      <c r="AQ88" s="9"/>
      <c r="AR88" s="18">
        <f t="shared" si="151"/>
        <v>0</v>
      </c>
      <c r="AS88" s="18">
        <f t="shared" si="152"/>
        <v>1</v>
      </c>
      <c r="AT88" s="18">
        <f t="shared" si="153"/>
        <v>0</v>
      </c>
      <c r="AU88" s="18">
        <f t="shared" si="154"/>
        <v>0</v>
      </c>
      <c r="AV88" s="18">
        <f t="shared" si="155"/>
        <v>0</v>
      </c>
      <c r="AW88" s="18">
        <f t="shared" si="156"/>
        <v>0</v>
      </c>
      <c r="AX88" s="18">
        <f t="shared" si="157"/>
        <v>0</v>
      </c>
      <c r="AY88" s="18">
        <f t="shared" si="158"/>
        <v>0</v>
      </c>
      <c r="BA88" s="27">
        <f t="shared" ref="BA88:BA101" si="168">(AI88-AR88)</f>
        <v>0</v>
      </c>
      <c r="BB88" s="27">
        <f t="shared" si="159"/>
        <v>-1</v>
      </c>
      <c r="BC88" s="27">
        <f t="shared" si="160"/>
        <v>0</v>
      </c>
      <c r="BD88" s="27">
        <f t="shared" si="161"/>
        <v>0</v>
      </c>
      <c r="BE88" s="27">
        <f t="shared" si="162"/>
        <v>0</v>
      </c>
      <c r="BF88" s="27">
        <f t="shared" si="163"/>
        <v>0</v>
      </c>
      <c r="BG88" s="27">
        <f t="shared" si="164"/>
        <v>0</v>
      </c>
      <c r="BH88" s="27">
        <f t="shared" si="165"/>
        <v>0</v>
      </c>
      <c r="BI88" s="27">
        <f t="shared" ref="BI88:BI102" si="169">ABS(SUM(BA88:BH88))</f>
        <v>1</v>
      </c>
      <c r="BJ88" s="27">
        <f t="shared" ref="BJ88:BJ102" si="170">BI88*Y88</f>
        <v>0.12195121951219512</v>
      </c>
    </row>
    <row r="89" spans="1:62" s="22" customFormat="1" ht="22.5">
      <c r="A89" s="8" t="s">
        <v>12</v>
      </c>
      <c r="B89" s="21"/>
      <c r="C89" s="25">
        <v>0</v>
      </c>
      <c r="D89" s="25">
        <v>1</v>
      </c>
      <c r="E89" s="25">
        <v>0</v>
      </c>
      <c r="F89" s="28">
        <v>0</v>
      </c>
      <c r="G89" s="28">
        <v>5</v>
      </c>
      <c r="H89" s="28">
        <v>5</v>
      </c>
      <c r="I89" s="28">
        <v>5</v>
      </c>
      <c r="J89" s="28">
        <v>5</v>
      </c>
      <c r="K89" s="29"/>
      <c r="L89" s="25">
        <v>0</v>
      </c>
      <c r="M89" s="25">
        <v>1</v>
      </c>
      <c r="N89" s="25">
        <v>0</v>
      </c>
      <c r="O89" s="28">
        <v>0</v>
      </c>
      <c r="P89" s="28">
        <v>5</v>
      </c>
      <c r="Q89" s="28">
        <v>5</v>
      </c>
      <c r="R89" s="28">
        <v>5</v>
      </c>
      <c r="S89" s="28">
        <v>5</v>
      </c>
      <c r="T89"/>
      <c r="U89" s="23">
        <f t="shared" si="142"/>
        <v>1</v>
      </c>
      <c r="V89" s="1">
        <f t="shared" ref="V89:V97" si="171">(1-W89)*Y89</f>
        <v>2.4390243902439025E-2</v>
      </c>
      <c r="W89" s="11">
        <f t="shared" si="166"/>
        <v>0</v>
      </c>
      <c r="X89" s="23">
        <v>1</v>
      </c>
      <c r="Y89" s="10">
        <f t="shared" si="167"/>
        <v>2.4390243902439025E-2</v>
      </c>
      <c r="Z89" s="18">
        <v>0</v>
      </c>
      <c r="AA89" s="18">
        <v>0.3</v>
      </c>
      <c r="AB89" s="18">
        <v>0.8</v>
      </c>
      <c r="AC89" s="18">
        <v>1</v>
      </c>
      <c r="AD89" s="18"/>
      <c r="AE89" s="18"/>
      <c r="AF89" s="18"/>
      <c r="AG89" s="18"/>
      <c r="AH89" s="12"/>
      <c r="AI89" s="18">
        <f t="shared" si="143"/>
        <v>0</v>
      </c>
      <c r="AJ89" s="18">
        <f t="shared" si="144"/>
        <v>0.3</v>
      </c>
      <c r="AK89" s="18">
        <f t="shared" si="145"/>
        <v>0</v>
      </c>
      <c r="AL89" s="18">
        <f t="shared" si="146"/>
        <v>0</v>
      </c>
      <c r="AM89" s="18">
        <f t="shared" si="147"/>
        <v>0</v>
      </c>
      <c r="AN89" s="18">
        <f t="shared" si="148"/>
        <v>0</v>
      </c>
      <c r="AO89" s="18">
        <f t="shared" si="149"/>
        <v>0</v>
      </c>
      <c r="AP89" s="18">
        <f t="shared" si="150"/>
        <v>0</v>
      </c>
      <c r="AQ89" s="23"/>
      <c r="AR89" s="18">
        <f t="shared" si="151"/>
        <v>0</v>
      </c>
      <c r="AS89" s="18">
        <f t="shared" si="152"/>
        <v>0.3</v>
      </c>
      <c r="AT89" s="18">
        <f t="shared" si="153"/>
        <v>0</v>
      </c>
      <c r="AU89" s="18">
        <f t="shared" si="154"/>
        <v>0</v>
      </c>
      <c r="AV89" s="18">
        <f t="shared" si="155"/>
        <v>0</v>
      </c>
      <c r="AW89" s="18">
        <f t="shared" si="156"/>
        <v>0</v>
      </c>
      <c r="AX89" s="18">
        <f t="shared" si="157"/>
        <v>0</v>
      </c>
      <c r="AY89" s="18">
        <f t="shared" si="158"/>
        <v>0</v>
      </c>
      <c r="BA89" s="27">
        <f t="shared" si="168"/>
        <v>0</v>
      </c>
      <c r="BB89" s="27">
        <f t="shared" si="159"/>
        <v>0</v>
      </c>
      <c r="BC89" s="27">
        <f t="shared" si="160"/>
        <v>0</v>
      </c>
      <c r="BD89" s="27">
        <f t="shared" si="161"/>
        <v>0</v>
      </c>
      <c r="BE89" s="27">
        <f t="shared" si="162"/>
        <v>0</v>
      </c>
      <c r="BF89" s="27">
        <f t="shared" si="163"/>
        <v>0</v>
      </c>
      <c r="BG89" s="27">
        <f t="shared" si="164"/>
        <v>0</v>
      </c>
      <c r="BH89" s="27">
        <f t="shared" si="165"/>
        <v>0</v>
      </c>
      <c r="BI89" s="27">
        <f t="shared" si="169"/>
        <v>0</v>
      </c>
      <c r="BJ89" s="27">
        <f t="shared" si="170"/>
        <v>0</v>
      </c>
    </row>
    <row r="90" spans="1:62" s="22" customFormat="1" ht="22.5">
      <c r="A90" s="8" t="s">
        <v>13</v>
      </c>
      <c r="B90" s="21"/>
      <c r="C90" s="25">
        <v>1</v>
      </c>
      <c r="D90" s="25">
        <v>0</v>
      </c>
      <c r="E90" s="25">
        <v>0</v>
      </c>
      <c r="F90" s="28">
        <v>0</v>
      </c>
      <c r="G90" s="28">
        <v>5</v>
      </c>
      <c r="H90" s="28">
        <v>5</v>
      </c>
      <c r="I90" s="28">
        <v>5</v>
      </c>
      <c r="J90" s="28">
        <v>5</v>
      </c>
      <c r="K90" s="29"/>
      <c r="L90" s="25">
        <v>1</v>
      </c>
      <c r="M90" s="25">
        <v>0</v>
      </c>
      <c r="N90" s="25">
        <v>0</v>
      </c>
      <c r="O90" s="28">
        <v>0</v>
      </c>
      <c r="P90" s="28">
        <v>5</v>
      </c>
      <c r="Q90" s="28">
        <v>5</v>
      </c>
      <c r="R90" s="28">
        <v>5</v>
      </c>
      <c r="S90" s="28">
        <v>5</v>
      </c>
      <c r="T90"/>
      <c r="U90" s="23">
        <f t="shared" si="142"/>
        <v>1</v>
      </c>
      <c r="V90" s="1">
        <f t="shared" si="171"/>
        <v>0.12195121951219512</v>
      </c>
      <c r="W90" s="11">
        <f t="shared" si="166"/>
        <v>0</v>
      </c>
      <c r="X90" s="23">
        <v>5</v>
      </c>
      <c r="Y90" s="10">
        <f t="shared" si="167"/>
        <v>0.12195121951219512</v>
      </c>
      <c r="Z90" s="18">
        <v>0</v>
      </c>
      <c r="AA90" s="18">
        <v>0.3</v>
      </c>
      <c r="AB90" s="18">
        <v>0.8</v>
      </c>
      <c r="AC90" s="18">
        <v>1</v>
      </c>
      <c r="AD90" s="18"/>
      <c r="AE90" s="18"/>
      <c r="AF90" s="18"/>
      <c r="AG90" s="18"/>
      <c r="AH90" s="12"/>
      <c r="AI90" s="18">
        <f t="shared" si="143"/>
        <v>0</v>
      </c>
      <c r="AJ90" s="18">
        <f t="shared" si="144"/>
        <v>0</v>
      </c>
      <c r="AK90" s="18">
        <f t="shared" si="145"/>
        <v>0</v>
      </c>
      <c r="AL90" s="18">
        <f t="shared" si="146"/>
        <v>0</v>
      </c>
      <c r="AM90" s="18">
        <f t="shared" si="147"/>
        <v>0</v>
      </c>
      <c r="AN90" s="18">
        <f t="shared" si="148"/>
        <v>0</v>
      </c>
      <c r="AO90" s="18">
        <f t="shared" si="149"/>
        <v>0</v>
      </c>
      <c r="AP90" s="18">
        <f t="shared" si="150"/>
        <v>0</v>
      </c>
      <c r="AQ90" s="23"/>
      <c r="AR90" s="18">
        <f t="shared" si="151"/>
        <v>0</v>
      </c>
      <c r="AS90" s="18">
        <f t="shared" si="152"/>
        <v>0</v>
      </c>
      <c r="AT90" s="18">
        <f t="shared" si="153"/>
        <v>0</v>
      </c>
      <c r="AU90" s="18">
        <f t="shared" si="154"/>
        <v>0</v>
      </c>
      <c r="AV90" s="18">
        <f t="shared" si="155"/>
        <v>0</v>
      </c>
      <c r="AW90" s="18">
        <f t="shared" si="156"/>
        <v>0</v>
      </c>
      <c r="AX90" s="18">
        <f t="shared" si="157"/>
        <v>0</v>
      </c>
      <c r="AY90" s="18">
        <f t="shared" si="158"/>
        <v>0</v>
      </c>
      <c r="BA90" s="27">
        <f t="shared" si="168"/>
        <v>0</v>
      </c>
      <c r="BB90" s="27">
        <f t="shared" si="159"/>
        <v>0</v>
      </c>
      <c r="BC90" s="27">
        <f t="shared" si="160"/>
        <v>0</v>
      </c>
      <c r="BD90" s="27">
        <f t="shared" si="161"/>
        <v>0</v>
      </c>
      <c r="BE90" s="27">
        <f t="shared" si="162"/>
        <v>0</v>
      </c>
      <c r="BF90" s="27">
        <f t="shared" si="163"/>
        <v>0</v>
      </c>
      <c r="BG90" s="27">
        <f t="shared" si="164"/>
        <v>0</v>
      </c>
      <c r="BH90" s="27">
        <f t="shared" si="165"/>
        <v>0</v>
      </c>
      <c r="BI90" s="27">
        <f t="shared" si="169"/>
        <v>0</v>
      </c>
      <c r="BJ90" s="27">
        <f t="shared" si="170"/>
        <v>0</v>
      </c>
    </row>
    <row r="91" spans="1:62" s="22" customFormat="1" ht="22.5">
      <c r="A91" s="8" t="s">
        <v>14</v>
      </c>
      <c r="B91" s="21"/>
      <c r="C91" s="25">
        <v>0</v>
      </c>
      <c r="D91" s="25">
        <v>1</v>
      </c>
      <c r="E91" s="25">
        <v>0</v>
      </c>
      <c r="F91" s="28">
        <v>0</v>
      </c>
      <c r="G91" s="28">
        <v>5</v>
      </c>
      <c r="H91" s="28">
        <v>5</v>
      </c>
      <c r="I91" s="28">
        <v>5</v>
      </c>
      <c r="J91" s="28">
        <v>5</v>
      </c>
      <c r="K91" s="29"/>
      <c r="L91" s="25">
        <v>0</v>
      </c>
      <c r="M91" s="25">
        <v>0</v>
      </c>
      <c r="N91" s="25">
        <v>1</v>
      </c>
      <c r="O91" s="28">
        <v>0</v>
      </c>
      <c r="P91" s="28">
        <v>5</v>
      </c>
      <c r="Q91" s="28">
        <v>5</v>
      </c>
      <c r="R91" s="28">
        <v>5</v>
      </c>
      <c r="S91" s="28">
        <v>5</v>
      </c>
      <c r="T91"/>
      <c r="U91" s="23">
        <f t="shared" si="142"/>
        <v>0</v>
      </c>
      <c r="V91" s="1">
        <f t="shared" si="171"/>
        <v>1.2195121951219513E-2</v>
      </c>
      <c r="W91" s="11">
        <f t="shared" si="166"/>
        <v>0.5</v>
      </c>
      <c r="X91" s="23">
        <v>1</v>
      </c>
      <c r="Y91" s="10">
        <f t="shared" si="167"/>
        <v>2.4390243902439025E-2</v>
      </c>
      <c r="Z91" s="18">
        <v>0</v>
      </c>
      <c r="AA91" s="18">
        <v>0.3</v>
      </c>
      <c r="AB91" s="18">
        <v>0.8</v>
      </c>
      <c r="AC91" s="18">
        <v>1</v>
      </c>
      <c r="AD91" s="18"/>
      <c r="AE91" s="18"/>
      <c r="AF91" s="18"/>
      <c r="AG91" s="18"/>
      <c r="AH91" s="12"/>
      <c r="AI91" s="18">
        <f t="shared" si="143"/>
        <v>0</v>
      </c>
      <c r="AJ91" s="18">
        <f>D91*AA91</f>
        <v>0.3</v>
      </c>
      <c r="AK91" s="18">
        <f t="shared" si="145"/>
        <v>0</v>
      </c>
      <c r="AL91" s="18">
        <f t="shared" si="146"/>
        <v>0</v>
      </c>
      <c r="AM91" s="18">
        <f t="shared" si="147"/>
        <v>0</v>
      </c>
      <c r="AN91" s="18">
        <f t="shared" si="148"/>
        <v>0</v>
      </c>
      <c r="AO91" s="18">
        <f t="shared" si="149"/>
        <v>0</v>
      </c>
      <c r="AP91" s="18">
        <f t="shared" si="150"/>
        <v>0</v>
      </c>
      <c r="AQ91" s="23"/>
      <c r="AR91" s="18">
        <f t="shared" si="151"/>
        <v>0</v>
      </c>
      <c r="AS91" s="18">
        <f t="shared" si="152"/>
        <v>0</v>
      </c>
      <c r="AT91" s="18">
        <f t="shared" si="153"/>
        <v>0.8</v>
      </c>
      <c r="AU91" s="18">
        <f t="shared" si="154"/>
        <v>0</v>
      </c>
      <c r="AV91" s="18">
        <f t="shared" si="155"/>
        <v>0</v>
      </c>
      <c r="AW91" s="18">
        <f t="shared" si="156"/>
        <v>0</v>
      </c>
      <c r="AX91" s="18">
        <f t="shared" si="157"/>
        <v>0</v>
      </c>
      <c r="AY91" s="18">
        <f t="shared" si="158"/>
        <v>0</v>
      </c>
      <c r="BA91" s="27">
        <f t="shared" si="168"/>
        <v>0</v>
      </c>
      <c r="BB91" s="27">
        <f t="shared" si="159"/>
        <v>0.3</v>
      </c>
      <c r="BC91" s="27">
        <f t="shared" si="160"/>
        <v>-0.8</v>
      </c>
      <c r="BD91" s="27">
        <f t="shared" si="161"/>
        <v>0</v>
      </c>
      <c r="BE91" s="27">
        <f t="shared" si="162"/>
        <v>0</v>
      </c>
      <c r="BF91" s="27">
        <f t="shared" si="163"/>
        <v>0</v>
      </c>
      <c r="BG91" s="27">
        <f t="shared" si="164"/>
        <v>0</v>
      </c>
      <c r="BH91" s="27">
        <f t="shared" si="165"/>
        <v>0</v>
      </c>
      <c r="BI91" s="27">
        <f t="shared" si="169"/>
        <v>0.5</v>
      </c>
      <c r="BJ91" s="27">
        <f t="shared" si="170"/>
        <v>1.2195121951219513E-2</v>
      </c>
    </row>
    <row r="92" spans="1:62" s="22" customFormat="1" ht="22.5">
      <c r="A92" s="8" t="s">
        <v>15</v>
      </c>
      <c r="B92" s="21"/>
      <c r="C92" s="25">
        <v>0</v>
      </c>
      <c r="D92" s="25">
        <v>0.2</v>
      </c>
      <c r="E92" s="25">
        <v>0.2</v>
      </c>
      <c r="F92" s="28">
        <v>0.6</v>
      </c>
      <c r="G92" s="28">
        <v>5</v>
      </c>
      <c r="H92" s="28">
        <v>5</v>
      </c>
      <c r="I92" s="28">
        <v>5</v>
      </c>
      <c r="J92" s="28">
        <v>5</v>
      </c>
      <c r="K92" s="29"/>
      <c r="L92" s="25">
        <v>0</v>
      </c>
      <c r="M92" s="25">
        <v>1</v>
      </c>
      <c r="N92" s="25">
        <v>0</v>
      </c>
      <c r="O92" s="28">
        <v>0</v>
      </c>
      <c r="P92" s="28">
        <v>5</v>
      </c>
      <c r="Q92" s="28">
        <v>5</v>
      </c>
      <c r="R92" s="28">
        <v>5</v>
      </c>
      <c r="S92" s="28">
        <v>5</v>
      </c>
      <c r="T92"/>
      <c r="U92" s="23" t="e">
        <f t="shared" si="142"/>
        <v>#N/A</v>
      </c>
      <c r="V92" s="1">
        <f t="shared" si="171"/>
        <v>2.3414634146341463E-2</v>
      </c>
      <c r="W92" s="11">
        <f t="shared" si="166"/>
        <v>0.52</v>
      </c>
      <c r="X92" s="23">
        <v>2</v>
      </c>
      <c r="Y92" s="10">
        <f t="shared" si="167"/>
        <v>4.878048780487805E-2</v>
      </c>
      <c r="Z92" s="18">
        <v>0</v>
      </c>
      <c r="AA92" s="18">
        <v>0.3</v>
      </c>
      <c r="AB92" s="18">
        <v>0.8</v>
      </c>
      <c r="AC92" s="18">
        <v>1</v>
      </c>
      <c r="AD92" s="18"/>
      <c r="AE92" s="18"/>
      <c r="AF92" s="18"/>
      <c r="AG92" s="18"/>
      <c r="AH92" s="12"/>
      <c r="AI92" s="18">
        <f t="shared" si="143"/>
        <v>0</v>
      </c>
      <c r="AJ92" s="18">
        <f t="shared" si="144"/>
        <v>0.06</v>
      </c>
      <c r="AK92" s="18">
        <f t="shared" si="145"/>
        <v>0.16000000000000003</v>
      </c>
      <c r="AL92" s="18">
        <f t="shared" si="146"/>
        <v>0.6</v>
      </c>
      <c r="AM92" s="18">
        <f t="shared" si="147"/>
        <v>0</v>
      </c>
      <c r="AN92" s="18">
        <f t="shared" si="148"/>
        <v>0</v>
      </c>
      <c r="AO92" s="18">
        <f t="shared" si="149"/>
        <v>0</v>
      </c>
      <c r="AP92" s="18">
        <f t="shared" si="150"/>
        <v>0</v>
      </c>
      <c r="AQ92" s="23"/>
      <c r="AR92" s="18">
        <f t="shared" si="151"/>
        <v>0</v>
      </c>
      <c r="AS92" s="18">
        <f t="shared" si="152"/>
        <v>0.3</v>
      </c>
      <c r="AT92" s="18">
        <f t="shared" si="153"/>
        <v>0</v>
      </c>
      <c r="AU92" s="18">
        <f t="shared" si="154"/>
        <v>0</v>
      </c>
      <c r="AV92" s="18">
        <f t="shared" si="155"/>
        <v>0</v>
      </c>
      <c r="AW92" s="18">
        <f t="shared" si="156"/>
        <v>0</v>
      </c>
      <c r="AX92" s="18">
        <f t="shared" si="157"/>
        <v>0</v>
      </c>
      <c r="AY92" s="18">
        <f t="shared" si="158"/>
        <v>0</v>
      </c>
      <c r="BA92" s="27">
        <f t="shared" si="168"/>
        <v>0</v>
      </c>
      <c r="BB92" s="27">
        <f t="shared" si="159"/>
        <v>-0.24</v>
      </c>
      <c r="BC92" s="27">
        <f t="shared" si="160"/>
        <v>0.16000000000000003</v>
      </c>
      <c r="BD92" s="27">
        <f t="shared" si="161"/>
        <v>0.6</v>
      </c>
      <c r="BE92" s="27">
        <f t="shared" si="162"/>
        <v>0</v>
      </c>
      <c r="BF92" s="27">
        <f t="shared" si="163"/>
        <v>0</v>
      </c>
      <c r="BG92" s="27">
        <f t="shared" si="164"/>
        <v>0</v>
      </c>
      <c r="BH92" s="27">
        <f t="shared" si="165"/>
        <v>0</v>
      </c>
      <c r="BI92" s="27">
        <f t="shared" si="169"/>
        <v>0.52</v>
      </c>
      <c r="BJ92" s="27">
        <f t="shared" si="170"/>
        <v>2.5365853658536587E-2</v>
      </c>
    </row>
    <row r="93" spans="1:62" s="22" customFormat="1" ht="22.5">
      <c r="A93" s="8" t="s">
        <v>16</v>
      </c>
      <c r="B93" s="21"/>
      <c r="C93" s="25">
        <v>1</v>
      </c>
      <c r="D93" s="25">
        <v>0</v>
      </c>
      <c r="E93" s="25">
        <v>0</v>
      </c>
      <c r="F93" s="28">
        <v>0</v>
      </c>
      <c r="G93" s="28">
        <v>5</v>
      </c>
      <c r="H93" s="28">
        <v>5</v>
      </c>
      <c r="I93" s="28">
        <v>5</v>
      </c>
      <c r="J93" s="28">
        <v>5</v>
      </c>
      <c r="K93" s="29"/>
      <c r="L93" s="25">
        <v>0</v>
      </c>
      <c r="M93" s="25">
        <v>1</v>
      </c>
      <c r="N93" s="25">
        <v>0</v>
      </c>
      <c r="O93" s="28">
        <v>0</v>
      </c>
      <c r="P93" s="28">
        <v>5</v>
      </c>
      <c r="Q93" s="28">
        <v>5</v>
      </c>
      <c r="R93" s="28">
        <v>5</v>
      </c>
      <c r="S93" s="28">
        <v>5</v>
      </c>
      <c r="T93"/>
      <c r="U93" s="23">
        <f t="shared" si="142"/>
        <v>0</v>
      </c>
      <c r="V93" s="1">
        <f t="shared" si="171"/>
        <v>8.5365853658536578E-2</v>
      </c>
      <c r="W93" s="11">
        <f t="shared" si="166"/>
        <v>0.3</v>
      </c>
      <c r="X93" s="23">
        <v>5</v>
      </c>
      <c r="Y93" s="10">
        <f t="shared" si="167"/>
        <v>0.12195121951219512</v>
      </c>
      <c r="Z93" s="18">
        <v>0</v>
      </c>
      <c r="AA93" s="18">
        <v>0.3</v>
      </c>
      <c r="AB93" s="18">
        <v>0.8</v>
      </c>
      <c r="AC93" s="18">
        <v>1</v>
      </c>
      <c r="AD93" s="18"/>
      <c r="AE93" s="18"/>
      <c r="AF93" s="18"/>
      <c r="AG93" s="18"/>
      <c r="AH93" s="12"/>
      <c r="AI93" s="18">
        <f t="shared" si="143"/>
        <v>0</v>
      </c>
      <c r="AJ93" s="18">
        <f t="shared" si="144"/>
        <v>0</v>
      </c>
      <c r="AK93" s="18">
        <f t="shared" si="145"/>
        <v>0</v>
      </c>
      <c r="AL93" s="18">
        <f t="shared" si="146"/>
        <v>0</v>
      </c>
      <c r="AM93" s="18">
        <f t="shared" si="147"/>
        <v>0</v>
      </c>
      <c r="AN93" s="18">
        <f t="shared" si="148"/>
        <v>0</v>
      </c>
      <c r="AO93" s="18">
        <f t="shared" si="149"/>
        <v>0</v>
      </c>
      <c r="AP93" s="18">
        <f t="shared" si="150"/>
        <v>0</v>
      </c>
      <c r="AQ93" s="23"/>
      <c r="AR93" s="18">
        <f t="shared" si="151"/>
        <v>0</v>
      </c>
      <c r="AS93" s="18">
        <f t="shared" si="152"/>
        <v>0.3</v>
      </c>
      <c r="AT93" s="18">
        <f t="shared" si="153"/>
        <v>0</v>
      </c>
      <c r="AU93" s="18">
        <f t="shared" si="154"/>
        <v>0</v>
      </c>
      <c r="AV93" s="18">
        <f t="shared" si="155"/>
        <v>0</v>
      </c>
      <c r="AW93" s="18">
        <f t="shared" si="156"/>
        <v>0</v>
      </c>
      <c r="AX93" s="18">
        <f t="shared" si="157"/>
        <v>0</v>
      </c>
      <c r="AY93" s="18">
        <f t="shared" si="158"/>
        <v>0</v>
      </c>
      <c r="BA93" s="27">
        <f t="shared" si="168"/>
        <v>0</v>
      </c>
      <c r="BB93" s="27">
        <f t="shared" si="159"/>
        <v>-0.3</v>
      </c>
      <c r="BC93" s="27">
        <f t="shared" si="160"/>
        <v>0</v>
      </c>
      <c r="BD93" s="27">
        <f t="shared" si="161"/>
        <v>0</v>
      </c>
      <c r="BE93" s="27">
        <f t="shared" si="162"/>
        <v>0</v>
      </c>
      <c r="BF93" s="27">
        <f t="shared" si="163"/>
        <v>0</v>
      </c>
      <c r="BG93" s="27">
        <f t="shared" si="164"/>
        <v>0</v>
      </c>
      <c r="BH93" s="27">
        <f t="shared" si="165"/>
        <v>0</v>
      </c>
      <c r="BI93" s="27">
        <f t="shared" si="169"/>
        <v>0.3</v>
      </c>
      <c r="BJ93" s="27">
        <f t="shared" si="170"/>
        <v>3.6585365853658534E-2</v>
      </c>
    </row>
    <row r="94" spans="1:62" ht="22.5">
      <c r="A94" s="4" t="s">
        <v>0</v>
      </c>
      <c r="B94" s="7"/>
      <c r="C94" s="25">
        <v>0</v>
      </c>
      <c r="D94" s="25">
        <v>1</v>
      </c>
      <c r="E94" s="25">
        <v>5</v>
      </c>
      <c r="F94" s="28">
        <v>5</v>
      </c>
      <c r="G94" s="28">
        <v>5</v>
      </c>
      <c r="H94" s="28">
        <v>5</v>
      </c>
      <c r="I94" s="28">
        <v>5</v>
      </c>
      <c r="J94" s="28">
        <v>5</v>
      </c>
      <c r="K94" s="29"/>
      <c r="L94" s="25">
        <v>0</v>
      </c>
      <c r="M94" s="25">
        <v>1</v>
      </c>
      <c r="N94" s="25">
        <v>5</v>
      </c>
      <c r="O94" s="28">
        <v>5</v>
      </c>
      <c r="P94" s="28">
        <v>5</v>
      </c>
      <c r="Q94" s="28">
        <v>5</v>
      </c>
      <c r="R94" s="28">
        <v>5</v>
      </c>
      <c r="S94" s="28">
        <v>5</v>
      </c>
      <c r="U94" s="9">
        <f t="shared" si="142"/>
        <v>1</v>
      </c>
      <c r="V94" s="1">
        <f t="shared" si="171"/>
        <v>2.4390243902439025E-2</v>
      </c>
      <c r="W94" s="11">
        <f t="shared" si="166"/>
        <v>0</v>
      </c>
      <c r="X94" s="12">
        <v>1</v>
      </c>
      <c r="Y94" s="10">
        <f t="shared" si="167"/>
        <v>2.4390243902439025E-2</v>
      </c>
      <c r="Z94" s="18">
        <v>0</v>
      </c>
      <c r="AA94" s="18">
        <f>IF(M94=1,1,0)</f>
        <v>1</v>
      </c>
      <c r="AB94" s="18"/>
      <c r="AC94" s="18"/>
      <c r="AD94" s="18"/>
      <c r="AE94" s="18"/>
      <c r="AF94" s="18"/>
      <c r="AG94" s="18"/>
      <c r="AH94" s="12"/>
      <c r="AI94" s="18">
        <f t="shared" si="143"/>
        <v>0</v>
      </c>
      <c r="AJ94" s="18">
        <f t="shared" si="144"/>
        <v>1</v>
      </c>
      <c r="AK94" s="18">
        <f t="shared" si="145"/>
        <v>0</v>
      </c>
      <c r="AL94" s="18">
        <f t="shared" si="146"/>
        <v>0</v>
      </c>
      <c r="AM94" s="18">
        <f t="shared" si="147"/>
        <v>0</v>
      </c>
      <c r="AN94" s="18">
        <f t="shared" si="148"/>
        <v>0</v>
      </c>
      <c r="AO94" s="18">
        <f t="shared" si="149"/>
        <v>0</v>
      </c>
      <c r="AP94" s="18">
        <f t="shared" si="150"/>
        <v>0</v>
      </c>
      <c r="AQ94" s="9"/>
      <c r="AR94" s="18">
        <f t="shared" si="151"/>
        <v>0</v>
      </c>
      <c r="AS94" s="18">
        <f t="shared" si="152"/>
        <v>1</v>
      </c>
      <c r="AT94" s="18">
        <f t="shared" si="153"/>
        <v>0</v>
      </c>
      <c r="AU94" s="18">
        <f t="shared" si="154"/>
        <v>0</v>
      </c>
      <c r="AV94" s="18">
        <f t="shared" si="155"/>
        <v>0</v>
      </c>
      <c r="AW94" s="18">
        <f t="shared" si="156"/>
        <v>0</v>
      </c>
      <c r="AX94" s="18">
        <f t="shared" si="157"/>
        <v>0</v>
      </c>
      <c r="AY94" s="18">
        <f t="shared" si="158"/>
        <v>0</v>
      </c>
      <c r="BA94" s="27">
        <f t="shared" si="168"/>
        <v>0</v>
      </c>
      <c r="BB94" s="27">
        <f t="shared" si="159"/>
        <v>0</v>
      </c>
      <c r="BC94" s="27">
        <f t="shared" si="160"/>
        <v>0</v>
      </c>
      <c r="BD94" s="27">
        <f t="shared" si="161"/>
        <v>0</v>
      </c>
      <c r="BE94" s="27">
        <f t="shared" si="162"/>
        <v>0</v>
      </c>
      <c r="BF94" s="27">
        <f t="shared" si="163"/>
        <v>0</v>
      </c>
      <c r="BG94" s="27">
        <f t="shared" si="164"/>
        <v>0</v>
      </c>
      <c r="BH94" s="27">
        <f t="shared" si="165"/>
        <v>0</v>
      </c>
      <c r="BI94" s="27">
        <f t="shared" si="169"/>
        <v>0</v>
      </c>
      <c r="BJ94" s="27">
        <f t="shared" si="170"/>
        <v>0</v>
      </c>
    </row>
    <row r="95" spans="1:62" ht="22.5">
      <c r="A95" s="5" t="s">
        <v>1</v>
      </c>
      <c r="B95" s="7"/>
      <c r="C95" s="25">
        <v>5</v>
      </c>
      <c r="D95" s="25">
        <v>5</v>
      </c>
      <c r="E95" s="25">
        <v>5</v>
      </c>
      <c r="F95" s="25">
        <v>5</v>
      </c>
      <c r="G95" s="25">
        <v>0</v>
      </c>
      <c r="H95" s="25">
        <v>1</v>
      </c>
      <c r="I95" s="28">
        <v>5</v>
      </c>
      <c r="J95" s="28">
        <v>5</v>
      </c>
      <c r="K95" s="29"/>
      <c r="L95" s="25">
        <v>5</v>
      </c>
      <c r="M95" s="25">
        <v>5</v>
      </c>
      <c r="N95" s="25">
        <v>5</v>
      </c>
      <c r="O95" s="25">
        <v>5</v>
      </c>
      <c r="P95" s="25">
        <v>0</v>
      </c>
      <c r="Q95" s="25">
        <v>1</v>
      </c>
      <c r="R95" s="28">
        <v>5</v>
      </c>
      <c r="S95" s="28">
        <v>5</v>
      </c>
      <c r="U95" s="9">
        <f t="shared" si="142"/>
        <v>1</v>
      </c>
      <c r="V95" s="1">
        <f t="shared" si="171"/>
        <v>2.4390243902439025E-2</v>
      </c>
      <c r="W95" s="11">
        <f t="shared" si="166"/>
        <v>0</v>
      </c>
      <c r="X95" s="12">
        <v>1</v>
      </c>
      <c r="Y95" s="10">
        <f t="shared" si="167"/>
        <v>2.4390243902439025E-2</v>
      </c>
      <c r="Z95" s="18"/>
      <c r="AA95" s="18"/>
      <c r="AB95" s="18"/>
      <c r="AC95" s="18"/>
      <c r="AD95" s="18">
        <v>0</v>
      </c>
      <c r="AE95" s="18">
        <v>1</v>
      </c>
      <c r="AF95" s="18"/>
      <c r="AG95" s="18"/>
      <c r="AH95" s="12"/>
      <c r="AI95" s="18">
        <f t="shared" si="143"/>
        <v>0</v>
      </c>
      <c r="AJ95" s="18">
        <f t="shared" si="144"/>
        <v>0</v>
      </c>
      <c r="AK95" s="18">
        <f t="shared" si="145"/>
        <v>0</v>
      </c>
      <c r="AL95" s="18">
        <f t="shared" si="146"/>
        <v>0</v>
      </c>
      <c r="AM95" s="18">
        <f t="shared" si="147"/>
        <v>0</v>
      </c>
      <c r="AN95" s="18">
        <f t="shared" si="148"/>
        <v>1</v>
      </c>
      <c r="AO95" s="18">
        <f t="shared" si="149"/>
        <v>0</v>
      </c>
      <c r="AP95" s="18">
        <f t="shared" si="150"/>
        <v>0</v>
      </c>
      <c r="AQ95" s="9"/>
      <c r="AR95" s="18">
        <f t="shared" si="151"/>
        <v>0</v>
      </c>
      <c r="AS95" s="18">
        <f t="shared" si="152"/>
        <v>0</v>
      </c>
      <c r="AT95" s="18">
        <f t="shared" si="153"/>
        <v>0</v>
      </c>
      <c r="AU95" s="18">
        <f t="shared" si="154"/>
        <v>0</v>
      </c>
      <c r="AV95" s="18">
        <f t="shared" si="155"/>
        <v>0</v>
      </c>
      <c r="AW95" s="18">
        <f t="shared" si="156"/>
        <v>1</v>
      </c>
      <c r="AX95" s="18">
        <f t="shared" si="157"/>
        <v>0</v>
      </c>
      <c r="AY95" s="18">
        <f t="shared" si="158"/>
        <v>0</v>
      </c>
      <c r="BA95" s="27">
        <f t="shared" si="168"/>
        <v>0</v>
      </c>
      <c r="BB95" s="27">
        <f t="shared" si="159"/>
        <v>0</v>
      </c>
      <c r="BC95" s="27">
        <f t="shared" si="160"/>
        <v>0</v>
      </c>
      <c r="BD95" s="27">
        <f t="shared" si="161"/>
        <v>0</v>
      </c>
      <c r="BE95" s="27">
        <f t="shared" si="162"/>
        <v>0</v>
      </c>
      <c r="BF95" s="27">
        <f t="shared" si="163"/>
        <v>0</v>
      </c>
      <c r="BG95" s="27">
        <f t="shared" si="164"/>
        <v>0</v>
      </c>
      <c r="BH95" s="27">
        <f t="shared" si="165"/>
        <v>0</v>
      </c>
      <c r="BI95" s="27">
        <f t="shared" si="169"/>
        <v>0</v>
      </c>
      <c r="BJ95" s="27">
        <f t="shared" si="170"/>
        <v>0</v>
      </c>
    </row>
    <row r="96" spans="1:62" ht="22.5">
      <c r="A96" s="5" t="s">
        <v>21</v>
      </c>
      <c r="B96" s="7"/>
      <c r="C96" s="25">
        <v>5</v>
      </c>
      <c r="D96" s="25">
        <v>5</v>
      </c>
      <c r="E96" s="25">
        <v>5</v>
      </c>
      <c r="F96" s="25">
        <v>5</v>
      </c>
      <c r="G96" s="25">
        <v>0</v>
      </c>
      <c r="H96" s="25">
        <v>1</v>
      </c>
      <c r="I96" s="28">
        <v>5</v>
      </c>
      <c r="J96" s="28">
        <v>5</v>
      </c>
      <c r="K96" s="29"/>
      <c r="L96" s="25">
        <v>5</v>
      </c>
      <c r="M96" s="25">
        <v>5</v>
      </c>
      <c r="N96" s="25">
        <v>5</v>
      </c>
      <c r="O96" s="25">
        <v>5</v>
      </c>
      <c r="P96" s="25">
        <v>0</v>
      </c>
      <c r="Q96" s="25">
        <v>1</v>
      </c>
      <c r="R96" s="28">
        <v>5</v>
      </c>
      <c r="S96" s="28">
        <v>5</v>
      </c>
      <c r="U96" s="9">
        <f t="shared" si="142"/>
        <v>1</v>
      </c>
      <c r="V96" s="1">
        <f t="shared" si="171"/>
        <v>2.4390243902439025E-2</v>
      </c>
      <c r="W96" s="11">
        <f t="shared" si="166"/>
        <v>0</v>
      </c>
      <c r="X96" s="12">
        <v>1</v>
      </c>
      <c r="Y96" s="10">
        <f t="shared" si="167"/>
        <v>2.4390243902439025E-2</v>
      </c>
      <c r="Z96" s="18"/>
      <c r="AA96" s="18"/>
      <c r="AB96" s="18"/>
      <c r="AC96" s="18"/>
      <c r="AD96" s="18">
        <v>0</v>
      </c>
      <c r="AE96" s="18">
        <v>1</v>
      </c>
      <c r="AF96" s="18"/>
      <c r="AG96" s="18"/>
      <c r="AH96" s="12"/>
      <c r="AI96" s="18">
        <f t="shared" si="143"/>
        <v>0</v>
      </c>
      <c r="AJ96" s="18">
        <f t="shared" si="144"/>
        <v>0</v>
      </c>
      <c r="AK96" s="18">
        <f t="shared" si="145"/>
        <v>0</v>
      </c>
      <c r="AL96" s="18">
        <f t="shared" si="146"/>
        <v>0</v>
      </c>
      <c r="AM96" s="18">
        <f t="shared" si="147"/>
        <v>0</v>
      </c>
      <c r="AN96" s="18">
        <f t="shared" si="148"/>
        <v>1</v>
      </c>
      <c r="AO96" s="18">
        <f t="shared" si="149"/>
        <v>0</v>
      </c>
      <c r="AP96" s="18">
        <f t="shared" si="150"/>
        <v>0</v>
      </c>
      <c r="AQ96" s="9"/>
      <c r="AR96" s="18">
        <f t="shared" si="151"/>
        <v>0</v>
      </c>
      <c r="AS96" s="18">
        <f t="shared" si="152"/>
        <v>0</v>
      </c>
      <c r="AT96" s="18">
        <f t="shared" si="153"/>
        <v>0</v>
      </c>
      <c r="AU96" s="18">
        <f t="shared" si="154"/>
        <v>0</v>
      </c>
      <c r="AV96" s="18">
        <f t="shared" si="155"/>
        <v>0</v>
      </c>
      <c r="AW96" s="18">
        <f t="shared" si="156"/>
        <v>1</v>
      </c>
      <c r="AX96" s="18">
        <f t="shared" si="157"/>
        <v>0</v>
      </c>
      <c r="AY96" s="18">
        <f t="shared" si="158"/>
        <v>0</v>
      </c>
      <c r="BA96" s="27">
        <f t="shared" si="168"/>
        <v>0</v>
      </c>
      <c r="BB96" s="27">
        <f t="shared" si="159"/>
        <v>0</v>
      </c>
      <c r="BC96" s="27">
        <f t="shared" si="160"/>
        <v>0</v>
      </c>
      <c r="BD96" s="27">
        <f t="shared" si="161"/>
        <v>0</v>
      </c>
      <c r="BE96" s="27">
        <f t="shared" si="162"/>
        <v>0</v>
      </c>
      <c r="BF96" s="27">
        <f t="shared" si="163"/>
        <v>0</v>
      </c>
      <c r="BG96" s="27">
        <f t="shared" si="164"/>
        <v>0</v>
      </c>
      <c r="BH96" s="27">
        <f t="shared" si="165"/>
        <v>0</v>
      </c>
      <c r="BI96" s="27">
        <f t="shared" si="169"/>
        <v>0</v>
      </c>
      <c r="BJ96" s="27">
        <f t="shared" si="170"/>
        <v>0</v>
      </c>
    </row>
    <row r="97" spans="1:62" ht="22.5">
      <c r="A97" s="5" t="s">
        <v>2</v>
      </c>
      <c r="B97" s="7"/>
      <c r="C97" s="25">
        <v>5</v>
      </c>
      <c r="D97" s="25">
        <v>5</v>
      </c>
      <c r="E97" s="25">
        <v>5</v>
      </c>
      <c r="F97" s="25">
        <v>5</v>
      </c>
      <c r="G97" s="25">
        <v>0</v>
      </c>
      <c r="H97" s="25">
        <v>1</v>
      </c>
      <c r="I97" s="28">
        <v>5</v>
      </c>
      <c r="J97" s="28">
        <v>5</v>
      </c>
      <c r="K97" s="29"/>
      <c r="L97" s="25">
        <v>5</v>
      </c>
      <c r="M97" s="25">
        <v>5</v>
      </c>
      <c r="N97" s="25">
        <v>5</v>
      </c>
      <c r="O97" s="25">
        <v>5</v>
      </c>
      <c r="P97" s="25">
        <v>0</v>
      </c>
      <c r="Q97" s="25">
        <v>1</v>
      </c>
      <c r="R97" s="28">
        <v>5</v>
      </c>
      <c r="S97" s="28">
        <v>5</v>
      </c>
      <c r="U97" s="9">
        <f t="shared" si="142"/>
        <v>1</v>
      </c>
      <c r="V97" s="1">
        <f t="shared" si="171"/>
        <v>2.4390243902439025E-2</v>
      </c>
      <c r="W97" s="11">
        <f t="shared" si="166"/>
        <v>0</v>
      </c>
      <c r="X97" s="12">
        <v>1</v>
      </c>
      <c r="Y97" s="10">
        <f t="shared" si="167"/>
        <v>2.4390243902439025E-2</v>
      </c>
      <c r="Z97" s="18"/>
      <c r="AA97" s="18"/>
      <c r="AB97" s="18"/>
      <c r="AC97" s="18"/>
      <c r="AD97" s="18">
        <v>0</v>
      </c>
      <c r="AE97" s="18">
        <v>1</v>
      </c>
      <c r="AF97" s="18"/>
      <c r="AG97" s="18"/>
      <c r="AH97" s="12"/>
      <c r="AI97" s="18">
        <f t="shared" si="143"/>
        <v>0</v>
      </c>
      <c r="AJ97" s="18">
        <f t="shared" si="144"/>
        <v>0</v>
      </c>
      <c r="AK97" s="18">
        <f t="shared" si="145"/>
        <v>0</v>
      </c>
      <c r="AL97" s="18">
        <f t="shared" si="146"/>
        <v>0</v>
      </c>
      <c r="AM97" s="18">
        <f t="shared" si="147"/>
        <v>0</v>
      </c>
      <c r="AN97" s="18">
        <f t="shared" si="148"/>
        <v>1</v>
      </c>
      <c r="AO97" s="18">
        <f t="shared" si="149"/>
        <v>0</v>
      </c>
      <c r="AP97" s="18">
        <f t="shared" si="150"/>
        <v>0</v>
      </c>
      <c r="AQ97" s="9"/>
      <c r="AR97" s="18">
        <f t="shared" si="151"/>
        <v>0</v>
      </c>
      <c r="AS97" s="18">
        <f t="shared" si="152"/>
        <v>0</v>
      </c>
      <c r="AT97" s="18">
        <f t="shared" si="153"/>
        <v>0</v>
      </c>
      <c r="AU97" s="18">
        <f t="shared" si="154"/>
        <v>0</v>
      </c>
      <c r="AV97" s="18">
        <f t="shared" si="155"/>
        <v>0</v>
      </c>
      <c r="AW97" s="18">
        <f t="shared" si="156"/>
        <v>1</v>
      </c>
      <c r="AX97" s="18">
        <f t="shared" si="157"/>
        <v>0</v>
      </c>
      <c r="AY97" s="18">
        <f t="shared" si="158"/>
        <v>0</v>
      </c>
      <c r="BA97" s="27">
        <f t="shared" si="168"/>
        <v>0</v>
      </c>
      <c r="BB97" s="27">
        <f t="shared" si="159"/>
        <v>0</v>
      </c>
      <c r="BC97" s="27">
        <f t="shared" si="160"/>
        <v>0</v>
      </c>
      <c r="BD97" s="27">
        <f t="shared" si="161"/>
        <v>0</v>
      </c>
      <c r="BE97" s="27">
        <f t="shared" si="162"/>
        <v>0</v>
      </c>
      <c r="BF97" s="27">
        <f t="shared" si="163"/>
        <v>0</v>
      </c>
      <c r="BG97" s="27">
        <f t="shared" si="164"/>
        <v>0</v>
      </c>
      <c r="BH97" s="27">
        <f t="shared" si="165"/>
        <v>0</v>
      </c>
      <c r="BI97" s="27">
        <f t="shared" si="169"/>
        <v>0</v>
      </c>
      <c r="BJ97" s="27">
        <f t="shared" si="170"/>
        <v>0</v>
      </c>
    </row>
    <row r="98" spans="1:62" ht="22.5">
      <c r="A98" s="5" t="s">
        <v>3</v>
      </c>
      <c r="B98" s="7"/>
      <c r="C98" s="25">
        <v>5</v>
      </c>
      <c r="D98" s="25">
        <v>5</v>
      </c>
      <c r="E98" s="25">
        <v>5</v>
      </c>
      <c r="F98" s="25">
        <v>5</v>
      </c>
      <c r="G98" s="25">
        <v>0.8</v>
      </c>
      <c r="H98" s="25">
        <v>0.2</v>
      </c>
      <c r="I98" s="28">
        <v>5</v>
      </c>
      <c r="J98" s="28">
        <v>5</v>
      </c>
      <c r="K98" s="29"/>
      <c r="L98" s="25">
        <v>5</v>
      </c>
      <c r="M98" s="25">
        <v>5</v>
      </c>
      <c r="N98" s="25">
        <v>5</v>
      </c>
      <c r="O98" s="25">
        <v>5</v>
      </c>
      <c r="P98" s="25">
        <v>1</v>
      </c>
      <c r="Q98" s="25">
        <v>0</v>
      </c>
      <c r="R98" s="28">
        <v>5</v>
      </c>
      <c r="S98" s="28">
        <v>5</v>
      </c>
      <c r="U98" s="9" t="e">
        <f t="shared" si="142"/>
        <v>#N/A</v>
      </c>
      <c r="V98" s="1">
        <f>(1-W98)*Y98</f>
        <v>5.8536585365853655E-2</v>
      </c>
      <c r="W98" s="11">
        <f t="shared" si="166"/>
        <v>0.2</v>
      </c>
      <c r="X98" s="12">
        <v>3</v>
      </c>
      <c r="Y98" s="10">
        <f t="shared" si="167"/>
        <v>7.3170731707317069E-2</v>
      </c>
      <c r="Z98" s="18"/>
      <c r="AA98" s="18"/>
      <c r="AB98" s="18"/>
      <c r="AC98" s="18"/>
      <c r="AD98" s="18">
        <v>0</v>
      </c>
      <c r="AE98" s="18">
        <v>1</v>
      </c>
      <c r="AF98" s="18"/>
      <c r="AG98" s="18"/>
      <c r="AH98" s="12"/>
      <c r="AI98" s="18">
        <f t="shared" si="143"/>
        <v>0</v>
      </c>
      <c r="AJ98" s="18">
        <f t="shared" si="144"/>
        <v>0</v>
      </c>
      <c r="AK98" s="18">
        <f t="shared" si="145"/>
        <v>0</v>
      </c>
      <c r="AL98" s="18">
        <f t="shared" si="146"/>
        <v>0</v>
      </c>
      <c r="AM98" s="18">
        <f t="shared" si="147"/>
        <v>0</v>
      </c>
      <c r="AN98" s="18">
        <f t="shared" si="148"/>
        <v>0.2</v>
      </c>
      <c r="AO98" s="18">
        <f t="shared" si="149"/>
        <v>0</v>
      </c>
      <c r="AP98" s="18">
        <f t="shared" si="150"/>
        <v>0</v>
      </c>
      <c r="AQ98" s="9"/>
      <c r="AR98" s="18">
        <f t="shared" si="151"/>
        <v>0</v>
      </c>
      <c r="AS98" s="18">
        <f t="shared" si="152"/>
        <v>0</v>
      </c>
      <c r="AT98" s="18">
        <f t="shared" si="153"/>
        <v>0</v>
      </c>
      <c r="AU98" s="18">
        <f t="shared" si="154"/>
        <v>0</v>
      </c>
      <c r="AV98" s="18">
        <f t="shared" si="155"/>
        <v>0</v>
      </c>
      <c r="AW98" s="18">
        <f t="shared" si="156"/>
        <v>0</v>
      </c>
      <c r="AX98" s="18">
        <f t="shared" si="157"/>
        <v>0</v>
      </c>
      <c r="AY98" s="18">
        <f t="shared" si="158"/>
        <v>0</v>
      </c>
      <c r="BA98" s="27">
        <f t="shared" si="168"/>
        <v>0</v>
      </c>
      <c r="BB98" s="27">
        <f t="shared" si="159"/>
        <v>0</v>
      </c>
      <c r="BC98" s="27">
        <f t="shared" si="160"/>
        <v>0</v>
      </c>
      <c r="BD98" s="27">
        <f t="shared" si="161"/>
        <v>0</v>
      </c>
      <c r="BE98" s="27">
        <f t="shared" si="162"/>
        <v>0</v>
      </c>
      <c r="BF98" s="27">
        <f t="shared" si="163"/>
        <v>0.2</v>
      </c>
      <c r="BG98" s="27">
        <f t="shared" si="164"/>
        <v>0</v>
      </c>
      <c r="BH98" s="27">
        <f t="shared" si="165"/>
        <v>0</v>
      </c>
      <c r="BI98" s="27">
        <f t="shared" si="169"/>
        <v>0.2</v>
      </c>
      <c r="BJ98" s="27">
        <f t="shared" si="170"/>
        <v>1.4634146341463414E-2</v>
      </c>
    </row>
    <row r="99" spans="1:62" ht="22.5">
      <c r="A99" s="8" t="s">
        <v>4</v>
      </c>
      <c r="B99" s="7"/>
      <c r="C99" s="25">
        <v>5</v>
      </c>
      <c r="D99" s="25">
        <v>5</v>
      </c>
      <c r="E99" s="25">
        <v>5</v>
      </c>
      <c r="F99" s="25">
        <v>5</v>
      </c>
      <c r="G99" s="25">
        <v>5</v>
      </c>
      <c r="H99" s="25">
        <v>5</v>
      </c>
      <c r="I99" s="25">
        <v>0.7</v>
      </c>
      <c r="J99" s="25">
        <v>0.3</v>
      </c>
      <c r="K99" s="29"/>
      <c r="L99" s="25">
        <v>5</v>
      </c>
      <c r="M99" s="25">
        <v>5</v>
      </c>
      <c r="N99" s="25">
        <v>5</v>
      </c>
      <c r="O99" s="25">
        <v>5</v>
      </c>
      <c r="P99" s="25">
        <v>5</v>
      </c>
      <c r="Q99" s="25">
        <v>5</v>
      </c>
      <c r="R99" s="25">
        <v>1</v>
      </c>
      <c r="S99" s="25">
        <v>0</v>
      </c>
      <c r="U99" s="9" t="e">
        <f t="shared" si="142"/>
        <v>#N/A</v>
      </c>
      <c r="V99" s="1">
        <f t="shared" ref="V99:V102" si="172">(1-W99)*Y99</f>
        <v>5.1219512195121948E-2</v>
      </c>
      <c r="W99" s="11">
        <f t="shared" si="166"/>
        <v>0.3</v>
      </c>
      <c r="X99" s="12">
        <v>3</v>
      </c>
      <c r="Y99" s="10">
        <f t="shared" si="167"/>
        <v>7.3170731707317069E-2</v>
      </c>
      <c r="Z99" s="18"/>
      <c r="AA99" s="18"/>
      <c r="AB99" s="18"/>
      <c r="AC99" s="18"/>
      <c r="AD99" s="18"/>
      <c r="AE99" s="18"/>
      <c r="AF99" s="18">
        <v>0</v>
      </c>
      <c r="AG99" s="18">
        <v>1</v>
      </c>
      <c r="AH99" s="12"/>
      <c r="AI99" s="18">
        <f t="shared" si="143"/>
        <v>0</v>
      </c>
      <c r="AJ99" s="18">
        <f t="shared" si="144"/>
        <v>0</v>
      </c>
      <c r="AK99" s="18">
        <f t="shared" si="145"/>
        <v>0</v>
      </c>
      <c r="AL99" s="18">
        <f t="shared" si="146"/>
        <v>0</v>
      </c>
      <c r="AM99" s="18">
        <f t="shared" si="147"/>
        <v>0</v>
      </c>
      <c r="AN99" s="18">
        <f t="shared" si="148"/>
        <v>0</v>
      </c>
      <c r="AO99" s="18">
        <f t="shared" si="149"/>
        <v>0</v>
      </c>
      <c r="AP99" s="18">
        <f t="shared" si="150"/>
        <v>0.3</v>
      </c>
      <c r="AQ99" s="9"/>
      <c r="AR99" s="18">
        <f t="shared" si="151"/>
        <v>0</v>
      </c>
      <c r="AS99" s="18">
        <f t="shared" si="152"/>
        <v>0</v>
      </c>
      <c r="AT99" s="18">
        <f t="shared" si="153"/>
        <v>0</v>
      </c>
      <c r="AU99" s="18">
        <f t="shared" si="154"/>
        <v>0</v>
      </c>
      <c r="AV99" s="18">
        <f t="shared" si="155"/>
        <v>0</v>
      </c>
      <c r="AW99" s="18">
        <f t="shared" si="156"/>
        <v>0</v>
      </c>
      <c r="AX99" s="18">
        <f t="shared" si="157"/>
        <v>0</v>
      </c>
      <c r="AY99" s="18">
        <f t="shared" si="158"/>
        <v>0</v>
      </c>
      <c r="BA99" s="27">
        <f t="shared" si="168"/>
        <v>0</v>
      </c>
      <c r="BB99" s="27">
        <f t="shared" si="159"/>
        <v>0</v>
      </c>
      <c r="BC99" s="27">
        <f t="shared" si="160"/>
        <v>0</v>
      </c>
      <c r="BD99" s="27">
        <f t="shared" si="161"/>
        <v>0</v>
      </c>
      <c r="BE99" s="27">
        <f t="shared" si="162"/>
        <v>0</v>
      </c>
      <c r="BF99" s="27">
        <f t="shared" si="163"/>
        <v>0</v>
      </c>
      <c r="BG99" s="27">
        <f t="shared" si="164"/>
        <v>0</v>
      </c>
      <c r="BH99" s="27">
        <f t="shared" si="165"/>
        <v>0.3</v>
      </c>
      <c r="BI99" s="27">
        <f t="shared" si="169"/>
        <v>0.3</v>
      </c>
      <c r="BJ99" s="27">
        <f t="shared" si="170"/>
        <v>2.1951219512195121E-2</v>
      </c>
    </row>
    <row r="100" spans="1:62" ht="22.5">
      <c r="A100" s="8" t="s">
        <v>22</v>
      </c>
      <c r="B100" s="7"/>
      <c r="C100" s="25">
        <v>5</v>
      </c>
      <c r="D100" s="25">
        <v>5</v>
      </c>
      <c r="E100" s="25">
        <v>5</v>
      </c>
      <c r="F100" s="25">
        <v>5</v>
      </c>
      <c r="G100" s="25">
        <v>5</v>
      </c>
      <c r="H100" s="25">
        <v>5</v>
      </c>
      <c r="I100" s="25">
        <v>1</v>
      </c>
      <c r="J100" s="25">
        <v>0</v>
      </c>
      <c r="K100" s="29"/>
      <c r="L100" s="25">
        <v>5</v>
      </c>
      <c r="M100" s="25">
        <v>5</v>
      </c>
      <c r="N100" s="25">
        <v>5</v>
      </c>
      <c r="O100" s="25">
        <v>5</v>
      </c>
      <c r="P100" s="25">
        <v>5</v>
      </c>
      <c r="Q100" s="25">
        <v>5</v>
      </c>
      <c r="R100" s="25">
        <v>1</v>
      </c>
      <c r="S100" s="25">
        <v>0</v>
      </c>
      <c r="U100" s="9">
        <f t="shared" si="142"/>
        <v>1</v>
      </c>
      <c r="V100" s="1">
        <f t="shared" si="172"/>
        <v>0.12195121951219512</v>
      </c>
      <c r="W100" s="11">
        <f t="shared" si="166"/>
        <v>0</v>
      </c>
      <c r="X100" s="12">
        <v>5</v>
      </c>
      <c r="Y100" s="10">
        <f t="shared" si="167"/>
        <v>0.12195121951219512</v>
      </c>
      <c r="Z100" s="18"/>
      <c r="AA100" s="18"/>
      <c r="AB100" s="18"/>
      <c r="AC100" s="18"/>
      <c r="AD100" s="18"/>
      <c r="AE100" s="18"/>
      <c r="AF100" s="18">
        <v>0</v>
      </c>
      <c r="AG100" s="18">
        <v>1</v>
      </c>
      <c r="AH100" s="12"/>
      <c r="AI100" s="18">
        <f t="shared" si="143"/>
        <v>0</v>
      </c>
      <c r="AJ100" s="18">
        <f t="shared" si="144"/>
        <v>0</v>
      </c>
      <c r="AK100" s="18">
        <f t="shared" si="145"/>
        <v>0</v>
      </c>
      <c r="AL100" s="18">
        <f t="shared" si="146"/>
        <v>0</v>
      </c>
      <c r="AM100" s="18">
        <f t="shared" si="147"/>
        <v>0</v>
      </c>
      <c r="AN100" s="18">
        <f t="shared" si="148"/>
        <v>0</v>
      </c>
      <c r="AO100" s="18">
        <f t="shared" si="149"/>
        <v>0</v>
      </c>
      <c r="AP100" s="18">
        <f t="shared" si="150"/>
        <v>0</v>
      </c>
      <c r="AQ100" s="9"/>
      <c r="AR100" s="18">
        <f t="shared" si="151"/>
        <v>0</v>
      </c>
      <c r="AS100" s="18">
        <f t="shared" si="152"/>
        <v>0</v>
      </c>
      <c r="AT100" s="18">
        <f t="shared" si="153"/>
        <v>0</v>
      </c>
      <c r="AU100" s="18">
        <f t="shared" si="154"/>
        <v>0</v>
      </c>
      <c r="AV100" s="18">
        <f t="shared" si="155"/>
        <v>0</v>
      </c>
      <c r="AW100" s="18">
        <f t="shared" si="156"/>
        <v>0</v>
      </c>
      <c r="AX100" s="18">
        <f t="shared" si="157"/>
        <v>0</v>
      </c>
      <c r="AY100" s="18">
        <f t="shared" si="158"/>
        <v>0</v>
      </c>
      <c r="BA100" s="27">
        <f t="shared" si="168"/>
        <v>0</v>
      </c>
      <c r="BB100" s="27">
        <f t="shared" si="159"/>
        <v>0</v>
      </c>
      <c r="BC100" s="27">
        <f t="shared" si="160"/>
        <v>0</v>
      </c>
      <c r="BD100" s="27">
        <f t="shared" si="161"/>
        <v>0</v>
      </c>
      <c r="BE100" s="27">
        <f t="shared" si="162"/>
        <v>0</v>
      </c>
      <c r="BF100" s="27">
        <f t="shared" si="163"/>
        <v>0</v>
      </c>
      <c r="BG100" s="27">
        <f t="shared" si="164"/>
        <v>0</v>
      </c>
      <c r="BH100" s="27">
        <f t="shared" si="165"/>
        <v>0</v>
      </c>
      <c r="BI100" s="27">
        <f t="shared" si="169"/>
        <v>0</v>
      </c>
      <c r="BJ100" s="27">
        <f t="shared" si="170"/>
        <v>0</v>
      </c>
    </row>
    <row r="101" spans="1:62" ht="22.5">
      <c r="A101" s="8" t="s">
        <v>23</v>
      </c>
      <c r="B101" s="7"/>
      <c r="C101" s="25">
        <v>5</v>
      </c>
      <c r="D101" s="25">
        <v>5</v>
      </c>
      <c r="E101" s="25">
        <v>5</v>
      </c>
      <c r="F101" s="25">
        <v>5</v>
      </c>
      <c r="G101" s="25">
        <v>5</v>
      </c>
      <c r="H101" s="25">
        <v>5</v>
      </c>
      <c r="I101" s="25">
        <v>0</v>
      </c>
      <c r="J101" s="25">
        <v>1</v>
      </c>
      <c r="K101" s="29"/>
      <c r="L101" s="25">
        <v>5</v>
      </c>
      <c r="M101" s="25">
        <v>5</v>
      </c>
      <c r="N101" s="25">
        <v>5</v>
      </c>
      <c r="O101" s="25">
        <v>5</v>
      </c>
      <c r="P101" s="25">
        <v>5</v>
      </c>
      <c r="Q101" s="25">
        <v>5</v>
      </c>
      <c r="R101" s="25">
        <v>0</v>
      </c>
      <c r="S101" s="25">
        <v>1</v>
      </c>
      <c r="U101" s="9">
        <f>IF(MATCH(1,C101:J101,0)=MATCH(1,L101:S101,0),1,0)</f>
        <v>1</v>
      </c>
      <c r="V101" s="1">
        <f t="shared" si="172"/>
        <v>2.4390243902439025E-2</v>
      </c>
      <c r="W101" s="11">
        <f>BI101</f>
        <v>0</v>
      </c>
      <c r="X101" s="12">
        <v>1</v>
      </c>
      <c r="Y101" s="10">
        <f t="shared" si="167"/>
        <v>2.4390243902439025E-2</v>
      </c>
      <c r="Z101" s="18"/>
      <c r="AA101" s="18"/>
      <c r="AB101" s="18"/>
      <c r="AC101" s="18"/>
      <c r="AD101" s="18"/>
      <c r="AE101" s="18"/>
      <c r="AF101" s="18">
        <v>0</v>
      </c>
      <c r="AG101" s="18">
        <v>1</v>
      </c>
      <c r="AI101" s="18">
        <f t="shared" si="143"/>
        <v>0</v>
      </c>
      <c r="AJ101" s="18">
        <f t="shared" si="144"/>
        <v>0</v>
      </c>
      <c r="AK101" s="18">
        <f t="shared" si="145"/>
        <v>0</v>
      </c>
      <c r="AL101" s="18">
        <f t="shared" si="146"/>
        <v>0</v>
      </c>
      <c r="AM101" s="18">
        <f t="shared" si="147"/>
        <v>0</v>
      </c>
      <c r="AN101" s="18">
        <f t="shared" si="148"/>
        <v>0</v>
      </c>
      <c r="AO101" s="18">
        <f t="shared" si="149"/>
        <v>0</v>
      </c>
      <c r="AP101" s="18">
        <f t="shared" si="150"/>
        <v>1</v>
      </c>
      <c r="AQ101" s="9" t="s">
        <v>24</v>
      </c>
      <c r="AR101" s="18">
        <f t="shared" si="151"/>
        <v>0</v>
      </c>
      <c r="AS101" s="18">
        <f t="shared" si="152"/>
        <v>0</v>
      </c>
      <c r="AT101" s="18">
        <f t="shared" si="153"/>
        <v>0</v>
      </c>
      <c r="AU101" s="18">
        <f t="shared" si="154"/>
        <v>0</v>
      </c>
      <c r="AV101" s="18">
        <f t="shared" si="155"/>
        <v>0</v>
      </c>
      <c r="AW101" s="18">
        <f t="shared" si="156"/>
        <v>0</v>
      </c>
      <c r="AX101" s="18">
        <f t="shared" si="157"/>
        <v>0</v>
      </c>
      <c r="AY101" s="18">
        <f t="shared" si="158"/>
        <v>1</v>
      </c>
      <c r="BA101" s="27">
        <f t="shared" si="168"/>
        <v>0</v>
      </c>
      <c r="BB101" s="27">
        <f t="shared" si="159"/>
        <v>0</v>
      </c>
      <c r="BC101" s="27">
        <f t="shared" si="160"/>
        <v>0</v>
      </c>
      <c r="BD101" s="27">
        <f t="shared" si="161"/>
        <v>0</v>
      </c>
      <c r="BE101" s="27">
        <f t="shared" si="162"/>
        <v>0</v>
      </c>
      <c r="BF101" s="27">
        <f t="shared" si="163"/>
        <v>0</v>
      </c>
      <c r="BG101" s="27">
        <f t="shared" si="164"/>
        <v>0</v>
      </c>
      <c r="BH101" s="27">
        <f t="shared" si="165"/>
        <v>0</v>
      </c>
      <c r="BI101" s="27">
        <f t="shared" si="169"/>
        <v>0</v>
      </c>
      <c r="BJ101" s="27">
        <f t="shared" si="170"/>
        <v>0</v>
      </c>
    </row>
    <row r="102" spans="1:62" ht="22.5">
      <c r="A102" s="14" t="s">
        <v>5</v>
      </c>
      <c r="B102" s="7"/>
      <c r="C102" s="25">
        <v>5</v>
      </c>
      <c r="D102" s="25">
        <v>5</v>
      </c>
      <c r="E102" s="25">
        <v>5</v>
      </c>
      <c r="F102" s="25">
        <v>5</v>
      </c>
      <c r="G102" s="25">
        <v>5</v>
      </c>
      <c r="H102" s="25">
        <v>5</v>
      </c>
      <c r="I102" s="25">
        <v>0.8</v>
      </c>
      <c r="J102" s="25">
        <v>0.2</v>
      </c>
      <c r="K102" s="29"/>
      <c r="L102" s="25">
        <v>5</v>
      </c>
      <c r="M102" s="25">
        <v>5</v>
      </c>
      <c r="N102" s="25">
        <v>5</v>
      </c>
      <c r="O102" s="25">
        <v>5</v>
      </c>
      <c r="P102" s="25">
        <v>5</v>
      </c>
      <c r="Q102" s="25">
        <v>5</v>
      </c>
      <c r="R102" s="25">
        <v>1</v>
      </c>
      <c r="S102" s="25">
        <v>0</v>
      </c>
      <c r="U102" s="9" t="e">
        <f t="shared" ref="U102" si="173">IF(MATCH(1,C102:J102,0)=MATCH(1,L102:S102,0),1,0)</f>
        <v>#N/A</v>
      </c>
      <c r="V102" s="1">
        <f t="shared" si="172"/>
        <v>9.7560975609756101E-2</v>
      </c>
      <c r="W102" s="11">
        <f t="shared" ref="W102" si="174">BI102</f>
        <v>0.2</v>
      </c>
      <c r="X102" s="12">
        <v>5</v>
      </c>
      <c r="Y102" s="10">
        <f t="shared" si="167"/>
        <v>0.12195121951219512</v>
      </c>
      <c r="Z102" s="18"/>
      <c r="AA102" s="18"/>
      <c r="AB102" s="18"/>
      <c r="AC102" s="18"/>
      <c r="AD102" s="18"/>
      <c r="AE102" s="18"/>
      <c r="AF102" s="18">
        <v>0</v>
      </c>
      <c r="AG102" s="18">
        <v>1</v>
      </c>
      <c r="AH102" s="20"/>
      <c r="AI102" s="18">
        <f t="shared" si="143"/>
        <v>0</v>
      </c>
      <c r="AJ102" s="18">
        <f t="shared" si="144"/>
        <v>0</v>
      </c>
      <c r="AK102" s="18">
        <f t="shared" si="145"/>
        <v>0</v>
      </c>
      <c r="AL102" s="18">
        <f t="shared" si="146"/>
        <v>0</v>
      </c>
      <c r="AM102" s="18">
        <f t="shared" si="147"/>
        <v>0</v>
      </c>
      <c r="AN102" s="18">
        <f t="shared" si="148"/>
        <v>0</v>
      </c>
      <c r="AO102" s="18">
        <f t="shared" si="149"/>
        <v>0</v>
      </c>
      <c r="AP102" s="18">
        <f t="shared" si="150"/>
        <v>0.2</v>
      </c>
      <c r="AQ102" s="9"/>
      <c r="AR102" s="18">
        <f t="shared" si="151"/>
        <v>0</v>
      </c>
      <c r="AS102" s="18">
        <f t="shared" si="152"/>
        <v>0</v>
      </c>
      <c r="AT102" s="18">
        <f t="shared" si="153"/>
        <v>0</v>
      </c>
      <c r="AU102" s="18">
        <f t="shared" si="154"/>
        <v>0</v>
      </c>
      <c r="AV102" s="18">
        <f>P102*AD102</f>
        <v>0</v>
      </c>
      <c r="AW102" s="18">
        <f t="shared" si="156"/>
        <v>0</v>
      </c>
      <c r="AX102" s="18">
        <f t="shared" si="157"/>
        <v>0</v>
      </c>
      <c r="AY102" s="18">
        <f t="shared" si="158"/>
        <v>0</v>
      </c>
      <c r="BA102" s="27">
        <f>(AI102-AR102)</f>
        <v>0</v>
      </c>
      <c r="BB102" s="27">
        <f t="shared" si="159"/>
        <v>0</v>
      </c>
      <c r="BC102" s="27">
        <f t="shared" si="160"/>
        <v>0</v>
      </c>
      <c r="BD102" s="27">
        <f t="shared" si="161"/>
        <v>0</v>
      </c>
      <c r="BE102" s="27">
        <f t="shared" si="162"/>
        <v>0</v>
      </c>
      <c r="BF102" s="27">
        <f t="shared" si="163"/>
        <v>0</v>
      </c>
      <c r="BG102" s="27">
        <f t="shared" si="164"/>
        <v>0</v>
      </c>
      <c r="BH102" s="27">
        <f t="shared" si="165"/>
        <v>0.2</v>
      </c>
      <c r="BI102" s="27">
        <f t="shared" si="169"/>
        <v>0.2</v>
      </c>
      <c r="BJ102" s="27">
        <f t="shared" si="170"/>
        <v>2.4390243902439025E-2</v>
      </c>
    </row>
    <row r="103" spans="1:62">
      <c r="K103" s="36" t="s">
        <v>105</v>
      </c>
      <c r="Z103" s="20"/>
      <c r="AA103" s="20"/>
      <c r="AB103" s="20"/>
      <c r="AC103" s="20"/>
      <c r="AD103" s="20"/>
      <c r="AE103" s="20"/>
      <c r="AF103" s="20"/>
      <c r="AG103" s="20"/>
      <c r="AH103" s="20"/>
    </row>
    <row r="104" spans="1:62">
      <c r="K104" s="36" t="s">
        <v>98</v>
      </c>
    </row>
    <row r="106" spans="1:62">
      <c r="C106" s="10"/>
      <c r="Y106" s="10"/>
    </row>
    <row r="107" spans="1:62">
      <c r="B107" t="s">
        <v>104</v>
      </c>
      <c r="C107" s="12"/>
      <c r="L107" t="s">
        <v>100</v>
      </c>
      <c r="N107" t="str">
        <f>CONCATENATE(B107,$K$103,L107)</f>
        <v>0,1,0.2,0.8,0,1,0,0,1,0,0,0,0,1,0,0,0,1,0,0,1,0,0,0,0,1,0,1,0,1,0,1,0.7,0.3,0.7,0.3,1,0,0,1,0.8,0.2,0,1,0,1,0,1,0,0,1,0,0,0,0,0,1,0,0,1,0,0,0,1,0,0,0,1,0,1,0,1,0,1,1,0,1,0,1,0,0,1,1,0,0.86</v>
      </c>
    </row>
    <row r="109" spans="1:62">
      <c r="B109" t="s">
        <v>117</v>
      </c>
      <c r="C109" s="10"/>
      <c r="L109" t="s">
        <v>116</v>
      </c>
      <c r="N109" t="str">
        <f>CONCATENATE(B109,$K$103,L109)</f>
        <v>0,1,1,0,0,1,0,0,1,0,0,0,0,1,0,0,0,0.2,0.2,0.6,1,0,0,0,0,1,0,1,0,1,0,1,0.8,0.2,0.7,0.3,1,0,0,1,0.8,0.2,0,1,0,1,0,1,0,0,1,0,0,0,0,0,1,0,0,1,0,0,0,1,0,0,0,1,0,1,0,1,0,1,1,0,1,0,1,0,0,1,1,0,0.74</v>
      </c>
    </row>
    <row r="111" spans="1:62">
      <c r="B111" t="s">
        <v>93</v>
      </c>
      <c r="L111" t="s">
        <v>100</v>
      </c>
      <c r="N111" t="str">
        <f t="shared" ref="N111:N117" si="175">CONCATENATE(B111,$K$104,L111)</f>
        <v>0,1,0,1,0,1,0,0,0,0,0,1,0,0,1,0,0,1,0,0,0,0.6,0.4,0,0,1,0,1,0,1,0,1,0.3,0.7,0,1,0,1,0,1,1,0,0,1,0,1,0,1,0,0,0,0,0,1,0,0,1,0,0,1,0,0,1,0,0,0,0,1,0,1,0,1,0,1,1,0,0,1,0,1,0,1,1,0,0.86</v>
      </c>
    </row>
    <row r="112" spans="1:62">
      <c r="C112" s="10"/>
    </row>
    <row r="113" spans="2:14">
      <c r="B113" t="s">
        <v>94</v>
      </c>
      <c r="L113" t="s">
        <v>99</v>
      </c>
      <c r="N113" t="str">
        <f t="shared" si="175"/>
        <v>0,1,0,1,0,1,0,0,0,0,0,1,0,0,1,0,0,0.8,0,0.2,1,0,0,0,0.3,0.7,0,1,1,0,0,1,0,1,0,1,0,1,0,1,1,0,0,1,0,1,0,1,0,0,0,0,0,1,0,0,1,0,0,1,0,0,1,0,0,0,0,1,0,1,0,1,0,1,1,0,0,1,0,1,0,1,1,0,0.8</v>
      </c>
    </row>
    <row r="115" spans="2:14">
      <c r="B115" t="s">
        <v>95</v>
      </c>
      <c r="C115" s="10"/>
      <c r="L115" t="s">
        <v>101</v>
      </c>
      <c r="N115" t="str">
        <f t="shared" si="175"/>
        <v>0,1,0,1,1,0,0,0,0,0,0,1,0,0,1,0,0,1,0,0,0,1,0,0,0,1,0,1,0,1,0,1,1,0,0,1,0,1,0,1,0.7,0.3,0,1,0,1,0,1,0,0,0,0,0,1,0,0,1,0,0,1,0,0,1,0,0,0,0,1,0,1,0,1,0,1,1,0,0,1,0,1,0,1,1,0,0.9</v>
      </c>
    </row>
    <row r="117" spans="2:14">
      <c r="B117" t="s">
        <v>96</v>
      </c>
      <c r="L117" t="s">
        <v>102</v>
      </c>
      <c r="N117" t="str">
        <f t="shared" si="175"/>
        <v>0,1,0,1,1,0,0,0,0,0,0,1,0.8,0.2,0,0,0,1,0,0,0,0,0.6,0.4,0,1,0,1,0,1,0,1,1,0,0,1,0,1,0,1,1,0,0,1,0,1,0,1,0,0,0,0,0,1,0,0,1,0,0,1,0,0,1,0,0,0,0,1,0,1,0,1,0,1,1,0,0,1,0,1,0,1,1,0,0.81</v>
      </c>
    </row>
    <row r="119" spans="2:14">
      <c r="B119" t="s">
        <v>97</v>
      </c>
      <c r="L119" t="s">
        <v>103</v>
      </c>
      <c r="N119" t="str">
        <f>CONCATENATE(B119,$K$103,L119)</f>
        <v>0.2,0.8,0.3,0.7,0,1,0,0,0,0,0,1,0,1,0,0,0,0.8,0.2,0,1,0,0,0,0,1,0,1,0,1,0,1,0.7,0.3,0.7,0.3,1,0,0,1,0.8,0.2,0,1,0,1,0,1,0,0,1,0,0,0,0,0,1,0,0,1,0,0,0,1,0,0,0,1,0,1,0,1,0,1,1,0,1,0,1,0,0,1,1,0,0.61</v>
      </c>
    </row>
    <row r="148" spans="43:43">
      <c r="AQ148" t="s">
        <v>92</v>
      </c>
    </row>
  </sheetData>
  <conditionalFormatting sqref="C107 AH5:AH15 Z2:AH4 AI2:AP17 Z5:AG17 AR2:AY17 BA2:BJ17 AH22:AH32 Z19:AH21 AI19:AP34 Z22:AG34 AR19:AY34 BA19:BJ34 AH39:AH49 Z36:AH38 AI36:AP51 Z39:AG51 AR36:AY51 BA36:BJ51 AH56:AH66 Z53:AH55 AI53:AP68 Z56:AG68 AR53:AY68 BA53:BJ68 AH73:AH83 Z70:AH72 AI70:AP85 Z73:AG85 AR70:AY85 BA70:BJ85 AH90:AH100 Z87:AH89 AI87:AP102 Z90:AG102 AR87:AY102 BA87:BJ102 AI18:AN18 AR18:AW18 BA18:BF18 AI35:AN35 AR35:AW35 BA35:BF35 AI52:AN52 AR52:AW52 BA52:BF52 AI69:AN69 AR69:AW69 BA69:BF69 AI86:AN86 AR86:AW86 BA86:BF86">
    <cfRule type="cellIs" dxfId="17" priority="7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D25"/>
  <sheetViews>
    <sheetView workbookViewId="0">
      <selection activeCell="J29" sqref="J29"/>
    </sheetView>
  </sheetViews>
  <sheetFormatPr defaultRowHeight="15"/>
  <sheetData>
    <row r="1" spans="1:4">
      <c r="A1" t="s">
        <v>38</v>
      </c>
      <c r="B1" s="29" t="s">
        <v>63</v>
      </c>
      <c r="C1" s="33">
        <v>0.89999999999999991</v>
      </c>
      <c r="D1" t="str">
        <f>CONCATENATE(A1,",",B1,",",C1)</f>
        <v>0,1,0,1,0,1,0,0,0,0,0,1,0,0,1,0,0,1,0,0,1,0,0,0,0,1,0,1,0,1,0,1,1,0,0,1,0,1,0,1,1,0,0,1,0,1,0,1,0,0,0,0,0,1,0,0,1,0,0,1,0,0,1,0,0,0,0,1,0,1,0,1,0,1,0,1,0,1,0,1,0,1,1,0,0.9</v>
      </c>
    </row>
    <row r="2" spans="1:4">
      <c r="A2" t="s">
        <v>38</v>
      </c>
      <c r="B2" s="29" t="s">
        <v>64</v>
      </c>
      <c r="C2" s="33">
        <v>0.96599999999999997</v>
      </c>
      <c r="D2" t="str">
        <f t="shared" ref="D2:D6" si="0">CONCATENATE(A2,",",B2,",",C2)</f>
        <v>0,1,0,1,0,1,0,0,0,0,0,1,0,0,1,0,0,1,0,0,1,0,0,0,0,1,0,1,0,1,0,1,1,0,0,1,0,1,0,1,1,0,0,1,0,1,0,1,0,0,0,0,0,1,0,0,1,0,0,1,0,0,1,0,0,0,0,1,1,0,0,1,0,1,1,0,0,1,0,1,0,1,1,0,0.966</v>
      </c>
    </row>
    <row r="3" spans="1:4">
      <c r="A3" t="s">
        <v>38</v>
      </c>
      <c r="B3" s="29" t="s">
        <v>65</v>
      </c>
      <c r="C3" s="33">
        <v>0.93600000000000005</v>
      </c>
      <c r="D3" t="str">
        <f t="shared" si="0"/>
        <v>0,1,0,1,0,1,0,0,0,0,0,1,0,0,1,0,0,1,0,0,1,0,0,0,0,1,0,1,0,1,0,1,1,0,0,1,0,1,0,1,1,0,0,1,0,1,1,0,0,0,0,0,0,1,0,0,1,0,0,1,0,0,1,0,0,0,0,1,0,1,0,1,0,1,1,0,1,0,0,1,0,1,1,0,0.936</v>
      </c>
    </row>
    <row r="4" spans="1:4">
      <c r="A4" t="s">
        <v>38</v>
      </c>
      <c r="B4" s="29" t="s">
        <v>66</v>
      </c>
      <c r="C4" s="33">
        <v>0.86599999999999999</v>
      </c>
      <c r="D4" t="str">
        <f t="shared" si="0"/>
        <v>0,1,0,1,0,1,0,0,0,0,0,1,0,0,1,0,0,1,0,0,1,0,0,0,0,1,0,1,0,1,0,1,1,0,0,1,0,1,0,1,1,0,0,1,1,0,0,1,0,0,0,0,0,1,0,0,1,0,0,1,0,0,1,0,0,0,0,1,0,1,0,1,0,1,0,1,0,1,0,1,0,1,1,0,0.866</v>
      </c>
    </row>
    <row r="5" spans="1:4">
      <c r="A5" t="s">
        <v>38</v>
      </c>
      <c r="B5" s="29" t="s">
        <v>67</v>
      </c>
      <c r="C5" s="33">
        <v>0.8</v>
      </c>
      <c r="D5" t="str">
        <f t="shared" si="0"/>
        <v>0,1,0,1,0,1,0,0,0,0,0,1,0,0,1,0,0,1,0,0,1,0,0,0,0,1,0,1,0,1,0,1,1,0,0,1,0,1,0,1,1,0,1,0,0,1,0,1,0,0,0,0,0,1,1,0,0,0,0,1,0,0,1,0,0,0,1,0,0,1,0,1,0,1,0,1,0,1,1,0,0,1,1,0,0.8</v>
      </c>
    </row>
    <row r="6" spans="1:4">
      <c r="A6" t="s">
        <v>38</v>
      </c>
      <c r="B6" t="s">
        <v>63</v>
      </c>
      <c r="C6" s="33">
        <v>0.89999999999999991</v>
      </c>
      <c r="D6" t="str">
        <f t="shared" si="0"/>
        <v>0,1,0,1,0,1,0,0,0,0,0,1,0,0,1,0,0,1,0,0,1,0,0,0,0,1,0,1,0,1,0,1,1,0,0,1,0,1,0,1,1,0,0,1,0,1,0,1,0,0,0,0,0,1,0,0,1,0,0,1,0,0,1,0,0,0,0,1,0,1,0,1,0,1,0,1,0,1,0,1,0,1,1,0,0.9</v>
      </c>
    </row>
    <row r="7" spans="1:4">
      <c r="D7" s="34" t="s">
        <v>68</v>
      </c>
    </row>
    <row r="8" spans="1:4">
      <c r="D8" s="34" t="s">
        <v>69</v>
      </c>
    </row>
    <row r="9" spans="1:4">
      <c r="D9" s="34" t="s">
        <v>70</v>
      </c>
    </row>
    <row r="10" spans="1:4">
      <c r="D10" s="34" t="s">
        <v>71</v>
      </c>
    </row>
    <row r="11" spans="1:4">
      <c r="D11" s="34" t="s">
        <v>72</v>
      </c>
    </row>
    <row r="12" spans="1:4">
      <c r="D12" s="34" t="s">
        <v>73</v>
      </c>
    </row>
    <row r="13" spans="1:4">
      <c r="D13" s="34" t="s">
        <v>74</v>
      </c>
    </row>
    <row r="14" spans="1:4">
      <c r="D14" s="34" t="s">
        <v>75</v>
      </c>
    </row>
    <row r="15" spans="1:4">
      <c r="D15" s="34" t="s">
        <v>76</v>
      </c>
    </row>
    <row r="16" spans="1:4">
      <c r="D16" s="34" t="s">
        <v>77</v>
      </c>
    </row>
    <row r="17" spans="4:4">
      <c r="D17" s="34" t="s">
        <v>78</v>
      </c>
    </row>
    <row r="18" spans="4:4">
      <c r="D18" s="34" t="s">
        <v>79</v>
      </c>
    </row>
    <row r="19" spans="4:4">
      <c r="D19" s="34" t="s">
        <v>80</v>
      </c>
    </row>
    <row r="20" spans="4:4">
      <c r="D20" s="34" t="s">
        <v>81</v>
      </c>
    </row>
    <row r="21" spans="4:4">
      <c r="D21" s="34" t="s">
        <v>82</v>
      </c>
    </row>
    <row r="22" spans="4:4">
      <c r="D22" s="34" t="s">
        <v>83</v>
      </c>
    </row>
    <row r="23" spans="4:4">
      <c r="D23" s="34" t="s">
        <v>84</v>
      </c>
    </row>
    <row r="24" spans="4:4">
      <c r="D24" s="34" t="s">
        <v>85</v>
      </c>
    </row>
    <row r="25" spans="4:4">
      <c r="D25" s="34" t="s">
        <v>86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7"/>
  <dimension ref="A1:XFD16"/>
  <sheetViews>
    <sheetView workbookViewId="0">
      <selection activeCell="A16" sqref="A16"/>
    </sheetView>
  </sheetViews>
  <sheetFormatPr defaultRowHeight="15"/>
  <sheetData>
    <row r="1" spans="1:16384">
      <c r="A1" t="s">
        <v>87</v>
      </c>
    </row>
    <row r="2" spans="1:16384">
      <c r="A2" t="s">
        <v>88</v>
      </c>
    </row>
    <row r="3" spans="1:16384">
      <c r="A3" s="29" t="s">
        <v>66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29"/>
      <c r="CJ3" s="29"/>
      <c r="CK3" s="29"/>
      <c r="CL3" s="29"/>
      <c r="CM3" s="29"/>
      <c r="CN3" s="29"/>
      <c r="CO3" s="29"/>
      <c r="CP3" s="29"/>
      <c r="CQ3" s="29"/>
      <c r="CR3" s="29"/>
      <c r="CS3" s="29"/>
      <c r="CT3" s="29"/>
      <c r="CU3" s="29"/>
      <c r="CV3" s="29"/>
      <c r="CW3" s="29"/>
      <c r="CX3" s="29"/>
      <c r="CY3" s="29"/>
      <c r="CZ3" s="29"/>
      <c r="DA3" s="29"/>
      <c r="DB3" s="29"/>
      <c r="DC3" s="29"/>
      <c r="DD3" s="29"/>
      <c r="DE3" s="29"/>
      <c r="DF3" s="29"/>
      <c r="DG3" s="29"/>
      <c r="DH3" s="29"/>
      <c r="DI3" s="29"/>
      <c r="DJ3" s="29"/>
      <c r="DK3" s="29"/>
      <c r="DL3" s="29"/>
      <c r="DM3" s="29"/>
      <c r="DN3" s="29"/>
      <c r="DO3" s="29"/>
      <c r="DP3" s="29"/>
      <c r="DQ3" s="29"/>
      <c r="DR3" s="29"/>
      <c r="DS3" s="29"/>
      <c r="DT3" s="29"/>
      <c r="DU3" s="29"/>
      <c r="DV3" s="29"/>
      <c r="DW3" s="29"/>
      <c r="DX3" s="29"/>
      <c r="DY3" s="29"/>
      <c r="DZ3" s="29"/>
      <c r="EA3" s="29"/>
      <c r="EB3" s="29"/>
      <c r="EC3" s="29"/>
      <c r="ED3" s="29"/>
      <c r="EE3" s="29"/>
      <c r="EF3" s="29"/>
      <c r="EG3" s="29"/>
      <c r="EH3" s="29"/>
      <c r="EI3" s="29"/>
      <c r="EJ3" s="29"/>
      <c r="EK3" s="29"/>
      <c r="EL3" s="29"/>
      <c r="EM3" s="29"/>
      <c r="EN3" s="29"/>
      <c r="EO3" s="29"/>
      <c r="EP3" s="29"/>
      <c r="EQ3" s="29"/>
      <c r="ER3" s="29"/>
      <c r="ES3" s="29"/>
      <c r="ET3" s="29"/>
      <c r="EU3" s="29"/>
      <c r="EV3" s="29"/>
      <c r="EW3" s="29"/>
      <c r="EX3" s="29"/>
      <c r="EY3" s="29"/>
      <c r="EZ3" s="29"/>
      <c r="FA3" s="29"/>
      <c r="FB3" s="29"/>
      <c r="FC3" s="29"/>
      <c r="FD3" s="29"/>
      <c r="FE3" s="29"/>
      <c r="FF3" s="29"/>
      <c r="FG3" s="29"/>
      <c r="FH3" s="29"/>
      <c r="FI3" s="29"/>
      <c r="FJ3" s="29"/>
      <c r="FK3" s="29"/>
      <c r="FL3" s="29"/>
      <c r="FM3" s="29"/>
      <c r="FN3" s="29"/>
      <c r="FO3" s="29"/>
      <c r="FP3" s="29"/>
      <c r="FQ3" s="29"/>
      <c r="FR3" s="29"/>
      <c r="FS3" s="29"/>
      <c r="FT3" s="29"/>
      <c r="FU3" s="29"/>
      <c r="FV3" s="29"/>
      <c r="FW3" s="29"/>
      <c r="FX3" s="29"/>
      <c r="FY3" s="29"/>
      <c r="FZ3" s="29"/>
      <c r="GA3" s="29"/>
      <c r="GB3" s="29"/>
      <c r="GC3" s="29"/>
      <c r="GD3" s="29"/>
      <c r="GE3" s="29"/>
      <c r="GF3" s="29"/>
      <c r="GG3" s="29"/>
      <c r="GH3" s="29"/>
      <c r="GI3" s="29"/>
      <c r="GJ3" s="29"/>
      <c r="GK3" s="29"/>
      <c r="GL3" s="29"/>
      <c r="GM3" s="29"/>
      <c r="GN3" s="29"/>
      <c r="GO3" s="29"/>
      <c r="GP3" s="29"/>
      <c r="GQ3" s="29"/>
      <c r="GR3" s="29"/>
      <c r="GS3" s="29"/>
      <c r="GT3" s="29"/>
      <c r="GU3" s="29"/>
      <c r="GV3" s="29"/>
      <c r="GW3" s="29"/>
      <c r="GX3" s="29"/>
      <c r="GY3" s="29"/>
      <c r="GZ3" s="29"/>
      <c r="HA3" s="29"/>
      <c r="HB3" s="29"/>
      <c r="HC3" s="29"/>
      <c r="HD3" s="29"/>
      <c r="HE3" s="29"/>
      <c r="HF3" s="29"/>
      <c r="HG3" s="29"/>
      <c r="HH3" s="29"/>
      <c r="HI3" s="29"/>
      <c r="HJ3" s="29"/>
      <c r="HK3" s="29"/>
      <c r="HL3" s="29"/>
      <c r="HM3" s="29"/>
      <c r="HN3" s="29"/>
      <c r="HO3" s="29"/>
      <c r="HP3" s="29"/>
      <c r="HQ3" s="29"/>
      <c r="HR3" s="29"/>
      <c r="HS3" s="29"/>
      <c r="HT3" s="29"/>
      <c r="HU3" s="29"/>
      <c r="HV3" s="29"/>
      <c r="HW3" s="29"/>
      <c r="HX3" s="29"/>
      <c r="HY3" s="29"/>
      <c r="HZ3" s="29"/>
      <c r="IA3" s="29"/>
      <c r="IB3" s="29"/>
      <c r="IC3" s="29"/>
      <c r="ID3" s="29"/>
      <c r="IE3" s="29"/>
      <c r="IF3" s="29"/>
      <c r="IG3" s="29"/>
      <c r="IH3" s="29"/>
      <c r="II3" s="29"/>
      <c r="IJ3" s="29"/>
      <c r="IK3" s="29"/>
      <c r="IL3" s="29"/>
      <c r="IM3" s="29"/>
      <c r="IN3" s="29"/>
      <c r="IO3" s="29"/>
      <c r="IP3" s="29"/>
      <c r="IQ3" s="29"/>
      <c r="IR3" s="29"/>
      <c r="IS3" s="29"/>
      <c r="IT3" s="29"/>
      <c r="IU3" s="29"/>
      <c r="IV3" s="29"/>
      <c r="IW3" s="29"/>
      <c r="IX3" s="29"/>
      <c r="IY3" s="29"/>
      <c r="IZ3" s="29"/>
      <c r="JA3" s="29"/>
      <c r="JB3" s="29"/>
      <c r="JC3" s="29"/>
      <c r="JD3" s="29"/>
      <c r="JE3" s="29"/>
      <c r="JF3" s="29"/>
      <c r="JG3" s="29"/>
      <c r="JH3" s="29"/>
      <c r="JI3" s="29"/>
      <c r="JJ3" s="29"/>
      <c r="JK3" s="29"/>
      <c r="JL3" s="29"/>
      <c r="JM3" s="29"/>
      <c r="JN3" s="29"/>
      <c r="JO3" s="29"/>
      <c r="JP3" s="29"/>
      <c r="JQ3" s="29"/>
      <c r="JR3" s="29"/>
      <c r="JS3" s="29"/>
      <c r="JT3" s="29"/>
      <c r="JU3" s="29"/>
      <c r="JV3" s="29"/>
      <c r="JW3" s="29"/>
      <c r="JX3" s="29"/>
      <c r="JY3" s="29"/>
      <c r="JZ3" s="29"/>
      <c r="KA3" s="29"/>
      <c r="KB3" s="29"/>
      <c r="KC3" s="29"/>
      <c r="KD3" s="29"/>
      <c r="KE3" s="29"/>
      <c r="KF3" s="29"/>
      <c r="KG3" s="29"/>
      <c r="KH3" s="29"/>
      <c r="KI3" s="29"/>
      <c r="KJ3" s="29"/>
      <c r="KK3" s="29"/>
      <c r="KL3" s="29"/>
      <c r="KM3" s="29"/>
      <c r="KN3" s="29"/>
      <c r="KO3" s="29"/>
      <c r="KP3" s="29"/>
      <c r="KQ3" s="29"/>
      <c r="KR3" s="29"/>
      <c r="KS3" s="29"/>
      <c r="KT3" s="29"/>
      <c r="KU3" s="29"/>
      <c r="KV3" s="29"/>
      <c r="KW3" s="29"/>
      <c r="KX3" s="29"/>
      <c r="KY3" s="29"/>
      <c r="KZ3" s="29"/>
      <c r="LA3" s="29"/>
      <c r="LB3" s="29"/>
      <c r="LC3" s="29"/>
      <c r="LD3" s="29"/>
      <c r="LE3" s="29"/>
      <c r="LF3" s="29"/>
      <c r="LG3" s="29"/>
      <c r="LH3" s="29"/>
      <c r="LI3" s="29"/>
      <c r="LJ3" s="29"/>
      <c r="LK3" s="29"/>
      <c r="LL3" s="29"/>
      <c r="LM3" s="29"/>
      <c r="LN3" s="29"/>
      <c r="LO3" s="29"/>
      <c r="LP3" s="29"/>
      <c r="LQ3" s="29"/>
      <c r="LR3" s="29"/>
      <c r="LS3" s="29"/>
      <c r="LT3" s="29"/>
      <c r="LU3" s="29"/>
      <c r="LV3" s="29"/>
      <c r="LW3" s="29"/>
      <c r="LX3" s="29"/>
      <c r="LY3" s="29"/>
      <c r="LZ3" s="29"/>
      <c r="MA3" s="29"/>
      <c r="MB3" s="29"/>
      <c r="MC3" s="29"/>
      <c r="MD3" s="29"/>
      <c r="ME3" s="29"/>
      <c r="MF3" s="29"/>
      <c r="MG3" s="29"/>
      <c r="MH3" s="29"/>
      <c r="MI3" s="29"/>
      <c r="MJ3" s="29"/>
      <c r="MK3" s="29"/>
      <c r="ML3" s="29"/>
      <c r="MM3" s="29"/>
      <c r="MN3" s="29"/>
      <c r="MO3" s="29"/>
      <c r="MP3" s="29"/>
      <c r="MQ3" s="29"/>
      <c r="MR3" s="29"/>
      <c r="MS3" s="29"/>
      <c r="MT3" s="29"/>
      <c r="MU3" s="29"/>
      <c r="MV3" s="29"/>
      <c r="MW3" s="29"/>
      <c r="MX3" s="29"/>
      <c r="MY3" s="29"/>
      <c r="MZ3" s="29"/>
      <c r="NA3" s="29"/>
      <c r="NB3" s="29"/>
      <c r="NC3" s="29"/>
      <c r="ND3" s="29"/>
      <c r="NE3" s="29"/>
      <c r="NF3" s="29"/>
      <c r="NG3" s="29"/>
      <c r="NH3" s="29"/>
      <c r="NI3" s="29"/>
      <c r="NJ3" s="29"/>
      <c r="NK3" s="29"/>
      <c r="NL3" s="29"/>
      <c r="NM3" s="29"/>
      <c r="NN3" s="29"/>
      <c r="NO3" s="29"/>
      <c r="NP3" s="29"/>
      <c r="NQ3" s="29"/>
      <c r="NR3" s="29"/>
      <c r="NS3" s="29"/>
      <c r="NT3" s="29"/>
      <c r="NU3" s="29"/>
      <c r="NV3" s="29"/>
      <c r="NW3" s="29"/>
      <c r="NX3" s="29"/>
      <c r="NY3" s="29"/>
      <c r="NZ3" s="29"/>
      <c r="OA3" s="29"/>
      <c r="OB3" s="29"/>
      <c r="OC3" s="29"/>
      <c r="OD3" s="29"/>
      <c r="OE3" s="29"/>
      <c r="OF3" s="29"/>
      <c r="OG3" s="29"/>
      <c r="OH3" s="29"/>
      <c r="OI3" s="29"/>
      <c r="OJ3" s="29"/>
      <c r="OK3" s="29"/>
      <c r="OL3" s="29"/>
      <c r="OM3" s="29"/>
      <c r="ON3" s="29"/>
      <c r="OO3" s="29"/>
      <c r="OP3" s="29"/>
      <c r="OQ3" s="29"/>
      <c r="OR3" s="29"/>
      <c r="OS3" s="29"/>
      <c r="OT3" s="29"/>
      <c r="OU3" s="29"/>
      <c r="OV3" s="29"/>
      <c r="OW3" s="29"/>
      <c r="OX3" s="29"/>
      <c r="OY3" s="29"/>
      <c r="OZ3" s="29"/>
      <c r="PA3" s="29"/>
      <c r="PB3" s="29"/>
      <c r="PC3" s="29"/>
      <c r="PD3" s="29"/>
      <c r="PE3" s="29"/>
      <c r="PF3" s="29"/>
      <c r="PG3" s="29"/>
      <c r="PH3" s="29"/>
      <c r="PI3" s="29"/>
      <c r="PJ3" s="29"/>
      <c r="PK3" s="29"/>
      <c r="PL3" s="29"/>
      <c r="PM3" s="29"/>
      <c r="PN3" s="29"/>
      <c r="PO3" s="29"/>
      <c r="PP3" s="29"/>
      <c r="PQ3" s="29"/>
      <c r="PR3" s="29"/>
      <c r="PS3" s="29"/>
      <c r="PT3" s="29"/>
      <c r="PU3" s="29"/>
      <c r="PV3" s="29"/>
      <c r="PW3" s="29"/>
      <c r="PX3" s="29"/>
      <c r="PY3" s="29"/>
      <c r="PZ3" s="29"/>
      <c r="QA3" s="29"/>
      <c r="QB3" s="29"/>
      <c r="QC3" s="29"/>
      <c r="QD3" s="29"/>
      <c r="QE3" s="29"/>
      <c r="QF3" s="29"/>
      <c r="QG3" s="29"/>
      <c r="QH3" s="29"/>
      <c r="QI3" s="29"/>
      <c r="QJ3" s="29"/>
      <c r="QK3" s="29"/>
      <c r="QL3" s="29"/>
      <c r="QM3" s="29"/>
      <c r="QN3" s="29"/>
      <c r="QO3" s="29"/>
      <c r="QP3" s="29"/>
      <c r="QQ3" s="29"/>
      <c r="QR3" s="29"/>
      <c r="QS3" s="29"/>
      <c r="QT3" s="29"/>
      <c r="QU3" s="29"/>
      <c r="QV3" s="29"/>
      <c r="QW3" s="29"/>
      <c r="QX3" s="29"/>
      <c r="QY3" s="29"/>
      <c r="QZ3" s="29"/>
      <c r="RA3" s="29"/>
      <c r="RB3" s="29"/>
      <c r="RC3" s="29"/>
      <c r="RD3" s="29"/>
      <c r="RE3" s="29"/>
      <c r="RF3" s="29"/>
      <c r="RG3" s="29"/>
      <c r="RH3" s="29"/>
      <c r="RI3" s="29"/>
      <c r="RJ3" s="29"/>
      <c r="RK3" s="29"/>
      <c r="RL3" s="29"/>
      <c r="RM3" s="29"/>
      <c r="RN3" s="29"/>
      <c r="RO3" s="29"/>
      <c r="RP3" s="29"/>
      <c r="RQ3" s="29"/>
      <c r="RR3" s="29"/>
      <c r="RS3" s="29"/>
      <c r="RT3" s="29"/>
      <c r="RU3" s="29"/>
      <c r="RV3" s="29"/>
      <c r="RW3" s="29"/>
      <c r="RX3" s="29"/>
      <c r="RY3" s="29"/>
      <c r="RZ3" s="29"/>
      <c r="SA3" s="29"/>
      <c r="SB3" s="29"/>
      <c r="SC3" s="29"/>
      <c r="SD3" s="29"/>
      <c r="SE3" s="29"/>
      <c r="SF3" s="29"/>
      <c r="SG3" s="29"/>
      <c r="SH3" s="29"/>
      <c r="SI3" s="29"/>
      <c r="SJ3" s="29"/>
      <c r="SK3" s="29"/>
      <c r="SL3" s="29"/>
      <c r="SM3" s="29"/>
      <c r="SN3" s="29"/>
      <c r="SO3" s="29"/>
      <c r="SP3" s="29"/>
      <c r="SQ3" s="29"/>
      <c r="SR3" s="29"/>
      <c r="SS3" s="29"/>
      <c r="ST3" s="29"/>
      <c r="SU3" s="29"/>
      <c r="SV3" s="29"/>
      <c r="SW3" s="29"/>
      <c r="SX3" s="29"/>
      <c r="SY3" s="29"/>
      <c r="SZ3" s="29"/>
      <c r="TA3" s="29"/>
      <c r="TB3" s="29"/>
      <c r="TC3" s="29"/>
      <c r="TD3" s="29"/>
      <c r="TE3" s="29"/>
      <c r="TF3" s="29"/>
      <c r="TG3" s="29"/>
      <c r="TH3" s="29"/>
      <c r="TI3" s="29"/>
      <c r="TJ3" s="29"/>
      <c r="TK3" s="29"/>
      <c r="TL3" s="29"/>
      <c r="TM3" s="29"/>
      <c r="TN3" s="29"/>
      <c r="TO3" s="29"/>
      <c r="TP3" s="29"/>
      <c r="TQ3" s="29"/>
      <c r="TR3" s="29"/>
      <c r="TS3" s="29"/>
      <c r="TT3" s="29"/>
      <c r="TU3" s="29"/>
      <c r="TV3" s="29"/>
      <c r="TW3" s="29"/>
      <c r="TX3" s="29"/>
      <c r="TY3" s="29"/>
      <c r="TZ3" s="29"/>
      <c r="UA3" s="29"/>
      <c r="UB3" s="29"/>
      <c r="UC3" s="29"/>
      <c r="UD3" s="29"/>
      <c r="UE3" s="29"/>
      <c r="UF3" s="29"/>
      <c r="UG3" s="29"/>
      <c r="UH3" s="29"/>
      <c r="UI3" s="29"/>
      <c r="UJ3" s="29"/>
      <c r="UK3" s="29"/>
      <c r="UL3" s="29"/>
      <c r="UM3" s="29"/>
      <c r="UN3" s="29"/>
      <c r="UO3" s="29"/>
      <c r="UP3" s="29"/>
      <c r="UQ3" s="29"/>
      <c r="UR3" s="29"/>
      <c r="US3" s="29"/>
      <c r="UT3" s="29"/>
      <c r="UU3" s="29"/>
      <c r="UV3" s="29"/>
      <c r="UW3" s="29"/>
      <c r="UX3" s="29"/>
      <c r="UY3" s="29"/>
      <c r="UZ3" s="29"/>
      <c r="VA3" s="29"/>
      <c r="VB3" s="29"/>
      <c r="VC3" s="29"/>
      <c r="VD3" s="29"/>
      <c r="VE3" s="29"/>
      <c r="VF3" s="29"/>
      <c r="VG3" s="29"/>
      <c r="VH3" s="29"/>
      <c r="VI3" s="29"/>
      <c r="VJ3" s="29"/>
      <c r="VK3" s="29"/>
      <c r="VL3" s="29"/>
      <c r="VM3" s="29"/>
      <c r="VN3" s="29"/>
      <c r="VO3" s="29"/>
      <c r="VP3" s="29"/>
      <c r="VQ3" s="29"/>
      <c r="VR3" s="29"/>
      <c r="VS3" s="29"/>
      <c r="VT3" s="29"/>
      <c r="VU3" s="29"/>
      <c r="VV3" s="29"/>
      <c r="VW3" s="29"/>
      <c r="VX3" s="29"/>
      <c r="VY3" s="29"/>
      <c r="VZ3" s="29"/>
      <c r="WA3" s="29"/>
      <c r="WB3" s="29"/>
      <c r="WC3" s="29"/>
      <c r="WD3" s="29"/>
      <c r="WE3" s="29"/>
      <c r="WF3" s="29"/>
      <c r="WG3" s="29"/>
      <c r="WH3" s="29"/>
      <c r="WI3" s="29"/>
      <c r="WJ3" s="29"/>
      <c r="WK3" s="29"/>
      <c r="WL3" s="29"/>
      <c r="WM3" s="29"/>
      <c r="WN3" s="29"/>
      <c r="WO3" s="29"/>
      <c r="WP3" s="29"/>
      <c r="WQ3" s="29"/>
      <c r="WR3" s="29"/>
      <c r="WS3" s="29"/>
      <c r="WT3" s="29"/>
      <c r="WU3" s="29"/>
      <c r="WV3" s="29"/>
      <c r="WW3" s="29"/>
      <c r="WX3" s="29"/>
      <c r="WY3" s="29"/>
      <c r="WZ3" s="29"/>
      <c r="XA3" s="29"/>
      <c r="XB3" s="29"/>
      <c r="XC3" s="29"/>
      <c r="XD3" s="29"/>
      <c r="XE3" s="29"/>
      <c r="XF3" s="29"/>
      <c r="XG3" s="29"/>
      <c r="XH3" s="29"/>
      <c r="XI3" s="29"/>
      <c r="XJ3" s="29"/>
      <c r="XK3" s="29"/>
      <c r="XL3" s="29"/>
      <c r="XM3" s="29"/>
      <c r="XN3" s="29"/>
      <c r="XO3" s="29"/>
      <c r="XP3" s="29"/>
      <c r="XQ3" s="29"/>
      <c r="XR3" s="29"/>
      <c r="XS3" s="29"/>
      <c r="XT3" s="29"/>
      <c r="XU3" s="29"/>
      <c r="XV3" s="29"/>
      <c r="XW3" s="29"/>
      <c r="XX3" s="29"/>
      <c r="XY3" s="29"/>
      <c r="XZ3" s="29"/>
      <c r="YA3" s="29"/>
      <c r="YB3" s="29"/>
      <c r="YC3" s="29"/>
      <c r="YD3" s="29"/>
      <c r="YE3" s="29"/>
      <c r="YF3" s="29"/>
      <c r="YG3" s="29"/>
      <c r="YH3" s="29"/>
      <c r="YI3" s="29"/>
      <c r="YJ3" s="29"/>
      <c r="YK3" s="29"/>
      <c r="YL3" s="29"/>
      <c r="YM3" s="29"/>
      <c r="YN3" s="29"/>
      <c r="YO3" s="29"/>
      <c r="YP3" s="29"/>
      <c r="YQ3" s="29"/>
      <c r="YR3" s="29"/>
      <c r="YS3" s="29"/>
      <c r="YT3" s="29"/>
      <c r="YU3" s="29"/>
      <c r="YV3" s="29"/>
      <c r="YW3" s="29"/>
      <c r="YX3" s="29"/>
      <c r="YY3" s="29"/>
      <c r="YZ3" s="29"/>
      <c r="ZA3" s="29"/>
      <c r="ZB3" s="29"/>
      <c r="ZC3" s="29"/>
      <c r="ZD3" s="29"/>
      <c r="ZE3" s="29"/>
      <c r="ZF3" s="29"/>
      <c r="ZG3" s="29"/>
      <c r="ZH3" s="29"/>
      <c r="ZI3" s="29"/>
      <c r="ZJ3" s="29"/>
      <c r="ZK3" s="29"/>
      <c r="ZL3" s="29"/>
      <c r="ZM3" s="29"/>
      <c r="ZN3" s="29"/>
      <c r="ZO3" s="29"/>
      <c r="ZP3" s="29"/>
      <c r="ZQ3" s="29"/>
      <c r="ZR3" s="29"/>
      <c r="ZS3" s="29"/>
      <c r="ZT3" s="29"/>
      <c r="ZU3" s="29"/>
      <c r="ZV3" s="29"/>
      <c r="ZW3" s="29"/>
      <c r="ZX3" s="29"/>
      <c r="ZY3" s="29"/>
      <c r="ZZ3" s="29"/>
      <c r="AAA3" s="29"/>
      <c r="AAB3" s="29"/>
      <c r="AAC3" s="29"/>
      <c r="AAD3" s="29"/>
      <c r="AAE3" s="29"/>
      <c r="AAF3" s="29"/>
      <c r="AAG3" s="29"/>
      <c r="AAH3" s="29"/>
      <c r="AAI3" s="29"/>
      <c r="AAJ3" s="29"/>
      <c r="AAK3" s="29"/>
      <c r="AAL3" s="29"/>
      <c r="AAM3" s="29"/>
      <c r="AAN3" s="29"/>
      <c r="AAO3" s="29"/>
      <c r="AAP3" s="29"/>
      <c r="AAQ3" s="29"/>
      <c r="AAR3" s="29"/>
      <c r="AAS3" s="29"/>
      <c r="AAT3" s="29"/>
      <c r="AAU3" s="29"/>
      <c r="AAV3" s="29"/>
      <c r="AAW3" s="29"/>
      <c r="AAX3" s="29"/>
      <c r="AAY3" s="29"/>
      <c r="AAZ3" s="29"/>
      <c r="ABA3" s="29"/>
      <c r="ABB3" s="29"/>
      <c r="ABC3" s="29"/>
      <c r="ABD3" s="29"/>
      <c r="ABE3" s="29"/>
      <c r="ABF3" s="29"/>
      <c r="ABG3" s="29"/>
      <c r="ABH3" s="29"/>
      <c r="ABI3" s="29"/>
      <c r="ABJ3" s="29"/>
      <c r="ABK3" s="29"/>
      <c r="ABL3" s="29"/>
      <c r="ABM3" s="29"/>
      <c r="ABN3" s="29"/>
      <c r="ABO3" s="29"/>
      <c r="ABP3" s="29"/>
      <c r="ABQ3" s="29"/>
      <c r="ABR3" s="29"/>
      <c r="ABS3" s="29"/>
      <c r="ABT3" s="29"/>
      <c r="ABU3" s="29"/>
      <c r="ABV3" s="29"/>
      <c r="ABW3" s="29"/>
      <c r="ABX3" s="29"/>
      <c r="ABY3" s="29"/>
      <c r="ABZ3" s="29"/>
      <c r="ACA3" s="29"/>
      <c r="ACB3" s="29"/>
      <c r="ACC3" s="29"/>
      <c r="ACD3" s="29"/>
      <c r="ACE3" s="29"/>
      <c r="ACF3" s="29"/>
      <c r="ACG3" s="29"/>
      <c r="ACH3" s="29"/>
      <c r="ACI3" s="29"/>
      <c r="ACJ3" s="29"/>
      <c r="ACK3" s="29"/>
      <c r="ACL3" s="29"/>
      <c r="ACM3" s="29"/>
      <c r="ACN3" s="29"/>
      <c r="ACO3" s="29"/>
      <c r="ACP3" s="29"/>
      <c r="ACQ3" s="29"/>
      <c r="ACR3" s="29"/>
      <c r="ACS3" s="29"/>
      <c r="ACT3" s="29"/>
      <c r="ACU3" s="29"/>
      <c r="ACV3" s="29"/>
      <c r="ACW3" s="29"/>
      <c r="ACX3" s="29"/>
      <c r="ACY3" s="29"/>
      <c r="ACZ3" s="29"/>
      <c r="ADA3" s="29"/>
      <c r="ADB3" s="29"/>
      <c r="ADC3" s="29"/>
      <c r="ADD3" s="29"/>
      <c r="ADE3" s="29"/>
      <c r="ADF3" s="29"/>
      <c r="ADG3" s="29"/>
      <c r="ADH3" s="29"/>
      <c r="ADI3" s="29"/>
      <c r="ADJ3" s="29"/>
      <c r="ADK3" s="29"/>
      <c r="ADL3" s="29"/>
      <c r="ADM3" s="29"/>
      <c r="ADN3" s="29"/>
      <c r="ADO3" s="29"/>
      <c r="ADP3" s="29"/>
      <c r="ADQ3" s="29"/>
      <c r="ADR3" s="29"/>
      <c r="ADS3" s="29"/>
      <c r="ADT3" s="29"/>
      <c r="ADU3" s="29"/>
      <c r="ADV3" s="29"/>
      <c r="ADW3" s="29"/>
      <c r="ADX3" s="29"/>
      <c r="ADY3" s="29"/>
      <c r="ADZ3" s="29"/>
      <c r="AEA3" s="29"/>
      <c r="AEB3" s="29"/>
      <c r="AEC3" s="29"/>
      <c r="AED3" s="29"/>
      <c r="AEE3" s="29"/>
      <c r="AEF3" s="29"/>
      <c r="AEG3" s="29"/>
      <c r="AEH3" s="29"/>
      <c r="AEI3" s="29"/>
      <c r="AEJ3" s="29"/>
      <c r="AEK3" s="29"/>
      <c r="AEL3" s="29"/>
      <c r="AEM3" s="29"/>
      <c r="AEN3" s="29"/>
      <c r="AEO3" s="29"/>
      <c r="AEP3" s="29"/>
      <c r="AEQ3" s="29"/>
      <c r="AER3" s="29"/>
      <c r="AES3" s="29"/>
      <c r="AET3" s="29"/>
      <c r="AEU3" s="29"/>
      <c r="AEV3" s="29"/>
      <c r="AEW3" s="29"/>
      <c r="AEX3" s="29"/>
      <c r="AEY3" s="29"/>
      <c r="AEZ3" s="29"/>
      <c r="AFA3" s="29"/>
      <c r="AFB3" s="29"/>
      <c r="AFC3" s="29"/>
      <c r="AFD3" s="29"/>
      <c r="AFE3" s="29"/>
      <c r="AFF3" s="29"/>
      <c r="AFG3" s="29"/>
      <c r="AFH3" s="29"/>
      <c r="AFI3" s="29"/>
      <c r="AFJ3" s="29"/>
      <c r="AFK3" s="29"/>
      <c r="AFL3" s="29"/>
      <c r="AFM3" s="29"/>
      <c r="AFN3" s="29"/>
      <c r="AFO3" s="29"/>
      <c r="AFP3" s="29"/>
      <c r="AFQ3" s="29"/>
      <c r="AFR3" s="29"/>
      <c r="AFS3" s="29"/>
      <c r="AFT3" s="29"/>
      <c r="AFU3" s="29"/>
      <c r="AFV3" s="29"/>
      <c r="AFW3" s="29"/>
      <c r="AFX3" s="29"/>
      <c r="AFY3" s="29"/>
      <c r="AFZ3" s="29"/>
      <c r="AGA3" s="29"/>
      <c r="AGB3" s="29"/>
      <c r="AGC3" s="29"/>
      <c r="AGD3" s="29"/>
      <c r="AGE3" s="29"/>
      <c r="AGF3" s="29"/>
      <c r="AGG3" s="29"/>
      <c r="AGH3" s="29"/>
      <c r="AGI3" s="29"/>
      <c r="AGJ3" s="29"/>
      <c r="AGK3" s="29"/>
      <c r="AGL3" s="29"/>
      <c r="AGM3" s="29"/>
      <c r="AGN3" s="29"/>
      <c r="AGO3" s="29"/>
      <c r="AGP3" s="29"/>
      <c r="AGQ3" s="29"/>
      <c r="AGR3" s="29"/>
      <c r="AGS3" s="29"/>
      <c r="AGT3" s="29"/>
      <c r="AGU3" s="29"/>
      <c r="AGV3" s="29"/>
      <c r="AGW3" s="29"/>
      <c r="AGX3" s="29"/>
      <c r="AGY3" s="29"/>
      <c r="AGZ3" s="29"/>
      <c r="AHA3" s="29"/>
      <c r="AHB3" s="29"/>
      <c r="AHC3" s="29"/>
      <c r="AHD3" s="29"/>
      <c r="AHE3" s="29"/>
      <c r="AHF3" s="29"/>
      <c r="AHG3" s="29"/>
      <c r="AHH3" s="29"/>
      <c r="AHI3" s="29"/>
      <c r="AHJ3" s="29"/>
      <c r="AHK3" s="29"/>
      <c r="AHL3" s="29"/>
      <c r="AHM3" s="29"/>
      <c r="AHN3" s="29"/>
      <c r="AHO3" s="29"/>
      <c r="AHP3" s="29"/>
      <c r="AHQ3" s="29"/>
      <c r="AHR3" s="29"/>
      <c r="AHS3" s="29"/>
      <c r="AHT3" s="29"/>
      <c r="AHU3" s="29"/>
      <c r="AHV3" s="29"/>
      <c r="AHW3" s="29"/>
      <c r="AHX3" s="29"/>
      <c r="AHY3" s="29"/>
      <c r="AHZ3" s="29"/>
      <c r="AIA3" s="29"/>
      <c r="AIB3" s="29"/>
      <c r="AIC3" s="29"/>
      <c r="AID3" s="29"/>
      <c r="AIE3" s="29"/>
      <c r="AIF3" s="29"/>
      <c r="AIG3" s="29"/>
      <c r="AIH3" s="29"/>
      <c r="AII3" s="29"/>
      <c r="AIJ3" s="29"/>
      <c r="AIK3" s="29"/>
      <c r="AIL3" s="29"/>
      <c r="AIM3" s="29"/>
      <c r="AIN3" s="29"/>
      <c r="AIO3" s="29"/>
      <c r="AIP3" s="29"/>
      <c r="AIQ3" s="29"/>
      <c r="AIR3" s="29"/>
      <c r="AIS3" s="29"/>
      <c r="AIT3" s="29"/>
      <c r="AIU3" s="29"/>
      <c r="AIV3" s="29"/>
      <c r="AIW3" s="29"/>
      <c r="AIX3" s="29"/>
      <c r="AIY3" s="29"/>
      <c r="AIZ3" s="29"/>
      <c r="AJA3" s="29"/>
      <c r="AJB3" s="29"/>
      <c r="AJC3" s="29"/>
      <c r="AJD3" s="29"/>
      <c r="AJE3" s="29"/>
      <c r="AJF3" s="29"/>
      <c r="AJG3" s="29"/>
      <c r="AJH3" s="29"/>
      <c r="AJI3" s="29"/>
      <c r="AJJ3" s="29"/>
      <c r="AJK3" s="29"/>
      <c r="AJL3" s="29"/>
      <c r="AJM3" s="29"/>
      <c r="AJN3" s="29"/>
      <c r="AJO3" s="29"/>
      <c r="AJP3" s="29"/>
      <c r="AJQ3" s="29"/>
      <c r="AJR3" s="29"/>
      <c r="AJS3" s="29"/>
      <c r="AJT3" s="29"/>
      <c r="AJU3" s="29"/>
      <c r="AJV3" s="29"/>
      <c r="AJW3" s="29"/>
      <c r="AJX3" s="29"/>
      <c r="AJY3" s="29"/>
      <c r="AJZ3" s="29"/>
      <c r="AKA3" s="29"/>
      <c r="AKB3" s="29"/>
      <c r="AKC3" s="29"/>
      <c r="AKD3" s="29"/>
      <c r="AKE3" s="29"/>
      <c r="AKF3" s="29"/>
      <c r="AKG3" s="29"/>
      <c r="AKH3" s="29"/>
      <c r="AKI3" s="29"/>
      <c r="AKJ3" s="29"/>
      <c r="AKK3" s="29"/>
      <c r="AKL3" s="29"/>
      <c r="AKM3" s="29"/>
      <c r="AKN3" s="29"/>
      <c r="AKO3" s="29"/>
      <c r="AKP3" s="29"/>
      <c r="AKQ3" s="29"/>
      <c r="AKR3" s="29"/>
      <c r="AKS3" s="29"/>
      <c r="AKT3" s="29"/>
      <c r="AKU3" s="29"/>
      <c r="AKV3" s="29"/>
      <c r="AKW3" s="29"/>
      <c r="AKX3" s="29"/>
      <c r="AKY3" s="29"/>
      <c r="AKZ3" s="29"/>
      <c r="ALA3" s="29"/>
      <c r="ALB3" s="29"/>
      <c r="ALC3" s="29"/>
      <c r="ALD3" s="29"/>
      <c r="ALE3" s="29"/>
      <c r="ALF3" s="29"/>
      <c r="ALG3" s="29"/>
      <c r="ALH3" s="29"/>
      <c r="ALI3" s="29"/>
      <c r="ALJ3" s="29"/>
      <c r="ALK3" s="29"/>
      <c r="ALL3" s="29"/>
      <c r="ALM3" s="29"/>
      <c r="ALN3" s="29"/>
      <c r="ALO3" s="29"/>
      <c r="ALP3" s="29"/>
      <c r="ALQ3" s="29"/>
      <c r="ALR3" s="29"/>
      <c r="ALS3" s="29"/>
      <c r="ALT3" s="29"/>
      <c r="ALU3" s="29"/>
      <c r="ALV3" s="29"/>
      <c r="ALW3" s="29"/>
      <c r="ALX3" s="29"/>
      <c r="ALY3" s="29"/>
      <c r="ALZ3" s="29"/>
      <c r="AMA3" s="29"/>
      <c r="AMB3" s="29"/>
      <c r="AMC3" s="29"/>
      <c r="AMD3" s="29"/>
      <c r="AME3" s="29"/>
      <c r="AMF3" s="29"/>
      <c r="AMG3" s="29"/>
      <c r="AMH3" s="29"/>
      <c r="AMI3" s="29"/>
      <c r="AMJ3" s="29"/>
      <c r="AMK3" s="29"/>
      <c r="AML3" s="29"/>
      <c r="AMM3" s="29"/>
      <c r="AMN3" s="29"/>
      <c r="AMO3" s="29"/>
      <c r="AMP3" s="29"/>
      <c r="AMQ3" s="29"/>
      <c r="AMR3" s="29"/>
      <c r="AMS3" s="29"/>
      <c r="AMT3" s="29"/>
      <c r="AMU3" s="29"/>
      <c r="AMV3" s="29"/>
      <c r="AMW3" s="29"/>
      <c r="AMX3" s="29"/>
      <c r="AMY3" s="29"/>
      <c r="AMZ3" s="29"/>
      <c r="ANA3" s="29"/>
      <c r="ANB3" s="29"/>
      <c r="ANC3" s="29"/>
      <c r="AND3" s="29"/>
      <c r="ANE3" s="29"/>
      <c r="ANF3" s="29"/>
      <c r="ANG3" s="29"/>
      <c r="ANH3" s="29"/>
      <c r="ANI3" s="29"/>
      <c r="ANJ3" s="29"/>
      <c r="ANK3" s="29"/>
      <c r="ANL3" s="29"/>
      <c r="ANM3" s="29"/>
      <c r="ANN3" s="29"/>
      <c r="ANO3" s="29"/>
      <c r="ANP3" s="29"/>
      <c r="ANQ3" s="29"/>
      <c r="ANR3" s="29"/>
      <c r="ANS3" s="29"/>
      <c r="ANT3" s="29"/>
      <c r="ANU3" s="29"/>
      <c r="ANV3" s="29"/>
      <c r="ANW3" s="29"/>
      <c r="ANX3" s="29"/>
      <c r="ANY3" s="29"/>
      <c r="ANZ3" s="29"/>
      <c r="AOA3" s="29"/>
      <c r="AOB3" s="29"/>
      <c r="AOC3" s="29"/>
      <c r="AOD3" s="29"/>
      <c r="AOE3" s="29"/>
      <c r="AOF3" s="29"/>
      <c r="AOG3" s="29"/>
      <c r="AOH3" s="29"/>
      <c r="AOI3" s="29"/>
      <c r="AOJ3" s="29"/>
      <c r="AOK3" s="29"/>
      <c r="AOL3" s="29"/>
      <c r="AOM3" s="29"/>
      <c r="AON3" s="29"/>
      <c r="AOO3" s="29"/>
      <c r="AOP3" s="29"/>
      <c r="AOQ3" s="29"/>
      <c r="AOR3" s="29"/>
      <c r="AOS3" s="29"/>
      <c r="AOT3" s="29"/>
      <c r="AOU3" s="29"/>
      <c r="AOV3" s="29"/>
      <c r="AOW3" s="29"/>
      <c r="AOX3" s="29"/>
      <c r="AOY3" s="29"/>
      <c r="AOZ3" s="29"/>
      <c r="APA3" s="29"/>
      <c r="APB3" s="29"/>
      <c r="APC3" s="29"/>
      <c r="APD3" s="29"/>
      <c r="APE3" s="29"/>
      <c r="APF3" s="29"/>
      <c r="APG3" s="29"/>
      <c r="APH3" s="29"/>
      <c r="API3" s="29"/>
      <c r="APJ3" s="29"/>
      <c r="APK3" s="29"/>
      <c r="APL3" s="29"/>
      <c r="APM3" s="29"/>
      <c r="APN3" s="29"/>
      <c r="APO3" s="29"/>
      <c r="APP3" s="29"/>
      <c r="APQ3" s="29"/>
      <c r="APR3" s="29"/>
      <c r="APS3" s="29"/>
      <c r="APT3" s="29"/>
      <c r="APU3" s="29"/>
      <c r="APV3" s="29"/>
      <c r="APW3" s="29"/>
      <c r="APX3" s="29"/>
      <c r="APY3" s="29"/>
      <c r="APZ3" s="29"/>
      <c r="AQA3" s="29"/>
      <c r="AQB3" s="29"/>
      <c r="AQC3" s="29"/>
      <c r="AQD3" s="29"/>
      <c r="AQE3" s="29"/>
      <c r="AQF3" s="29"/>
      <c r="AQG3" s="29"/>
      <c r="AQH3" s="29"/>
      <c r="AQI3" s="29"/>
      <c r="AQJ3" s="29"/>
      <c r="AQK3" s="29"/>
      <c r="AQL3" s="29"/>
      <c r="AQM3" s="29"/>
      <c r="AQN3" s="29"/>
      <c r="AQO3" s="29"/>
      <c r="AQP3" s="29"/>
      <c r="AQQ3" s="29"/>
      <c r="AQR3" s="29"/>
      <c r="AQS3" s="29"/>
      <c r="AQT3" s="29"/>
      <c r="AQU3" s="29"/>
      <c r="AQV3" s="29"/>
      <c r="AQW3" s="29"/>
      <c r="AQX3" s="29"/>
      <c r="AQY3" s="29"/>
      <c r="AQZ3" s="29"/>
      <c r="ARA3" s="29"/>
      <c r="ARB3" s="29"/>
      <c r="ARC3" s="29"/>
      <c r="ARD3" s="29"/>
      <c r="ARE3" s="29"/>
      <c r="ARF3" s="29"/>
      <c r="ARG3" s="29"/>
      <c r="ARH3" s="29"/>
      <c r="ARI3" s="29"/>
      <c r="ARJ3" s="29"/>
      <c r="ARK3" s="29"/>
      <c r="ARL3" s="29"/>
      <c r="ARM3" s="29"/>
      <c r="ARN3" s="29"/>
      <c r="ARO3" s="29"/>
      <c r="ARP3" s="29"/>
      <c r="ARQ3" s="29"/>
      <c r="ARR3" s="29"/>
      <c r="ARS3" s="29"/>
      <c r="ART3" s="29"/>
      <c r="ARU3" s="29"/>
      <c r="ARV3" s="29"/>
      <c r="ARW3" s="29"/>
      <c r="ARX3" s="29"/>
      <c r="ARY3" s="29"/>
      <c r="ARZ3" s="29"/>
      <c r="ASA3" s="29"/>
      <c r="ASB3" s="29"/>
      <c r="ASC3" s="29"/>
      <c r="ASD3" s="29"/>
      <c r="ASE3" s="29"/>
      <c r="ASF3" s="29"/>
      <c r="ASG3" s="29"/>
      <c r="ASH3" s="29"/>
      <c r="ASI3" s="29"/>
      <c r="ASJ3" s="29"/>
      <c r="ASK3" s="29"/>
      <c r="ASL3" s="29"/>
      <c r="ASM3" s="29"/>
      <c r="ASN3" s="29"/>
      <c r="ASO3" s="29"/>
      <c r="ASP3" s="29"/>
      <c r="ASQ3" s="29"/>
      <c r="ASR3" s="29"/>
      <c r="ASS3" s="29"/>
      <c r="AST3" s="29"/>
      <c r="ASU3" s="29"/>
      <c r="ASV3" s="29"/>
      <c r="ASW3" s="29"/>
      <c r="ASX3" s="29"/>
      <c r="ASY3" s="29"/>
      <c r="ASZ3" s="29"/>
      <c r="ATA3" s="29"/>
      <c r="ATB3" s="29"/>
      <c r="ATC3" s="29"/>
      <c r="ATD3" s="29"/>
      <c r="ATE3" s="29"/>
      <c r="ATF3" s="29"/>
      <c r="ATG3" s="29"/>
      <c r="ATH3" s="29"/>
      <c r="ATI3" s="29"/>
      <c r="ATJ3" s="29"/>
      <c r="ATK3" s="29"/>
      <c r="ATL3" s="29"/>
      <c r="ATM3" s="29"/>
      <c r="ATN3" s="29"/>
      <c r="ATO3" s="29"/>
      <c r="ATP3" s="29"/>
      <c r="ATQ3" s="29"/>
      <c r="ATR3" s="29"/>
      <c r="ATS3" s="29"/>
      <c r="ATT3" s="29"/>
      <c r="ATU3" s="29"/>
      <c r="ATV3" s="29"/>
      <c r="ATW3" s="29"/>
      <c r="ATX3" s="29"/>
      <c r="ATY3" s="29"/>
      <c r="ATZ3" s="29"/>
      <c r="AUA3" s="29"/>
      <c r="AUB3" s="29"/>
      <c r="AUC3" s="29"/>
      <c r="AUD3" s="29"/>
      <c r="AUE3" s="29"/>
      <c r="AUF3" s="29"/>
      <c r="AUG3" s="29"/>
      <c r="AUH3" s="29"/>
      <c r="AUI3" s="29"/>
      <c r="AUJ3" s="29"/>
      <c r="AUK3" s="29"/>
      <c r="AUL3" s="29"/>
      <c r="AUM3" s="29"/>
      <c r="AUN3" s="29"/>
      <c r="AUO3" s="29"/>
      <c r="AUP3" s="29"/>
      <c r="AUQ3" s="29"/>
      <c r="AUR3" s="29"/>
      <c r="AUS3" s="29"/>
      <c r="AUT3" s="29"/>
      <c r="AUU3" s="29"/>
      <c r="AUV3" s="29"/>
      <c r="AUW3" s="29"/>
      <c r="AUX3" s="29"/>
      <c r="AUY3" s="29"/>
      <c r="AUZ3" s="29"/>
      <c r="AVA3" s="29"/>
      <c r="AVB3" s="29"/>
      <c r="AVC3" s="29"/>
      <c r="AVD3" s="29"/>
      <c r="AVE3" s="29"/>
      <c r="AVF3" s="29"/>
      <c r="AVG3" s="29"/>
      <c r="AVH3" s="29"/>
      <c r="AVI3" s="29"/>
      <c r="AVJ3" s="29"/>
      <c r="AVK3" s="29"/>
      <c r="AVL3" s="29"/>
      <c r="AVM3" s="29"/>
      <c r="AVN3" s="29"/>
      <c r="AVO3" s="29"/>
      <c r="AVP3" s="29"/>
      <c r="AVQ3" s="29"/>
      <c r="AVR3" s="29"/>
      <c r="AVS3" s="29"/>
      <c r="AVT3" s="29"/>
      <c r="AVU3" s="29"/>
      <c r="AVV3" s="29"/>
      <c r="AVW3" s="29"/>
      <c r="AVX3" s="29"/>
      <c r="AVY3" s="29"/>
      <c r="AVZ3" s="29"/>
      <c r="AWA3" s="29"/>
      <c r="AWB3" s="29"/>
      <c r="AWC3" s="29"/>
      <c r="AWD3" s="29"/>
      <c r="AWE3" s="29"/>
      <c r="AWF3" s="29"/>
      <c r="AWG3" s="29"/>
      <c r="AWH3" s="29"/>
      <c r="AWI3" s="29"/>
      <c r="AWJ3" s="29"/>
      <c r="AWK3" s="29"/>
      <c r="AWL3" s="29"/>
      <c r="AWM3" s="29"/>
      <c r="AWN3" s="29"/>
      <c r="AWO3" s="29"/>
      <c r="AWP3" s="29"/>
      <c r="AWQ3" s="29"/>
      <c r="AWR3" s="29"/>
      <c r="AWS3" s="29"/>
      <c r="AWT3" s="29"/>
      <c r="AWU3" s="29"/>
      <c r="AWV3" s="29"/>
      <c r="AWW3" s="29"/>
      <c r="AWX3" s="29"/>
      <c r="AWY3" s="29"/>
      <c r="AWZ3" s="29"/>
      <c r="AXA3" s="29"/>
      <c r="AXB3" s="29"/>
      <c r="AXC3" s="29"/>
      <c r="AXD3" s="29"/>
      <c r="AXE3" s="29"/>
      <c r="AXF3" s="29"/>
      <c r="AXG3" s="29"/>
      <c r="AXH3" s="29"/>
      <c r="AXI3" s="29"/>
      <c r="AXJ3" s="29"/>
      <c r="AXK3" s="29"/>
      <c r="AXL3" s="29"/>
      <c r="AXM3" s="29"/>
      <c r="AXN3" s="29"/>
      <c r="AXO3" s="29"/>
      <c r="AXP3" s="29"/>
      <c r="AXQ3" s="29"/>
      <c r="AXR3" s="29"/>
      <c r="AXS3" s="29"/>
      <c r="AXT3" s="29"/>
      <c r="AXU3" s="29"/>
      <c r="AXV3" s="29"/>
      <c r="AXW3" s="29"/>
      <c r="AXX3" s="29"/>
      <c r="AXY3" s="29"/>
      <c r="AXZ3" s="29"/>
      <c r="AYA3" s="29"/>
      <c r="AYB3" s="29"/>
      <c r="AYC3" s="29"/>
      <c r="AYD3" s="29"/>
      <c r="AYE3" s="29"/>
      <c r="AYF3" s="29"/>
      <c r="AYG3" s="29"/>
      <c r="AYH3" s="29"/>
      <c r="AYI3" s="29"/>
      <c r="AYJ3" s="29"/>
      <c r="AYK3" s="29"/>
      <c r="AYL3" s="29"/>
      <c r="AYM3" s="29"/>
      <c r="AYN3" s="29"/>
      <c r="AYO3" s="29"/>
      <c r="AYP3" s="29"/>
      <c r="AYQ3" s="29"/>
      <c r="AYR3" s="29"/>
      <c r="AYS3" s="29"/>
      <c r="AYT3" s="29"/>
      <c r="AYU3" s="29"/>
      <c r="AYV3" s="29"/>
      <c r="AYW3" s="29"/>
      <c r="AYX3" s="29"/>
      <c r="AYY3" s="29"/>
      <c r="AYZ3" s="29"/>
      <c r="AZA3" s="29"/>
      <c r="AZB3" s="29"/>
      <c r="AZC3" s="29"/>
      <c r="AZD3" s="29"/>
      <c r="AZE3" s="29"/>
      <c r="AZF3" s="29"/>
      <c r="AZG3" s="29"/>
      <c r="AZH3" s="29"/>
      <c r="AZI3" s="29"/>
      <c r="AZJ3" s="29"/>
      <c r="AZK3" s="29"/>
      <c r="AZL3" s="29"/>
      <c r="AZM3" s="29"/>
      <c r="AZN3" s="29"/>
      <c r="AZO3" s="29"/>
      <c r="AZP3" s="29"/>
      <c r="AZQ3" s="29"/>
      <c r="AZR3" s="29"/>
      <c r="AZS3" s="29"/>
      <c r="AZT3" s="29"/>
      <c r="AZU3" s="29"/>
      <c r="AZV3" s="29"/>
      <c r="AZW3" s="29"/>
      <c r="AZX3" s="29"/>
      <c r="AZY3" s="29"/>
      <c r="AZZ3" s="29"/>
      <c r="BAA3" s="29"/>
      <c r="BAB3" s="29"/>
      <c r="BAC3" s="29"/>
      <c r="BAD3" s="29"/>
      <c r="BAE3" s="29"/>
      <c r="BAF3" s="29"/>
      <c r="BAG3" s="29"/>
      <c r="BAH3" s="29"/>
      <c r="BAI3" s="29"/>
      <c r="BAJ3" s="29"/>
      <c r="BAK3" s="29"/>
      <c r="BAL3" s="29"/>
      <c r="BAM3" s="29"/>
      <c r="BAN3" s="29"/>
      <c r="BAO3" s="29"/>
      <c r="BAP3" s="29"/>
      <c r="BAQ3" s="29"/>
      <c r="BAR3" s="29"/>
      <c r="BAS3" s="29"/>
      <c r="BAT3" s="29"/>
      <c r="BAU3" s="29"/>
      <c r="BAV3" s="29"/>
      <c r="BAW3" s="29"/>
      <c r="BAX3" s="29"/>
      <c r="BAY3" s="29"/>
      <c r="BAZ3" s="29"/>
      <c r="BBA3" s="29"/>
      <c r="BBB3" s="29"/>
      <c r="BBC3" s="29"/>
      <c r="BBD3" s="29"/>
      <c r="BBE3" s="29"/>
      <c r="BBF3" s="29"/>
      <c r="BBG3" s="29"/>
      <c r="BBH3" s="29"/>
      <c r="BBI3" s="29"/>
      <c r="BBJ3" s="29"/>
      <c r="BBK3" s="29"/>
      <c r="BBL3" s="29"/>
      <c r="BBM3" s="29"/>
      <c r="BBN3" s="29"/>
      <c r="BBO3" s="29"/>
      <c r="BBP3" s="29"/>
      <c r="BBQ3" s="29"/>
      <c r="BBR3" s="29"/>
      <c r="BBS3" s="29"/>
      <c r="BBT3" s="29"/>
      <c r="BBU3" s="29"/>
      <c r="BBV3" s="29"/>
      <c r="BBW3" s="29"/>
      <c r="BBX3" s="29"/>
      <c r="BBY3" s="29"/>
      <c r="BBZ3" s="29"/>
      <c r="BCA3" s="29"/>
      <c r="BCB3" s="29"/>
      <c r="BCC3" s="29"/>
      <c r="BCD3" s="29"/>
      <c r="BCE3" s="29"/>
      <c r="BCF3" s="29"/>
      <c r="BCG3" s="29"/>
      <c r="BCH3" s="29"/>
      <c r="BCI3" s="29"/>
      <c r="BCJ3" s="29"/>
      <c r="BCK3" s="29"/>
      <c r="BCL3" s="29"/>
      <c r="BCM3" s="29"/>
      <c r="BCN3" s="29"/>
      <c r="BCO3" s="29"/>
      <c r="BCP3" s="29"/>
      <c r="BCQ3" s="29"/>
      <c r="BCR3" s="29"/>
      <c r="BCS3" s="29"/>
      <c r="BCT3" s="29"/>
      <c r="BCU3" s="29"/>
      <c r="BCV3" s="29"/>
      <c r="BCW3" s="29"/>
      <c r="BCX3" s="29"/>
      <c r="BCY3" s="29"/>
      <c r="BCZ3" s="29"/>
      <c r="BDA3" s="29"/>
      <c r="BDB3" s="29"/>
      <c r="BDC3" s="29"/>
      <c r="BDD3" s="29"/>
      <c r="BDE3" s="29"/>
      <c r="BDF3" s="29"/>
      <c r="BDG3" s="29"/>
      <c r="BDH3" s="29"/>
      <c r="BDI3" s="29"/>
      <c r="BDJ3" s="29"/>
      <c r="BDK3" s="29"/>
      <c r="BDL3" s="29"/>
      <c r="BDM3" s="29"/>
      <c r="BDN3" s="29"/>
      <c r="BDO3" s="29"/>
      <c r="BDP3" s="29"/>
      <c r="BDQ3" s="29"/>
      <c r="BDR3" s="29"/>
      <c r="BDS3" s="29"/>
      <c r="BDT3" s="29"/>
      <c r="BDU3" s="29"/>
      <c r="BDV3" s="29"/>
      <c r="BDW3" s="29"/>
      <c r="BDX3" s="29"/>
      <c r="BDY3" s="29"/>
      <c r="BDZ3" s="29"/>
      <c r="BEA3" s="29"/>
      <c r="BEB3" s="29"/>
      <c r="BEC3" s="29"/>
      <c r="BED3" s="29"/>
      <c r="BEE3" s="29"/>
      <c r="BEF3" s="29"/>
      <c r="BEG3" s="29"/>
      <c r="BEH3" s="29"/>
      <c r="BEI3" s="29"/>
      <c r="BEJ3" s="29"/>
      <c r="BEK3" s="29"/>
      <c r="BEL3" s="29"/>
      <c r="BEM3" s="29"/>
      <c r="BEN3" s="29"/>
      <c r="BEO3" s="29"/>
      <c r="BEP3" s="29"/>
      <c r="BEQ3" s="29"/>
      <c r="BER3" s="29"/>
      <c r="BES3" s="29"/>
      <c r="BET3" s="29"/>
      <c r="BEU3" s="29"/>
      <c r="BEV3" s="29"/>
      <c r="BEW3" s="29"/>
      <c r="BEX3" s="29"/>
      <c r="BEY3" s="29"/>
      <c r="BEZ3" s="29"/>
      <c r="BFA3" s="29"/>
      <c r="BFB3" s="29"/>
      <c r="BFC3" s="29"/>
      <c r="BFD3" s="29"/>
      <c r="BFE3" s="29"/>
      <c r="BFF3" s="29"/>
      <c r="BFG3" s="29"/>
      <c r="BFH3" s="29"/>
      <c r="BFI3" s="29"/>
      <c r="BFJ3" s="29"/>
      <c r="BFK3" s="29"/>
      <c r="BFL3" s="29"/>
      <c r="BFM3" s="29"/>
      <c r="BFN3" s="29"/>
      <c r="BFO3" s="29"/>
      <c r="BFP3" s="29"/>
      <c r="BFQ3" s="29"/>
      <c r="BFR3" s="29"/>
      <c r="BFS3" s="29"/>
      <c r="BFT3" s="29"/>
      <c r="BFU3" s="29"/>
      <c r="BFV3" s="29"/>
      <c r="BFW3" s="29"/>
      <c r="BFX3" s="29"/>
      <c r="BFY3" s="29"/>
      <c r="BFZ3" s="29"/>
      <c r="BGA3" s="29"/>
      <c r="BGB3" s="29"/>
      <c r="BGC3" s="29"/>
      <c r="BGD3" s="29"/>
      <c r="BGE3" s="29"/>
      <c r="BGF3" s="29"/>
      <c r="BGG3" s="29"/>
      <c r="BGH3" s="29"/>
      <c r="BGI3" s="29"/>
      <c r="BGJ3" s="29"/>
      <c r="BGK3" s="29"/>
      <c r="BGL3" s="29"/>
      <c r="BGM3" s="29"/>
      <c r="BGN3" s="29"/>
      <c r="BGO3" s="29"/>
      <c r="BGP3" s="29"/>
      <c r="BGQ3" s="29"/>
      <c r="BGR3" s="29"/>
      <c r="BGS3" s="29"/>
      <c r="BGT3" s="29"/>
      <c r="BGU3" s="29"/>
      <c r="BGV3" s="29"/>
      <c r="BGW3" s="29"/>
      <c r="BGX3" s="29"/>
      <c r="BGY3" s="29"/>
      <c r="BGZ3" s="29"/>
      <c r="BHA3" s="29"/>
      <c r="BHB3" s="29"/>
      <c r="BHC3" s="29"/>
      <c r="BHD3" s="29"/>
      <c r="BHE3" s="29"/>
      <c r="BHF3" s="29"/>
      <c r="BHG3" s="29"/>
      <c r="BHH3" s="29"/>
      <c r="BHI3" s="29"/>
      <c r="BHJ3" s="29"/>
      <c r="BHK3" s="29"/>
      <c r="BHL3" s="29"/>
      <c r="BHM3" s="29"/>
      <c r="BHN3" s="29"/>
      <c r="BHO3" s="29"/>
      <c r="BHP3" s="29"/>
      <c r="BHQ3" s="29"/>
      <c r="BHR3" s="29"/>
      <c r="BHS3" s="29"/>
      <c r="BHT3" s="29"/>
      <c r="BHU3" s="29"/>
      <c r="BHV3" s="29"/>
      <c r="BHW3" s="29"/>
      <c r="BHX3" s="29"/>
      <c r="BHY3" s="29"/>
      <c r="BHZ3" s="29"/>
      <c r="BIA3" s="29"/>
      <c r="BIB3" s="29"/>
      <c r="BIC3" s="29"/>
      <c r="BID3" s="29"/>
      <c r="BIE3" s="29"/>
      <c r="BIF3" s="29"/>
      <c r="BIG3" s="29"/>
      <c r="BIH3" s="29"/>
      <c r="BII3" s="29"/>
      <c r="BIJ3" s="29"/>
      <c r="BIK3" s="29"/>
      <c r="BIL3" s="29"/>
      <c r="BIM3" s="29"/>
      <c r="BIN3" s="29"/>
      <c r="BIO3" s="29"/>
      <c r="BIP3" s="29"/>
      <c r="BIQ3" s="29"/>
      <c r="BIR3" s="29"/>
      <c r="BIS3" s="29"/>
      <c r="BIT3" s="29"/>
      <c r="BIU3" s="29"/>
      <c r="BIV3" s="29"/>
      <c r="BIW3" s="29"/>
      <c r="BIX3" s="29"/>
      <c r="BIY3" s="29"/>
      <c r="BIZ3" s="29"/>
      <c r="BJA3" s="29"/>
      <c r="BJB3" s="29"/>
      <c r="BJC3" s="29"/>
      <c r="BJD3" s="29"/>
      <c r="BJE3" s="29"/>
      <c r="BJF3" s="29"/>
      <c r="BJG3" s="29"/>
      <c r="BJH3" s="29"/>
      <c r="BJI3" s="29"/>
      <c r="BJJ3" s="29"/>
      <c r="BJK3" s="29"/>
      <c r="BJL3" s="29"/>
      <c r="BJM3" s="29"/>
      <c r="BJN3" s="29"/>
      <c r="BJO3" s="29"/>
      <c r="BJP3" s="29"/>
      <c r="BJQ3" s="29"/>
      <c r="BJR3" s="29"/>
      <c r="BJS3" s="29"/>
      <c r="BJT3" s="29"/>
      <c r="BJU3" s="29"/>
      <c r="BJV3" s="29"/>
      <c r="BJW3" s="29"/>
      <c r="BJX3" s="29"/>
      <c r="BJY3" s="29"/>
      <c r="BJZ3" s="29"/>
      <c r="BKA3" s="29"/>
      <c r="BKB3" s="29"/>
      <c r="BKC3" s="29"/>
      <c r="BKD3" s="29"/>
      <c r="BKE3" s="29"/>
      <c r="BKF3" s="29"/>
      <c r="BKG3" s="29"/>
      <c r="BKH3" s="29"/>
      <c r="BKI3" s="29"/>
      <c r="BKJ3" s="29"/>
      <c r="BKK3" s="29"/>
      <c r="BKL3" s="29"/>
      <c r="BKM3" s="29"/>
      <c r="BKN3" s="29"/>
      <c r="BKO3" s="29"/>
      <c r="BKP3" s="29"/>
      <c r="BKQ3" s="29"/>
      <c r="BKR3" s="29"/>
      <c r="BKS3" s="29"/>
      <c r="BKT3" s="29"/>
      <c r="BKU3" s="29"/>
      <c r="BKV3" s="29"/>
      <c r="BKW3" s="29"/>
      <c r="BKX3" s="29"/>
      <c r="BKY3" s="29"/>
      <c r="BKZ3" s="29"/>
      <c r="BLA3" s="29"/>
      <c r="BLB3" s="29"/>
      <c r="BLC3" s="29"/>
      <c r="BLD3" s="29"/>
      <c r="BLE3" s="29"/>
      <c r="BLF3" s="29"/>
      <c r="BLG3" s="29"/>
      <c r="BLH3" s="29"/>
      <c r="BLI3" s="29"/>
      <c r="BLJ3" s="29"/>
      <c r="BLK3" s="29"/>
      <c r="BLL3" s="29"/>
      <c r="BLM3" s="29"/>
      <c r="BLN3" s="29"/>
      <c r="BLO3" s="29"/>
      <c r="BLP3" s="29"/>
      <c r="BLQ3" s="29"/>
      <c r="BLR3" s="29"/>
      <c r="BLS3" s="29"/>
      <c r="BLT3" s="29"/>
      <c r="BLU3" s="29"/>
      <c r="BLV3" s="29"/>
      <c r="BLW3" s="29"/>
      <c r="BLX3" s="29"/>
      <c r="BLY3" s="29"/>
      <c r="BLZ3" s="29"/>
      <c r="BMA3" s="29"/>
      <c r="BMB3" s="29"/>
      <c r="BMC3" s="29"/>
      <c r="BMD3" s="29"/>
      <c r="BME3" s="29"/>
      <c r="BMF3" s="29"/>
      <c r="BMG3" s="29"/>
      <c r="BMH3" s="29"/>
      <c r="BMI3" s="29"/>
      <c r="BMJ3" s="29"/>
      <c r="BMK3" s="29"/>
      <c r="BML3" s="29"/>
      <c r="BMM3" s="29"/>
      <c r="BMN3" s="29"/>
      <c r="BMO3" s="29"/>
      <c r="BMP3" s="29"/>
      <c r="BMQ3" s="29"/>
      <c r="BMR3" s="29"/>
      <c r="BMS3" s="29"/>
      <c r="BMT3" s="29"/>
      <c r="BMU3" s="29"/>
      <c r="BMV3" s="29"/>
      <c r="BMW3" s="29"/>
      <c r="BMX3" s="29"/>
      <c r="BMY3" s="29"/>
      <c r="BMZ3" s="29"/>
      <c r="BNA3" s="29"/>
      <c r="BNB3" s="29"/>
      <c r="BNC3" s="29"/>
      <c r="BND3" s="29"/>
      <c r="BNE3" s="29"/>
      <c r="BNF3" s="29"/>
      <c r="BNG3" s="29"/>
      <c r="BNH3" s="29"/>
      <c r="BNI3" s="29"/>
      <c r="BNJ3" s="29"/>
      <c r="BNK3" s="29"/>
      <c r="BNL3" s="29"/>
      <c r="BNM3" s="29"/>
      <c r="BNN3" s="29"/>
      <c r="BNO3" s="29"/>
      <c r="BNP3" s="29"/>
      <c r="BNQ3" s="29"/>
      <c r="BNR3" s="29"/>
      <c r="BNS3" s="29"/>
      <c r="BNT3" s="29"/>
      <c r="BNU3" s="29"/>
      <c r="BNV3" s="29"/>
      <c r="BNW3" s="29"/>
      <c r="BNX3" s="29"/>
      <c r="BNY3" s="29"/>
      <c r="BNZ3" s="29"/>
      <c r="BOA3" s="29"/>
      <c r="BOB3" s="29"/>
      <c r="BOC3" s="29"/>
      <c r="BOD3" s="29"/>
      <c r="BOE3" s="29"/>
      <c r="BOF3" s="29"/>
      <c r="BOG3" s="29"/>
      <c r="BOH3" s="29"/>
      <c r="BOI3" s="29"/>
      <c r="BOJ3" s="29"/>
      <c r="BOK3" s="29"/>
      <c r="BOL3" s="29"/>
      <c r="BOM3" s="29"/>
      <c r="BON3" s="29"/>
      <c r="BOO3" s="29"/>
      <c r="BOP3" s="29"/>
      <c r="BOQ3" s="29"/>
      <c r="BOR3" s="29"/>
      <c r="BOS3" s="29"/>
      <c r="BOT3" s="29"/>
      <c r="BOU3" s="29"/>
      <c r="BOV3" s="29"/>
      <c r="BOW3" s="29"/>
      <c r="BOX3" s="29"/>
      <c r="BOY3" s="29"/>
      <c r="BOZ3" s="29"/>
      <c r="BPA3" s="29"/>
      <c r="BPB3" s="29"/>
      <c r="BPC3" s="29"/>
      <c r="BPD3" s="29"/>
      <c r="BPE3" s="29"/>
      <c r="BPF3" s="29"/>
      <c r="BPG3" s="29"/>
      <c r="BPH3" s="29"/>
      <c r="BPI3" s="29"/>
      <c r="BPJ3" s="29"/>
      <c r="BPK3" s="29"/>
      <c r="BPL3" s="29"/>
      <c r="BPM3" s="29"/>
      <c r="BPN3" s="29"/>
      <c r="BPO3" s="29"/>
      <c r="BPP3" s="29"/>
      <c r="BPQ3" s="29"/>
      <c r="BPR3" s="29"/>
      <c r="BPS3" s="29"/>
      <c r="BPT3" s="29"/>
      <c r="BPU3" s="29"/>
      <c r="BPV3" s="29"/>
      <c r="BPW3" s="29"/>
      <c r="BPX3" s="29"/>
      <c r="BPY3" s="29"/>
      <c r="BPZ3" s="29"/>
      <c r="BQA3" s="29"/>
      <c r="BQB3" s="29"/>
      <c r="BQC3" s="29"/>
      <c r="BQD3" s="29"/>
      <c r="BQE3" s="29"/>
      <c r="BQF3" s="29"/>
      <c r="BQG3" s="29"/>
      <c r="BQH3" s="29"/>
      <c r="BQI3" s="29"/>
      <c r="BQJ3" s="29"/>
      <c r="BQK3" s="29"/>
      <c r="BQL3" s="29"/>
      <c r="BQM3" s="29"/>
      <c r="BQN3" s="29"/>
      <c r="BQO3" s="29"/>
      <c r="BQP3" s="29"/>
      <c r="BQQ3" s="29"/>
      <c r="BQR3" s="29"/>
      <c r="BQS3" s="29"/>
      <c r="BQT3" s="29"/>
      <c r="BQU3" s="29"/>
      <c r="BQV3" s="29"/>
      <c r="BQW3" s="29"/>
      <c r="BQX3" s="29"/>
      <c r="BQY3" s="29"/>
      <c r="BQZ3" s="29"/>
      <c r="BRA3" s="29"/>
      <c r="BRB3" s="29"/>
      <c r="BRC3" s="29"/>
      <c r="BRD3" s="29"/>
      <c r="BRE3" s="29"/>
      <c r="BRF3" s="29"/>
      <c r="BRG3" s="29"/>
      <c r="BRH3" s="29"/>
      <c r="BRI3" s="29"/>
      <c r="BRJ3" s="29"/>
      <c r="BRK3" s="29"/>
      <c r="BRL3" s="29"/>
      <c r="BRM3" s="29"/>
      <c r="BRN3" s="29"/>
      <c r="BRO3" s="29"/>
      <c r="BRP3" s="29"/>
      <c r="BRQ3" s="29"/>
      <c r="BRR3" s="29"/>
      <c r="BRS3" s="29"/>
      <c r="BRT3" s="29"/>
      <c r="BRU3" s="29"/>
      <c r="BRV3" s="29"/>
      <c r="BRW3" s="29"/>
      <c r="BRX3" s="29"/>
      <c r="BRY3" s="29"/>
      <c r="BRZ3" s="29"/>
      <c r="BSA3" s="29"/>
      <c r="BSB3" s="29"/>
      <c r="BSC3" s="29"/>
      <c r="BSD3" s="29"/>
      <c r="BSE3" s="29"/>
      <c r="BSF3" s="29"/>
      <c r="BSG3" s="29"/>
      <c r="BSH3" s="29"/>
      <c r="BSI3" s="29"/>
      <c r="BSJ3" s="29"/>
      <c r="BSK3" s="29"/>
      <c r="BSL3" s="29"/>
      <c r="BSM3" s="29"/>
      <c r="BSN3" s="29"/>
      <c r="BSO3" s="29"/>
      <c r="BSP3" s="29"/>
      <c r="BSQ3" s="29"/>
      <c r="BSR3" s="29"/>
      <c r="BSS3" s="29"/>
      <c r="BST3" s="29"/>
      <c r="BSU3" s="29"/>
      <c r="BSV3" s="29"/>
      <c r="BSW3" s="29"/>
      <c r="BSX3" s="29"/>
      <c r="BSY3" s="29"/>
      <c r="BSZ3" s="29"/>
      <c r="BTA3" s="29"/>
      <c r="BTB3" s="29"/>
      <c r="BTC3" s="29"/>
      <c r="BTD3" s="29"/>
      <c r="BTE3" s="29"/>
      <c r="BTF3" s="29"/>
      <c r="BTG3" s="29"/>
      <c r="BTH3" s="29"/>
      <c r="BTI3" s="29"/>
      <c r="BTJ3" s="29"/>
      <c r="BTK3" s="29"/>
      <c r="BTL3" s="29"/>
      <c r="BTM3" s="29"/>
      <c r="BTN3" s="29"/>
      <c r="BTO3" s="29"/>
      <c r="BTP3" s="29"/>
      <c r="BTQ3" s="29"/>
      <c r="BTR3" s="29"/>
      <c r="BTS3" s="29"/>
      <c r="BTT3" s="29"/>
      <c r="BTU3" s="29"/>
      <c r="BTV3" s="29"/>
      <c r="BTW3" s="29"/>
      <c r="BTX3" s="29"/>
      <c r="BTY3" s="29"/>
      <c r="BTZ3" s="29"/>
      <c r="BUA3" s="29"/>
      <c r="BUB3" s="29"/>
      <c r="BUC3" s="29"/>
      <c r="BUD3" s="29"/>
      <c r="BUE3" s="29"/>
      <c r="BUF3" s="29"/>
      <c r="BUG3" s="29"/>
      <c r="BUH3" s="29"/>
      <c r="BUI3" s="29"/>
      <c r="BUJ3" s="29"/>
      <c r="BUK3" s="29"/>
      <c r="BUL3" s="29"/>
      <c r="BUM3" s="29"/>
      <c r="BUN3" s="29"/>
      <c r="BUO3" s="29"/>
      <c r="BUP3" s="29"/>
      <c r="BUQ3" s="29"/>
      <c r="BUR3" s="29"/>
      <c r="BUS3" s="29"/>
      <c r="BUT3" s="29"/>
      <c r="BUU3" s="29"/>
      <c r="BUV3" s="29"/>
      <c r="BUW3" s="29"/>
      <c r="BUX3" s="29"/>
      <c r="BUY3" s="29"/>
      <c r="BUZ3" s="29"/>
      <c r="BVA3" s="29"/>
      <c r="BVB3" s="29"/>
      <c r="BVC3" s="29"/>
      <c r="BVD3" s="29"/>
      <c r="BVE3" s="29"/>
      <c r="BVF3" s="29"/>
      <c r="BVG3" s="29"/>
      <c r="BVH3" s="29"/>
      <c r="BVI3" s="29"/>
      <c r="BVJ3" s="29"/>
      <c r="BVK3" s="29"/>
      <c r="BVL3" s="29"/>
      <c r="BVM3" s="29"/>
      <c r="BVN3" s="29"/>
      <c r="BVO3" s="29"/>
      <c r="BVP3" s="29"/>
      <c r="BVQ3" s="29"/>
      <c r="BVR3" s="29"/>
      <c r="BVS3" s="29"/>
      <c r="BVT3" s="29"/>
      <c r="BVU3" s="29"/>
      <c r="BVV3" s="29"/>
      <c r="BVW3" s="29"/>
      <c r="BVX3" s="29"/>
      <c r="BVY3" s="29"/>
      <c r="BVZ3" s="29"/>
      <c r="BWA3" s="29"/>
      <c r="BWB3" s="29"/>
      <c r="BWC3" s="29"/>
      <c r="BWD3" s="29"/>
      <c r="BWE3" s="29"/>
      <c r="BWF3" s="29"/>
      <c r="BWG3" s="29"/>
      <c r="BWH3" s="29"/>
      <c r="BWI3" s="29"/>
      <c r="BWJ3" s="29"/>
      <c r="BWK3" s="29"/>
      <c r="BWL3" s="29"/>
      <c r="BWM3" s="29"/>
      <c r="BWN3" s="29"/>
      <c r="BWO3" s="29"/>
      <c r="BWP3" s="29"/>
      <c r="BWQ3" s="29"/>
      <c r="BWR3" s="29"/>
      <c r="BWS3" s="29"/>
      <c r="BWT3" s="29"/>
      <c r="BWU3" s="29"/>
      <c r="BWV3" s="29"/>
      <c r="BWW3" s="29"/>
      <c r="BWX3" s="29"/>
      <c r="BWY3" s="29"/>
      <c r="BWZ3" s="29"/>
      <c r="BXA3" s="29"/>
      <c r="BXB3" s="29"/>
      <c r="BXC3" s="29"/>
      <c r="BXD3" s="29"/>
      <c r="BXE3" s="29"/>
      <c r="BXF3" s="29"/>
      <c r="BXG3" s="29"/>
      <c r="BXH3" s="29"/>
      <c r="BXI3" s="29"/>
      <c r="BXJ3" s="29"/>
      <c r="BXK3" s="29"/>
      <c r="BXL3" s="29"/>
      <c r="BXM3" s="29"/>
      <c r="BXN3" s="29"/>
      <c r="BXO3" s="29"/>
      <c r="BXP3" s="29"/>
      <c r="BXQ3" s="29"/>
      <c r="BXR3" s="29"/>
      <c r="BXS3" s="29"/>
      <c r="BXT3" s="29"/>
      <c r="BXU3" s="29"/>
      <c r="BXV3" s="29"/>
      <c r="BXW3" s="29"/>
      <c r="BXX3" s="29"/>
      <c r="BXY3" s="29"/>
      <c r="BXZ3" s="29"/>
      <c r="BYA3" s="29"/>
      <c r="BYB3" s="29"/>
      <c r="BYC3" s="29"/>
      <c r="BYD3" s="29"/>
      <c r="BYE3" s="29"/>
      <c r="BYF3" s="29"/>
      <c r="BYG3" s="29"/>
      <c r="BYH3" s="29"/>
      <c r="BYI3" s="29"/>
      <c r="BYJ3" s="29"/>
      <c r="BYK3" s="29"/>
      <c r="BYL3" s="29"/>
      <c r="BYM3" s="29"/>
      <c r="BYN3" s="29"/>
      <c r="BYO3" s="29"/>
      <c r="BYP3" s="29"/>
      <c r="BYQ3" s="29"/>
      <c r="BYR3" s="29"/>
      <c r="BYS3" s="29"/>
      <c r="BYT3" s="29"/>
      <c r="BYU3" s="29"/>
      <c r="BYV3" s="29"/>
      <c r="BYW3" s="29"/>
      <c r="BYX3" s="29"/>
      <c r="BYY3" s="29"/>
      <c r="BYZ3" s="29"/>
      <c r="BZA3" s="29"/>
      <c r="BZB3" s="29"/>
      <c r="BZC3" s="29"/>
      <c r="BZD3" s="29"/>
      <c r="BZE3" s="29"/>
      <c r="BZF3" s="29"/>
      <c r="BZG3" s="29"/>
      <c r="BZH3" s="29"/>
      <c r="BZI3" s="29"/>
      <c r="BZJ3" s="29"/>
      <c r="BZK3" s="29"/>
      <c r="BZL3" s="29"/>
      <c r="BZM3" s="29"/>
      <c r="BZN3" s="29"/>
      <c r="BZO3" s="29"/>
      <c r="BZP3" s="29"/>
      <c r="BZQ3" s="29"/>
      <c r="BZR3" s="29"/>
      <c r="BZS3" s="29"/>
      <c r="BZT3" s="29"/>
      <c r="BZU3" s="29"/>
      <c r="BZV3" s="29"/>
      <c r="BZW3" s="29"/>
      <c r="BZX3" s="29"/>
      <c r="BZY3" s="29"/>
      <c r="BZZ3" s="29"/>
      <c r="CAA3" s="29"/>
      <c r="CAB3" s="29"/>
      <c r="CAC3" s="29"/>
      <c r="CAD3" s="29"/>
      <c r="CAE3" s="29"/>
      <c r="CAF3" s="29"/>
      <c r="CAG3" s="29"/>
      <c r="CAH3" s="29"/>
      <c r="CAI3" s="29"/>
      <c r="CAJ3" s="29"/>
      <c r="CAK3" s="29"/>
      <c r="CAL3" s="29"/>
      <c r="CAM3" s="29"/>
      <c r="CAN3" s="29"/>
      <c r="CAO3" s="29"/>
      <c r="CAP3" s="29"/>
      <c r="CAQ3" s="29"/>
      <c r="CAR3" s="29"/>
      <c r="CAS3" s="29"/>
      <c r="CAT3" s="29"/>
      <c r="CAU3" s="29"/>
      <c r="CAV3" s="29"/>
      <c r="CAW3" s="29"/>
      <c r="CAX3" s="29"/>
      <c r="CAY3" s="29"/>
      <c r="CAZ3" s="29"/>
      <c r="CBA3" s="29"/>
      <c r="CBB3" s="29"/>
      <c r="CBC3" s="29"/>
      <c r="CBD3" s="29"/>
      <c r="CBE3" s="29"/>
      <c r="CBF3" s="29"/>
      <c r="CBG3" s="29"/>
      <c r="CBH3" s="29"/>
      <c r="CBI3" s="29"/>
      <c r="CBJ3" s="29"/>
      <c r="CBK3" s="29"/>
      <c r="CBL3" s="29"/>
      <c r="CBM3" s="29"/>
      <c r="CBN3" s="29"/>
      <c r="CBO3" s="29"/>
      <c r="CBP3" s="29"/>
      <c r="CBQ3" s="29"/>
      <c r="CBR3" s="29"/>
      <c r="CBS3" s="29"/>
      <c r="CBT3" s="29"/>
      <c r="CBU3" s="29"/>
      <c r="CBV3" s="29"/>
      <c r="CBW3" s="29"/>
      <c r="CBX3" s="29"/>
      <c r="CBY3" s="29"/>
      <c r="CBZ3" s="29"/>
      <c r="CCA3" s="29"/>
      <c r="CCB3" s="29"/>
      <c r="CCC3" s="29"/>
      <c r="CCD3" s="29"/>
      <c r="CCE3" s="29"/>
      <c r="CCF3" s="29"/>
      <c r="CCG3" s="29"/>
      <c r="CCH3" s="29"/>
      <c r="CCI3" s="29"/>
      <c r="CCJ3" s="29"/>
      <c r="CCK3" s="29"/>
      <c r="CCL3" s="29"/>
      <c r="CCM3" s="29"/>
      <c r="CCN3" s="29"/>
      <c r="CCO3" s="29"/>
      <c r="CCP3" s="29"/>
      <c r="CCQ3" s="29"/>
      <c r="CCR3" s="29"/>
      <c r="CCS3" s="29"/>
      <c r="CCT3" s="29"/>
      <c r="CCU3" s="29"/>
      <c r="CCV3" s="29"/>
      <c r="CCW3" s="29"/>
      <c r="CCX3" s="29"/>
      <c r="CCY3" s="29"/>
      <c r="CCZ3" s="29"/>
      <c r="CDA3" s="29"/>
      <c r="CDB3" s="29"/>
      <c r="CDC3" s="29"/>
      <c r="CDD3" s="29"/>
      <c r="CDE3" s="29"/>
      <c r="CDF3" s="29"/>
      <c r="CDG3" s="29"/>
      <c r="CDH3" s="29"/>
      <c r="CDI3" s="29"/>
      <c r="CDJ3" s="29"/>
      <c r="CDK3" s="29"/>
      <c r="CDL3" s="29"/>
      <c r="CDM3" s="29"/>
      <c r="CDN3" s="29"/>
      <c r="CDO3" s="29"/>
      <c r="CDP3" s="29"/>
      <c r="CDQ3" s="29"/>
      <c r="CDR3" s="29"/>
      <c r="CDS3" s="29"/>
      <c r="CDT3" s="29"/>
      <c r="CDU3" s="29"/>
      <c r="CDV3" s="29"/>
      <c r="CDW3" s="29"/>
      <c r="CDX3" s="29"/>
      <c r="CDY3" s="29"/>
      <c r="CDZ3" s="29"/>
      <c r="CEA3" s="29"/>
      <c r="CEB3" s="29"/>
      <c r="CEC3" s="29"/>
      <c r="CED3" s="29"/>
      <c r="CEE3" s="29"/>
      <c r="CEF3" s="29"/>
      <c r="CEG3" s="29"/>
      <c r="CEH3" s="29"/>
      <c r="CEI3" s="29"/>
      <c r="CEJ3" s="29"/>
      <c r="CEK3" s="29"/>
      <c r="CEL3" s="29"/>
      <c r="CEM3" s="29"/>
      <c r="CEN3" s="29"/>
      <c r="CEO3" s="29"/>
      <c r="CEP3" s="29"/>
      <c r="CEQ3" s="29"/>
      <c r="CER3" s="29"/>
      <c r="CES3" s="29"/>
      <c r="CET3" s="29"/>
      <c r="CEU3" s="29"/>
      <c r="CEV3" s="29"/>
      <c r="CEW3" s="29"/>
      <c r="CEX3" s="29"/>
      <c r="CEY3" s="29"/>
      <c r="CEZ3" s="29"/>
      <c r="CFA3" s="29"/>
      <c r="CFB3" s="29"/>
      <c r="CFC3" s="29"/>
      <c r="CFD3" s="29"/>
      <c r="CFE3" s="29"/>
      <c r="CFF3" s="29"/>
      <c r="CFG3" s="29"/>
      <c r="CFH3" s="29"/>
      <c r="CFI3" s="29"/>
      <c r="CFJ3" s="29"/>
      <c r="CFK3" s="29"/>
      <c r="CFL3" s="29"/>
      <c r="CFM3" s="29"/>
      <c r="CFN3" s="29"/>
      <c r="CFO3" s="29"/>
      <c r="CFP3" s="29"/>
      <c r="CFQ3" s="29"/>
      <c r="CFR3" s="29"/>
      <c r="CFS3" s="29"/>
      <c r="CFT3" s="29"/>
      <c r="CFU3" s="29"/>
      <c r="CFV3" s="29"/>
      <c r="CFW3" s="29"/>
      <c r="CFX3" s="29"/>
      <c r="CFY3" s="29"/>
      <c r="CFZ3" s="29"/>
      <c r="CGA3" s="29"/>
      <c r="CGB3" s="29"/>
      <c r="CGC3" s="29"/>
      <c r="CGD3" s="29"/>
      <c r="CGE3" s="29"/>
      <c r="CGF3" s="29"/>
      <c r="CGG3" s="29"/>
      <c r="CGH3" s="29"/>
      <c r="CGI3" s="29"/>
      <c r="CGJ3" s="29"/>
      <c r="CGK3" s="29"/>
      <c r="CGL3" s="29"/>
      <c r="CGM3" s="29"/>
      <c r="CGN3" s="29"/>
      <c r="CGO3" s="29"/>
      <c r="CGP3" s="29"/>
      <c r="CGQ3" s="29"/>
      <c r="CGR3" s="29"/>
      <c r="CGS3" s="29"/>
      <c r="CGT3" s="29"/>
      <c r="CGU3" s="29"/>
      <c r="CGV3" s="29"/>
      <c r="CGW3" s="29"/>
      <c r="CGX3" s="29"/>
      <c r="CGY3" s="29"/>
      <c r="CGZ3" s="29"/>
      <c r="CHA3" s="29"/>
      <c r="CHB3" s="29"/>
      <c r="CHC3" s="29"/>
      <c r="CHD3" s="29"/>
      <c r="CHE3" s="29"/>
      <c r="CHF3" s="29"/>
      <c r="CHG3" s="29"/>
      <c r="CHH3" s="29"/>
      <c r="CHI3" s="29"/>
      <c r="CHJ3" s="29"/>
      <c r="CHK3" s="29"/>
      <c r="CHL3" s="29"/>
      <c r="CHM3" s="29"/>
      <c r="CHN3" s="29"/>
      <c r="CHO3" s="29"/>
      <c r="CHP3" s="29"/>
      <c r="CHQ3" s="29"/>
      <c r="CHR3" s="29"/>
      <c r="CHS3" s="29"/>
      <c r="CHT3" s="29"/>
      <c r="CHU3" s="29"/>
      <c r="CHV3" s="29"/>
      <c r="CHW3" s="29"/>
      <c r="CHX3" s="29"/>
      <c r="CHY3" s="29"/>
      <c r="CHZ3" s="29"/>
      <c r="CIA3" s="29"/>
      <c r="CIB3" s="29"/>
      <c r="CIC3" s="29"/>
      <c r="CID3" s="29"/>
      <c r="CIE3" s="29"/>
      <c r="CIF3" s="29"/>
      <c r="CIG3" s="29"/>
      <c r="CIH3" s="29"/>
      <c r="CII3" s="29"/>
      <c r="CIJ3" s="29"/>
      <c r="CIK3" s="29"/>
      <c r="CIL3" s="29"/>
      <c r="CIM3" s="29"/>
      <c r="CIN3" s="29"/>
      <c r="CIO3" s="29"/>
      <c r="CIP3" s="29"/>
      <c r="CIQ3" s="29"/>
      <c r="CIR3" s="29"/>
      <c r="CIS3" s="29"/>
      <c r="CIT3" s="29"/>
      <c r="CIU3" s="29"/>
      <c r="CIV3" s="29"/>
      <c r="CIW3" s="29"/>
      <c r="CIX3" s="29"/>
      <c r="CIY3" s="29"/>
      <c r="CIZ3" s="29"/>
      <c r="CJA3" s="29"/>
      <c r="CJB3" s="29"/>
      <c r="CJC3" s="29"/>
      <c r="CJD3" s="29"/>
      <c r="CJE3" s="29"/>
      <c r="CJF3" s="29"/>
      <c r="CJG3" s="29"/>
      <c r="CJH3" s="29"/>
      <c r="CJI3" s="29"/>
      <c r="CJJ3" s="29"/>
      <c r="CJK3" s="29"/>
      <c r="CJL3" s="29"/>
      <c r="CJM3" s="29"/>
      <c r="CJN3" s="29"/>
      <c r="CJO3" s="29"/>
      <c r="CJP3" s="29"/>
      <c r="CJQ3" s="29"/>
      <c r="CJR3" s="29"/>
      <c r="CJS3" s="29"/>
      <c r="CJT3" s="29"/>
      <c r="CJU3" s="29"/>
      <c r="CJV3" s="29"/>
      <c r="CJW3" s="29"/>
      <c r="CJX3" s="29"/>
      <c r="CJY3" s="29"/>
      <c r="CJZ3" s="29"/>
      <c r="CKA3" s="29"/>
      <c r="CKB3" s="29"/>
      <c r="CKC3" s="29"/>
      <c r="CKD3" s="29"/>
      <c r="CKE3" s="29"/>
      <c r="CKF3" s="29"/>
      <c r="CKG3" s="29"/>
      <c r="CKH3" s="29"/>
      <c r="CKI3" s="29"/>
      <c r="CKJ3" s="29"/>
      <c r="CKK3" s="29"/>
      <c r="CKL3" s="29"/>
      <c r="CKM3" s="29"/>
      <c r="CKN3" s="29"/>
      <c r="CKO3" s="29"/>
      <c r="CKP3" s="29"/>
      <c r="CKQ3" s="29"/>
      <c r="CKR3" s="29"/>
      <c r="CKS3" s="29"/>
      <c r="CKT3" s="29"/>
      <c r="CKU3" s="29"/>
      <c r="CKV3" s="29"/>
      <c r="CKW3" s="29"/>
      <c r="CKX3" s="29"/>
      <c r="CKY3" s="29"/>
      <c r="CKZ3" s="29"/>
      <c r="CLA3" s="29"/>
      <c r="CLB3" s="29"/>
      <c r="CLC3" s="29"/>
      <c r="CLD3" s="29"/>
      <c r="CLE3" s="29"/>
      <c r="CLF3" s="29"/>
      <c r="CLG3" s="29"/>
      <c r="CLH3" s="29"/>
      <c r="CLI3" s="29"/>
      <c r="CLJ3" s="29"/>
      <c r="CLK3" s="29"/>
      <c r="CLL3" s="29"/>
      <c r="CLM3" s="29"/>
      <c r="CLN3" s="29"/>
      <c r="CLO3" s="29"/>
      <c r="CLP3" s="29"/>
      <c r="CLQ3" s="29"/>
      <c r="CLR3" s="29"/>
      <c r="CLS3" s="29"/>
      <c r="CLT3" s="29"/>
      <c r="CLU3" s="29"/>
      <c r="CLV3" s="29"/>
      <c r="CLW3" s="29"/>
      <c r="CLX3" s="29"/>
      <c r="CLY3" s="29"/>
      <c r="CLZ3" s="29"/>
      <c r="CMA3" s="29"/>
      <c r="CMB3" s="29"/>
      <c r="CMC3" s="29"/>
      <c r="CMD3" s="29"/>
      <c r="CME3" s="29"/>
      <c r="CMF3" s="29"/>
      <c r="CMG3" s="29"/>
      <c r="CMH3" s="29"/>
      <c r="CMI3" s="29"/>
      <c r="CMJ3" s="29"/>
      <c r="CMK3" s="29"/>
      <c r="CML3" s="29"/>
      <c r="CMM3" s="29"/>
      <c r="CMN3" s="29"/>
      <c r="CMO3" s="29"/>
      <c r="CMP3" s="29"/>
      <c r="CMQ3" s="29"/>
      <c r="CMR3" s="29"/>
      <c r="CMS3" s="29"/>
      <c r="CMT3" s="29"/>
      <c r="CMU3" s="29"/>
      <c r="CMV3" s="29"/>
      <c r="CMW3" s="29"/>
      <c r="CMX3" s="29"/>
      <c r="CMY3" s="29"/>
      <c r="CMZ3" s="29"/>
      <c r="CNA3" s="29"/>
      <c r="CNB3" s="29"/>
      <c r="CNC3" s="29"/>
      <c r="CND3" s="29"/>
      <c r="CNE3" s="29"/>
      <c r="CNF3" s="29"/>
      <c r="CNG3" s="29"/>
      <c r="CNH3" s="29"/>
      <c r="CNI3" s="29"/>
      <c r="CNJ3" s="29"/>
      <c r="CNK3" s="29"/>
      <c r="CNL3" s="29"/>
      <c r="CNM3" s="29"/>
      <c r="CNN3" s="29"/>
      <c r="CNO3" s="29"/>
      <c r="CNP3" s="29"/>
      <c r="CNQ3" s="29"/>
      <c r="CNR3" s="29"/>
      <c r="CNS3" s="29"/>
      <c r="CNT3" s="29"/>
      <c r="CNU3" s="29"/>
      <c r="CNV3" s="29"/>
      <c r="CNW3" s="29"/>
      <c r="CNX3" s="29"/>
      <c r="CNY3" s="29"/>
      <c r="CNZ3" s="29"/>
      <c r="COA3" s="29"/>
      <c r="COB3" s="29"/>
      <c r="COC3" s="29"/>
      <c r="COD3" s="29"/>
      <c r="COE3" s="29"/>
      <c r="COF3" s="29"/>
      <c r="COG3" s="29"/>
      <c r="COH3" s="29"/>
      <c r="COI3" s="29"/>
      <c r="COJ3" s="29"/>
      <c r="COK3" s="29"/>
      <c r="COL3" s="29"/>
      <c r="COM3" s="29"/>
      <c r="CON3" s="29"/>
      <c r="COO3" s="29"/>
      <c r="COP3" s="29"/>
      <c r="COQ3" s="29"/>
      <c r="COR3" s="29"/>
      <c r="COS3" s="29"/>
      <c r="COT3" s="29"/>
      <c r="COU3" s="29"/>
      <c r="COV3" s="29"/>
      <c r="COW3" s="29"/>
      <c r="COX3" s="29"/>
      <c r="COY3" s="29"/>
      <c r="COZ3" s="29"/>
      <c r="CPA3" s="29"/>
      <c r="CPB3" s="29"/>
      <c r="CPC3" s="29"/>
      <c r="CPD3" s="29"/>
      <c r="CPE3" s="29"/>
      <c r="CPF3" s="29"/>
      <c r="CPG3" s="29"/>
      <c r="CPH3" s="29"/>
      <c r="CPI3" s="29"/>
      <c r="CPJ3" s="29"/>
      <c r="CPK3" s="29"/>
      <c r="CPL3" s="29"/>
      <c r="CPM3" s="29"/>
      <c r="CPN3" s="29"/>
      <c r="CPO3" s="29"/>
      <c r="CPP3" s="29"/>
      <c r="CPQ3" s="29"/>
      <c r="CPR3" s="29"/>
      <c r="CPS3" s="29"/>
      <c r="CPT3" s="29"/>
      <c r="CPU3" s="29"/>
      <c r="CPV3" s="29"/>
      <c r="CPW3" s="29"/>
      <c r="CPX3" s="29"/>
      <c r="CPY3" s="29"/>
      <c r="CPZ3" s="29"/>
      <c r="CQA3" s="29"/>
      <c r="CQB3" s="29"/>
      <c r="CQC3" s="29"/>
      <c r="CQD3" s="29"/>
      <c r="CQE3" s="29"/>
      <c r="CQF3" s="29"/>
      <c r="CQG3" s="29"/>
      <c r="CQH3" s="29"/>
      <c r="CQI3" s="29"/>
      <c r="CQJ3" s="29"/>
      <c r="CQK3" s="29"/>
      <c r="CQL3" s="29"/>
      <c r="CQM3" s="29"/>
      <c r="CQN3" s="29"/>
      <c r="CQO3" s="29"/>
      <c r="CQP3" s="29"/>
      <c r="CQQ3" s="29"/>
      <c r="CQR3" s="29"/>
      <c r="CQS3" s="29"/>
      <c r="CQT3" s="29"/>
      <c r="CQU3" s="29"/>
      <c r="CQV3" s="29"/>
      <c r="CQW3" s="29"/>
      <c r="CQX3" s="29"/>
      <c r="CQY3" s="29"/>
      <c r="CQZ3" s="29"/>
      <c r="CRA3" s="29"/>
      <c r="CRB3" s="29"/>
      <c r="CRC3" s="29"/>
      <c r="CRD3" s="29"/>
      <c r="CRE3" s="29"/>
      <c r="CRF3" s="29"/>
      <c r="CRG3" s="29"/>
      <c r="CRH3" s="29"/>
      <c r="CRI3" s="29"/>
      <c r="CRJ3" s="29"/>
      <c r="CRK3" s="29"/>
      <c r="CRL3" s="29"/>
      <c r="CRM3" s="29"/>
      <c r="CRN3" s="29"/>
      <c r="CRO3" s="29"/>
      <c r="CRP3" s="29"/>
      <c r="CRQ3" s="29"/>
      <c r="CRR3" s="29"/>
      <c r="CRS3" s="29"/>
      <c r="CRT3" s="29"/>
      <c r="CRU3" s="29"/>
      <c r="CRV3" s="29"/>
      <c r="CRW3" s="29"/>
      <c r="CRX3" s="29"/>
      <c r="CRY3" s="29"/>
      <c r="CRZ3" s="29"/>
      <c r="CSA3" s="29"/>
      <c r="CSB3" s="29"/>
      <c r="CSC3" s="29"/>
      <c r="CSD3" s="29"/>
      <c r="CSE3" s="29"/>
      <c r="CSF3" s="29"/>
      <c r="CSG3" s="29"/>
      <c r="CSH3" s="29"/>
      <c r="CSI3" s="29"/>
      <c r="CSJ3" s="29"/>
      <c r="CSK3" s="29"/>
      <c r="CSL3" s="29"/>
      <c r="CSM3" s="29"/>
      <c r="CSN3" s="29"/>
      <c r="CSO3" s="29"/>
      <c r="CSP3" s="29"/>
      <c r="CSQ3" s="29"/>
      <c r="CSR3" s="29"/>
      <c r="CSS3" s="29"/>
      <c r="CST3" s="29"/>
      <c r="CSU3" s="29"/>
      <c r="CSV3" s="29"/>
      <c r="CSW3" s="29"/>
      <c r="CSX3" s="29"/>
      <c r="CSY3" s="29"/>
      <c r="CSZ3" s="29"/>
      <c r="CTA3" s="29"/>
      <c r="CTB3" s="29"/>
      <c r="CTC3" s="29"/>
      <c r="CTD3" s="29"/>
      <c r="CTE3" s="29"/>
      <c r="CTF3" s="29"/>
      <c r="CTG3" s="29"/>
      <c r="CTH3" s="29"/>
      <c r="CTI3" s="29"/>
      <c r="CTJ3" s="29"/>
      <c r="CTK3" s="29"/>
      <c r="CTL3" s="29"/>
      <c r="CTM3" s="29"/>
      <c r="CTN3" s="29"/>
      <c r="CTO3" s="29"/>
      <c r="CTP3" s="29"/>
      <c r="CTQ3" s="29"/>
      <c r="CTR3" s="29"/>
      <c r="CTS3" s="29"/>
      <c r="CTT3" s="29"/>
      <c r="CTU3" s="29"/>
      <c r="CTV3" s="29"/>
      <c r="CTW3" s="29"/>
      <c r="CTX3" s="29"/>
      <c r="CTY3" s="29"/>
      <c r="CTZ3" s="29"/>
      <c r="CUA3" s="29"/>
      <c r="CUB3" s="29"/>
      <c r="CUC3" s="29"/>
      <c r="CUD3" s="29"/>
      <c r="CUE3" s="29"/>
      <c r="CUF3" s="29"/>
      <c r="CUG3" s="29"/>
      <c r="CUH3" s="29"/>
      <c r="CUI3" s="29"/>
      <c r="CUJ3" s="29"/>
      <c r="CUK3" s="29"/>
      <c r="CUL3" s="29"/>
      <c r="CUM3" s="29"/>
      <c r="CUN3" s="29"/>
      <c r="CUO3" s="29"/>
      <c r="CUP3" s="29"/>
      <c r="CUQ3" s="29"/>
      <c r="CUR3" s="29"/>
      <c r="CUS3" s="29"/>
      <c r="CUT3" s="29"/>
      <c r="CUU3" s="29"/>
      <c r="CUV3" s="29"/>
      <c r="CUW3" s="29"/>
      <c r="CUX3" s="29"/>
      <c r="CUY3" s="29"/>
      <c r="CUZ3" s="29"/>
      <c r="CVA3" s="29"/>
      <c r="CVB3" s="29"/>
      <c r="CVC3" s="29"/>
      <c r="CVD3" s="29"/>
      <c r="CVE3" s="29"/>
      <c r="CVF3" s="29"/>
      <c r="CVG3" s="29"/>
      <c r="CVH3" s="29"/>
      <c r="CVI3" s="29"/>
      <c r="CVJ3" s="29"/>
      <c r="CVK3" s="29"/>
      <c r="CVL3" s="29"/>
      <c r="CVM3" s="29"/>
      <c r="CVN3" s="29"/>
      <c r="CVO3" s="29"/>
      <c r="CVP3" s="29"/>
      <c r="CVQ3" s="29"/>
      <c r="CVR3" s="29"/>
      <c r="CVS3" s="29"/>
      <c r="CVT3" s="29"/>
      <c r="CVU3" s="29"/>
      <c r="CVV3" s="29"/>
      <c r="CVW3" s="29"/>
      <c r="CVX3" s="29"/>
      <c r="CVY3" s="29"/>
      <c r="CVZ3" s="29"/>
      <c r="CWA3" s="29"/>
      <c r="CWB3" s="29"/>
      <c r="CWC3" s="29"/>
      <c r="CWD3" s="29"/>
      <c r="CWE3" s="29"/>
      <c r="CWF3" s="29"/>
      <c r="CWG3" s="29"/>
      <c r="CWH3" s="29"/>
      <c r="CWI3" s="29"/>
      <c r="CWJ3" s="29"/>
      <c r="CWK3" s="29"/>
      <c r="CWL3" s="29"/>
      <c r="CWM3" s="29"/>
      <c r="CWN3" s="29"/>
      <c r="CWO3" s="29"/>
      <c r="CWP3" s="29"/>
      <c r="CWQ3" s="29"/>
      <c r="CWR3" s="29"/>
      <c r="CWS3" s="29"/>
      <c r="CWT3" s="29"/>
      <c r="CWU3" s="29"/>
      <c r="CWV3" s="29"/>
      <c r="CWW3" s="29"/>
      <c r="CWX3" s="29"/>
      <c r="CWY3" s="29"/>
      <c r="CWZ3" s="29"/>
      <c r="CXA3" s="29"/>
      <c r="CXB3" s="29"/>
      <c r="CXC3" s="29"/>
      <c r="CXD3" s="29"/>
      <c r="CXE3" s="29"/>
      <c r="CXF3" s="29"/>
      <c r="CXG3" s="29"/>
      <c r="CXH3" s="29"/>
      <c r="CXI3" s="29"/>
      <c r="CXJ3" s="29"/>
      <c r="CXK3" s="29"/>
      <c r="CXL3" s="29"/>
      <c r="CXM3" s="29"/>
      <c r="CXN3" s="29"/>
      <c r="CXO3" s="29"/>
      <c r="CXP3" s="29"/>
      <c r="CXQ3" s="29"/>
      <c r="CXR3" s="29"/>
      <c r="CXS3" s="29"/>
      <c r="CXT3" s="29"/>
      <c r="CXU3" s="29"/>
      <c r="CXV3" s="29"/>
      <c r="CXW3" s="29"/>
      <c r="CXX3" s="29"/>
      <c r="CXY3" s="29"/>
      <c r="CXZ3" s="29"/>
      <c r="CYA3" s="29"/>
      <c r="CYB3" s="29"/>
      <c r="CYC3" s="29"/>
      <c r="CYD3" s="29"/>
      <c r="CYE3" s="29"/>
      <c r="CYF3" s="29"/>
      <c r="CYG3" s="29"/>
      <c r="CYH3" s="29"/>
      <c r="CYI3" s="29"/>
      <c r="CYJ3" s="29"/>
      <c r="CYK3" s="29"/>
      <c r="CYL3" s="29"/>
      <c r="CYM3" s="29"/>
      <c r="CYN3" s="29"/>
      <c r="CYO3" s="29"/>
      <c r="CYP3" s="29"/>
      <c r="CYQ3" s="29"/>
      <c r="CYR3" s="29"/>
      <c r="CYS3" s="29"/>
      <c r="CYT3" s="29"/>
      <c r="CYU3" s="29"/>
      <c r="CYV3" s="29"/>
      <c r="CYW3" s="29"/>
      <c r="CYX3" s="29"/>
      <c r="CYY3" s="29"/>
      <c r="CYZ3" s="29"/>
      <c r="CZA3" s="29"/>
      <c r="CZB3" s="29"/>
      <c r="CZC3" s="29"/>
      <c r="CZD3" s="29"/>
      <c r="CZE3" s="29"/>
      <c r="CZF3" s="29"/>
      <c r="CZG3" s="29"/>
      <c r="CZH3" s="29"/>
      <c r="CZI3" s="29"/>
      <c r="CZJ3" s="29"/>
      <c r="CZK3" s="29"/>
      <c r="CZL3" s="29"/>
      <c r="CZM3" s="29"/>
      <c r="CZN3" s="29"/>
      <c r="CZO3" s="29"/>
      <c r="CZP3" s="29"/>
      <c r="CZQ3" s="29"/>
      <c r="CZR3" s="29"/>
      <c r="CZS3" s="29"/>
      <c r="CZT3" s="29"/>
      <c r="CZU3" s="29"/>
      <c r="CZV3" s="29"/>
      <c r="CZW3" s="29"/>
      <c r="CZX3" s="29"/>
      <c r="CZY3" s="29"/>
      <c r="CZZ3" s="29"/>
      <c r="DAA3" s="29"/>
      <c r="DAB3" s="29"/>
      <c r="DAC3" s="29"/>
      <c r="DAD3" s="29"/>
      <c r="DAE3" s="29"/>
      <c r="DAF3" s="29"/>
      <c r="DAG3" s="29"/>
      <c r="DAH3" s="29"/>
      <c r="DAI3" s="29"/>
      <c r="DAJ3" s="29"/>
      <c r="DAK3" s="29"/>
      <c r="DAL3" s="29"/>
      <c r="DAM3" s="29"/>
      <c r="DAN3" s="29"/>
      <c r="DAO3" s="29"/>
      <c r="DAP3" s="29"/>
      <c r="DAQ3" s="29"/>
      <c r="DAR3" s="29"/>
      <c r="DAS3" s="29"/>
      <c r="DAT3" s="29"/>
      <c r="DAU3" s="29"/>
      <c r="DAV3" s="29"/>
      <c r="DAW3" s="29"/>
      <c r="DAX3" s="29"/>
      <c r="DAY3" s="29"/>
      <c r="DAZ3" s="29"/>
      <c r="DBA3" s="29"/>
      <c r="DBB3" s="29"/>
      <c r="DBC3" s="29"/>
      <c r="DBD3" s="29"/>
      <c r="DBE3" s="29"/>
      <c r="DBF3" s="29"/>
      <c r="DBG3" s="29"/>
      <c r="DBH3" s="29"/>
      <c r="DBI3" s="29"/>
      <c r="DBJ3" s="29"/>
      <c r="DBK3" s="29"/>
      <c r="DBL3" s="29"/>
      <c r="DBM3" s="29"/>
      <c r="DBN3" s="29"/>
      <c r="DBO3" s="29"/>
      <c r="DBP3" s="29"/>
      <c r="DBQ3" s="29"/>
      <c r="DBR3" s="29"/>
      <c r="DBS3" s="29"/>
      <c r="DBT3" s="29"/>
      <c r="DBU3" s="29"/>
      <c r="DBV3" s="29"/>
      <c r="DBW3" s="29"/>
      <c r="DBX3" s="29"/>
      <c r="DBY3" s="29"/>
      <c r="DBZ3" s="29"/>
      <c r="DCA3" s="29"/>
      <c r="DCB3" s="29"/>
      <c r="DCC3" s="29"/>
      <c r="DCD3" s="29"/>
      <c r="DCE3" s="29"/>
      <c r="DCF3" s="29"/>
      <c r="DCG3" s="29"/>
      <c r="DCH3" s="29"/>
      <c r="DCI3" s="29"/>
      <c r="DCJ3" s="29"/>
      <c r="DCK3" s="29"/>
      <c r="DCL3" s="29"/>
      <c r="DCM3" s="29"/>
      <c r="DCN3" s="29"/>
      <c r="DCO3" s="29"/>
      <c r="DCP3" s="29"/>
      <c r="DCQ3" s="29"/>
      <c r="DCR3" s="29"/>
      <c r="DCS3" s="29"/>
      <c r="DCT3" s="29"/>
      <c r="DCU3" s="29"/>
      <c r="DCV3" s="29"/>
      <c r="DCW3" s="29"/>
      <c r="DCX3" s="29"/>
      <c r="DCY3" s="29"/>
      <c r="DCZ3" s="29"/>
      <c r="DDA3" s="29"/>
      <c r="DDB3" s="29"/>
      <c r="DDC3" s="29"/>
      <c r="DDD3" s="29"/>
      <c r="DDE3" s="29"/>
      <c r="DDF3" s="29"/>
      <c r="DDG3" s="29"/>
      <c r="DDH3" s="29"/>
      <c r="DDI3" s="29"/>
      <c r="DDJ3" s="29"/>
      <c r="DDK3" s="29"/>
      <c r="DDL3" s="29"/>
      <c r="DDM3" s="29"/>
      <c r="DDN3" s="29"/>
      <c r="DDO3" s="29"/>
      <c r="DDP3" s="29"/>
      <c r="DDQ3" s="29"/>
      <c r="DDR3" s="29"/>
      <c r="DDS3" s="29"/>
      <c r="DDT3" s="29"/>
      <c r="DDU3" s="29"/>
      <c r="DDV3" s="29"/>
      <c r="DDW3" s="29"/>
      <c r="DDX3" s="29"/>
      <c r="DDY3" s="29"/>
      <c r="DDZ3" s="29"/>
      <c r="DEA3" s="29"/>
      <c r="DEB3" s="29"/>
      <c r="DEC3" s="29"/>
      <c r="DED3" s="29"/>
      <c r="DEE3" s="29"/>
      <c r="DEF3" s="29"/>
      <c r="DEG3" s="29"/>
      <c r="DEH3" s="29"/>
      <c r="DEI3" s="29"/>
      <c r="DEJ3" s="29"/>
      <c r="DEK3" s="29"/>
      <c r="DEL3" s="29"/>
      <c r="DEM3" s="29"/>
      <c r="DEN3" s="29"/>
      <c r="DEO3" s="29"/>
      <c r="DEP3" s="29"/>
      <c r="DEQ3" s="29"/>
      <c r="DER3" s="29"/>
      <c r="DES3" s="29"/>
      <c r="DET3" s="29"/>
      <c r="DEU3" s="29"/>
      <c r="DEV3" s="29"/>
      <c r="DEW3" s="29"/>
      <c r="DEX3" s="29"/>
      <c r="DEY3" s="29"/>
      <c r="DEZ3" s="29"/>
      <c r="DFA3" s="29"/>
      <c r="DFB3" s="29"/>
      <c r="DFC3" s="29"/>
      <c r="DFD3" s="29"/>
      <c r="DFE3" s="29"/>
      <c r="DFF3" s="29"/>
      <c r="DFG3" s="29"/>
      <c r="DFH3" s="29"/>
      <c r="DFI3" s="29"/>
      <c r="DFJ3" s="29"/>
      <c r="DFK3" s="29"/>
      <c r="DFL3" s="29"/>
      <c r="DFM3" s="29"/>
      <c r="DFN3" s="29"/>
      <c r="DFO3" s="29"/>
      <c r="DFP3" s="29"/>
      <c r="DFQ3" s="29"/>
      <c r="DFR3" s="29"/>
      <c r="DFS3" s="29"/>
      <c r="DFT3" s="29"/>
      <c r="DFU3" s="29"/>
      <c r="DFV3" s="29"/>
      <c r="DFW3" s="29"/>
      <c r="DFX3" s="29"/>
      <c r="DFY3" s="29"/>
      <c r="DFZ3" s="29"/>
      <c r="DGA3" s="29"/>
      <c r="DGB3" s="29"/>
      <c r="DGC3" s="29"/>
      <c r="DGD3" s="29"/>
      <c r="DGE3" s="29"/>
      <c r="DGF3" s="29"/>
      <c r="DGG3" s="29"/>
      <c r="DGH3" s="29"/>
      <c r="DGI3" s="29"/>
      <c r="DGJ3" s="29"/>
      <c r="DGK3" s="29"/>
      <c r="DGL3" s="29"/>
      <c r="DGM3" s="29"/>
      <c r="DGN3" s="29"/>
      <c r="DGO3" s="29"/>
      <c r="DGP3" s="29"/>
      <c r="DGQ3" s="29"/>
      <c r="DGR3" s="29"/>
      <c r="DGS3" s="29"/>
      <c r="DGT3" s="29"/>
      <c r="DGU3" s="29"/>
      <c r="DGV3" s="29"/>
      <c r="DGW3" s="29"/>
      <c r="DGX3" s="29"/>
      <c r="DGY3" s="29"/>
      <c r="DGZ3" s="29"/>
      <c r="DHA3" s="29"/>
      <c r="DHB3" s="29"/>
      <c r="DHC3" s="29"/>
      <c r="DHD3" s="29"/>
      <c r="DHE3" s="29"/>
      <c r="DHF3" s="29"/>
      <c r="DHG3" s="29"/>
      <c r="DHH3" s="29"/>
      <c r="DHI3" s="29"/>
      <c r="DHJ3" s="29"/>
      <c r="DHK3" s="29"/>
      <c r="DHL3" s="29"/>
      <c r="DHM3" s="29"/>
      <c r="DHN3" s="29"/>
      <c r="DHO3" s="29"/>
      <c r="DHP3" s="29"/>
      <c r="DHQ3" s="29"/>
      <c r="DHR3" s="29"/>
      <c r="DHS3" s="29"/>
      <c r="DHT3" s="29"/>
      <c r="DHU3" s="29"/>
      <c r="DHV3" s="29"/>
      <c r="DHW3" s="29"/>
      <c r="DHX3" s="29"/>
      <c r="DHY3" s="29"/>
      <c r="DHZ3" s="29"/>
      <c r="DIA3" s="29"/>
      <c r="DIB3" s="29"/>
      <c r="DIC3" s="29"/>
      <c r="DID3" s="29"/>
      <c r="DIE3" s="29"/>
      <c r="DIF3" s="29"/>
      <c r="DIG3" s="29"/>
      <c r="DIH3" s="29"/>
      <c r="DII3" s="29"/>
      <c r="DIJ3" s="29"/>
      <c r="DIK3" s="29"/>
      <c r="DIL3" s="29"/>
      <c r="DIM3" s="29"/>
      <c r="DIN3" s="29"/>
      <c r="DIO3" s="29"/>
      <c r="DIP3" s="29"/>
      <c r="DIQ3" s="29"/>
      <c r="DIR3" s="29"/>
      <c r="DIS3" s="29"/>
      <c r="DIT3" s="29"/>
      <c r="DIU3" s="29"/>
      <c r="DIV3" s="29"/>
      <c r="DIW3" s="29"/>
      <c r="DIX3" s="29"/>
      <c r="DIY3" s="29"/>
      <c r="DIZ3" s="29"/>
      <c r="DJA3" s="29"/>
      <c r="DJB3" s="29"/>
      <c r="DJC3" s="29"/>
      <c r="DJD3" s="29"/>
      <c r="DJE3" s="29"/>
      <c r="DJF3" s="29"/>
      <c r="DJG3" s="29"/>
      <c r="DJH3" s="29"/>
      <c r="DJI3" s="29"/>
      <c r="DJJ3" s="29"/>
      <c r="DJK3" s="29"/>
      <c r="DJL3" s="29"/>
      <c r="DJM3" s="29"/>
      <c r="DJN3" s="29"/>
      <c r="DJO3" s="29"/>
      <c r="DJP3" s="29"/>
      <c r="DJQ3" s="29"/>
      <c r="DJR3" s="29"/>
      <c r="DJS3" s="29"/>
      <c r="DJT3" s="29"/>
      <c r="DJU3" s="29"/>
      <c r="DJV3" s="29"/>
      <c r="DJW3" s="29"/>
      <c r="DJX3" s="29"/>
      <c r="DJY3" s="29"/>
      <c r="DJZ3" s="29"/>
      <c r="DKA3" s="29"/>
      <c r="DKB3" s="29"/>
      <c r="DKC3" s="29"/>
      <c r="DKD3" s="29"/>
      <c r="DKE3" s="29"/>
      <c r="DKF3" s="29"/>
      <c r="DKG3" s="29"/>
      <c r="DKH3" s="29"/>
      <c r="DKI3" s="29"/>
      <c r="DKJ3" s="29"/>
      <c r="DKK3" s="29"/>
      <c r="DKL3" s="29"/>
      <c r="DKM3" s="29"/>
      <c r="DKN3" s="29"/>
      <c r="DKO3" s="29"/>
      <c r="DKP3" s="29"/>
      <c r="DKQ3" s="29"/>
      <c r="DKR3" s="29"/>
      <c r="DKS3" s="29"/>
      <c r="DKT3" s="29"/>
      <c r="DKU3" s="29"/>
      <c r="DKV3" s="29"/>
      <c r="DKW3" s="29"/>
      <c r="DKX3" s="29"/>
      <c r="DKY3" s="29"/>
      <c r="DKZ3" s="29"/>
      <c r="DLA3" s="29"/>
      <c r="DLB3" s="29"/>
      <c r="DLC3" s="29"/>
      <c r="DLD3" s="29"/>
      <c r="DLE3" s="29"/>
      <c r="DLF3" s="29"/>
      <c r="DLG3" s="29"/>
      <c r="DLH3" s="29"/>
      <c r="DLI3" s="29"/>
      <c r="DLJ3" s="29"/>
      <c r="DLK3" s="29"/>
      <c r="DLL3" s="29"/>
      <c r="DLM3" s="29"/>
      <c r="DLN3" s="29"/>
      <c r="DLO3" s="29"/>
      <c r="DLP3" s="29"/>
      <c r="DLQ3" s="29"/>
      <c r="DLR3" s="29"/>
      <c r="DLS3" s="29"/>
      <c r="DLT3" s="29"/>
      <c r="DLU3" s="29"/>
      <c r="DLV3" s="29"/>
      <c r="DLW3" s="29"/>
      <c r="DLX3" s="29"/>
      <c r="DLY3" s="29"/>
      <c r="DLZ3" s="29"/>
      <c r="DMA3" s="29"/>
      <c r="DMB3" s="29"/>
      <c r="DMC3" s="29"/>
      <c r="DMD3" s="29"/>
      <c r="DME3" s="29"/>
      <c r="DMF3" s="29"/>
      <c r="DMG3" s="29"/>
      <c r="DMH3" s="29"/>
      <c r="DMI3" s="29"/>
      <c r="DMJ3" s="29"/>
      <c r="DMK3" s="29"/>
      <c r="DML3" s="29"/>
      <c r="DMM3" s="29"/>
      <c r="DMN3" s="29"/>
      <c r="DMO3" s="29"/>
      <c r="DMP3" s="29"/>
      <c r="DMQ3" s="29"/>
      <c r="DMR3" s="29"/>
      <c r="DMS3" s="29"/>
      <c r="DMT3" s="29"/>
      <c r="DMU3" s="29"/>
      <c r="DMV3" s="29"/>
      <c r="DMW3" s="29"/>
      <c r="DMX3" s="29"/>
      <c r="DMY3" s="29"/>
      <c r="DMZ3" s="29"/>
      <c r="DNA3" s="29"/>
      <c r="DNB3" s="29"/>
      <c r="DNC3" s="29"/>
      <c r="DND3" s="29"/>
      <c r="DNE3" s="29"/>
      <c r="DNF3" s="29"/>
      <c r="DNG3" s="29"/>
      <c r="DNH3" s="29"/>
      <c r="DNI3" s="29"/>
      <c r="DNJ3" s="29"/>
      <c r="DNK3" s="29"/>
      <c r="DNL3" s="29"/>
      <c r="DNM3" s="29"/>
      <c r="DNN3" s="29"/>
      <c r="DNO3" s="29"/>
      <c r="DNP3" s="29"/>
      <c r="DNQ3" s="29"/>
      <c r="DNR3" s="29"/>
      <c r="DNS3" s="29"/>
      <c r="DNT3" s="29"/>
      <c r="DNU3" s="29"/>
      <c r="DNV3" s="29"/>
      <c r="DNW3" s="29"/>
      <c r="DNX3" s="29"/>
      <c r="DNY3" s="29"/>
      <c r="DNZ3" s="29"/>
      <c r="DOA3" s="29"/>
      <c r="DOB3" s="29"/>
      <c r="DOC3" s="29"/>
      <c r="DOD3" s="29"/>
      <c r="DOE3" s="29"/>
      <c r="DOF3" s="29"/>
      <c r="DOG3" s="29"/>
      <c r="DOH3" s="29"/>
      <c r="DOI3" s="29"/>
      <c r="DOJ3" s="29"/>
      <c r="DOK3" s="29"/>
      <c r="DOL3" s="29"/>
      <c r="DOM3" s="29"/>
      <c r="DON3" s="29"/>
      <c r="DOO3" s="29"/>
      <c r="DOP3" s="29"/>
      <c r="DOQ3" s="29"/>
      <c r="DOR3" s="29"/>
      <c r="DOS3" s="29"/>
      <c r="DOT3" s="29"/>
      <c r="DOU3" s="29"/>
      <c r="DOV3" s="29"/>
      <c r="DOW3" s="29"/>
      <c r="DOX3" s="29"/>
      <c r="DOY3" s="29"/>
      <c r="DOZ3" s="29"/>
      <c r="DPA3" s="29"/>
      <c r="DPB3" s="29"/>
      <c r="DPC3" s="29"/>
      <c r="DPD3" s="29"/>
      <c r="DPE3" s="29"/>
      <c r="DPF3" s="29"/>
      <c r="DPG3" s="29"/>
      <c r="DPH3" s="29"/>
      <c r="DPI3" s="29"/>
      <c r="DPJ3" s="29"/>
      <c r="DPK3" s="29"/>
      <c r="DPL3" s="29"/>
      <c r="DPM3" s="29"/>
      <c r="DPN3" s="29"/>
      <c r="DPO3" s="29"/>
      <c r="DPP3" s="29"/>
      <c r="DPQ3" s="29"/>
      <c r="DPR3" s="29"/>
      <c r="DPS3" s="29"/>
      <c r="DPT3" s="29"/>
      <c r="DPU3" s="29"/>
      <c r="DPV3" s="29"/>
      <c r="DPW3" s="29"/>
      <c r="DPX3" s="29"/>
      <c r="DPY3" s="29"/>
      <c r="DPZ3" s="29"/>
      <c r="DQA3" s="29"/>
      <c r="DQB3" s="29"/>
      <c r="DQC3" s="29"/>
      <c r="DQD3" s="29"/>
      <c r="DQE3" s="29"/>
      <c r="DQF3" s="29"/>
      <c r="DQG3" s="29"/>
      <c r="DQH3" s="29"/>
      <c r="DQI3" s="29"/>
      <c r="DQJ3" s="29"/>
      <c r="DQK3" s="29"/>
      <c r="DQL3" s="29"/>
      <c r="DQM3" s="29"/>
      <c r="DQN3" s="29"/>
      <c r="DQO3" s="29"/>
      <c r="DQP3" s="29"/>
      <c r="DQQ3" s="29"/>
      <c r="DQR3" s="29"/>
      <c r="DQS3" s="29"/>
      <c r="DQT3" s="29"/>
      <c r="DQU3" s="29"/>
      <c r="DQV3" s="29"/>
      <c r="DQW3" s="29"/>
      <c r="DQX3" s="29"/>
      <c r="DQY3" s="29"/>
      <c r="DQZ3" s="29"/>
      <c r="DRA3" s="29"/>
      <c r="DRB3" s="29"/>
      <c r="DRC3" s="29"/>
      <c r="DRD3" s="29"/>
      <c r="DRE3" s="29"/>
      <c r="DRF3" s="29"/>
      <c r="DRG3" s="29"/>
      <c r="DRH3" s="29"/>
      <c r="DRI3" s="29"/>
      <c r="DRJ3" s="29"/>
      <c r="DRK3" s="29"/>
      <c r="DRL3" s="29"/>
      <c r="DRM3" s="29"/>
      <c r="DRN3" s="29"/>
      <c r="DRO3" s="29"/>
      <c r="DRP3" s="29"/>
      <c r="DRQ3" s="29"/>
      <c r="DRR3" s="29"/>
      <c r="DRS3" s="29"/>
      <c r="DRT3" s="29"/>
      <c r="DRU3" s="29"/>
      <c r="DRV3" s="29"/>
      <c r="DRW3" s="29"/>
      <c r="DRX3" s="29"/>
      <c r="DRY3" s="29"/>
      <c r="DRZ3" s="29"/>
      <c r="DSA3" s="29"/>
      <c r="DSB3" s="29"/>
      <c r="DSC3" s="29"/>
      <c r="DSD3" s="29"/>
      <c r="DSE3" s="29"/>
      <c r="DSF3" s="29"/>
      <c r="DSG3" s="29"/>
      <c r="DSH3" s="29"/>
      <c r="DSI3" s="29"/>
      <c r="DSJ3" s="29"/>
      <c r="DSK3" s="29"/>
      <c r="DSL3" s="29"/>
      <c r="DSM3" s="29"/>
      <c r="DSN3" s="29"/>
      <c r="DSO3" s="29"/>
      <c r="DSP3" s="29"/>
      <c r="DSQ3" s="29"/>
      <c r="DSR3" s="29"/>
      <c r="DSS3" s="29"/>
      <c r="DST3" s="29"/>
      <c r="DSU3" s="29"/>
      <c r="DSV3" s="29"/>
      <c r="DSW3" s="29"/>
      <c r="DSX3" s="29"/>
      <c r="DSY3" s="29"/>
      <c r="DSZ3" s="29"/>
      <c r="DTA3" s="29"/>
      <c r="DTB3" s="29"/>
      <c r="DTC3" s="29"/>
      <c r="DTD3" s="29"/>
      <c r="DTE3" s="29"/>
      <c r="DTF3" s="29"/>
      <c r="DTG3" s="29"/>
      <c r="DTH3" s="29"/>
      <c r="DTI3" s="29"/>
      <c r="DTJ3" s="29"/>
      <c r="DTK3" s="29"/>
      <c r="DTL3" s="29"/>
      <c r="DTM3" s="29"/>
      <c r="DTN3" s="29"/>
      <c r="DTO3" s="29"/>
      <c r="DTP3" s="29"/>
      <c r="DTQ3" s="29"/>
      <c r="DTR3" s="29"/>
      <c r="DTS3" s="29"/>
      <c r="DTT3" s="29"/>
      <c r="DTU3" s="29"/>
      <c r="DTV3" s="29"/>
      <c r="DTW3" s="29"/>
      <c r="DTX3" s="29"/>
      <c r="DTY3" s="29"/>
      <c r="DTZ3" s="29"/>
      <c r="DUA3" s="29"/>
      <c r="DUB3" s="29"/>
      <c r="DUC3" s="29"/>
      <c r="DUD3" s="29"/>
      <c r="DUE3" s="29"/>
      <c r="DUF3" s="29"/>
      <c r="DUG3" s="29"/>
      <c r="DUH3" s="29"/>
      <c r="DUI3" s="29"/>
      <c r="DUJ3" s="29"/>
      <c r="DUK3" s="29"/>
      <c r="DUL3" s="29"/>
      <c r="DUM3" s="29"/>
      <c r="DUN3" s="29"/>
      <c r="DUO3" s="29"/>
      <c r="DUP3" s="29"/>
      <c r="DUQ3" s="29"/>
      <c r="DUR3" s="29"/>
      <c r="DUS3" s="29"/>
      <c r="DUT3" s="29"/>
      <c r="DUU3" s="29"/>
      <c r="DUV3" s="29"/>
      <c r="DUW3" s="29"/>
      <c r="DUX3" s="29"/>
      <c r="DUY3" s="29"/>
      <c r="DUZ3" s="29"/>
      <c r="DVA3" s="29"/>
      <c r="DVB3" s="29"/>
      <c r="DVC3" s="29"/>
      <c r="DVD3" s="29"/>
      <c r="DVE3" s="29"/>
      <c r="DVF3" s="29"/>
      <c r="DVG3" s="29"/>
      <c r="DVH3" s="29"/>
      <c r="DVI3" s="29"/>
      <c r="DVJ3" s="29"/>
      <c r="DVK3" s="29"/>
      <c r="DVL3" s="29"/>
      <c r="DVM3" s="29"/>
      <c r="DVN3" s="29"/>
      <c r="DVO3" s="29"/>
      <c r="DVP3" s="29"/>
      <c r="DVQ3" s="29"/>
      <c r="DVR3" s="29"/>
      <c r="DVS3" s="29"/>
      <c r="DVT3" s="29"/>
      <c r="DVU3" s="29"/>
      <c r="DVV3" s="29"/>
      <c r="DVW3" s="29"/>
      <c r="DVX3" s="29"/>
      <c r="DVY3" s="29"/>
      <c r="DVZ3" s="29"/>
      <c r="DWA3" s="29"/>
      <c r="DWB3" s="29"/>
      <c r="DWC3" s="29"/>
      <c r="DWD3" s="29"/>
      <c r="DWE3" s="29"/>
      <c r="DWF3" s="29"/>
      <c r="DWG3" s="29"/>
      <c r="DWH3" s="29"/>
      <c r="DWI3" s="29"/>
      <c r="DWJ3" s="29"/>
      <c r="DWK3" s="29"/>
      <c r="DWL3" s="29"/>
      <c r="DWM3" s="29"/>
      <c r="DWN3" s="29"/>
      <c r="DWO3" s="29"/>
      <c r="DWP3" s="29"/>
      <c r="DWQ3" s="29"/>
      <c r="DWR3" s="29"/>
      <c r="DWS3" s="29"/>
      <c r="DWT3" s="29"/>
      <c r="DWU3" s="29"/>
      <c r="DWV3" s="29"/>
      <c r="DWW3" s="29"/>
      <c r="DWX3" s="29"/>
      <c r="DWY3" s="29"/>
      <c r="DWZ3" s="29"/>
      <c r="DXA3" s="29"/>
      <c r="DXB3" s="29"/>
      <c r="DXC3" s="29"/>
      <c r="DXD3" s="29"/>
      <c r="DXE3" s="29"/>
      <c r="DXF3" s="29"/>
      <c r="DXG3" s="29"/>
      <c r="DXH3" s="29"/>
      <c r="DXI3" s="29"/>
      <c r="DXJ3" s="29"/>
      <c r="DXK3" s="29"/>
      <c r="DXL3" s="29"/>
      <c r="DXM3" s="29"/>
      <c r="DXN3" s="29"/>
      <c r="DXO3" s="29"/>
      <c r="DXP3" s="29"/>
      <c r="DXQ3" s="29"/>
      <c r="DXR3" s="29"/>
      <c r="DXS3" s="29"/>
      <c r="DXT3" s="29"/>
      <c r="DXU3" s="29"/>
      <c r="DXV3" s="29"/>
      <c r="DXW3" s="29"/>
      <c r="DXX3" s="29"/>
      <c r="DXY3" s="29"/>
      <c r="DXZ3" s="29"/>
      <c r="DYA3" s="29"/>
      <c r="DYB3" s="29"/>
      <c r="DYC3" s="29"/>
      <c r="DYD3" s="29"/>
      <c r="DYE3" s="29"/>
      <c r="DYF3" s="29"/>
      <c r="DYG3" s="29"/>
      <c r="DYH3" s="29"/>
      <c r="DYI3" s="29"/>
      <c r="DYJ3" s="29"/>
      <c r="DYK3" s="29"/>
      <c r="DYL3" s="29"/>
      <c r="DYM3" s="29"/>
      <c r="DYN3" s="29"/>
      <c r="DYO3" s="29"/>
      <c r="DYP3" s="29"/>
      <c r="DYQ3" s="29"/>
      <c r="DYR3" s="29"/>
      <c r="DYS3" s="29"/>
      <c r="DYT3" s="29"/>
      <c r="DYU3" s="29"/>
      <c r="DYV3" s="29"/>
      <c r="DYW3" s="29"/>
      <c r="DYX3" s="29"/>
      <c r="DYY3" s="29"/>
      <c r="DYZ3" s="29"/>
      <c r="DZA3" s="29"/>
      <c r="DZB3" s="29"/>
      <c r="DZC3" s="29"/>
      <c r="DZD3" s="29"/>
      <c r="DZE3" s="29"/>
      <c r="DZF3" s="29"/>
      <c r="DZG3" s="29"/>
      <c r="DZH3" s="29"/>
      <c r="DZI3" s="29"/>
      <c r="DZJ3" s="29"/>
      <c r="DZK3" s="29"/>
      <c r="DZL3" s="29"/>
      <c r="DZM3" s="29"/>
      <c r="DZN3" s="29"/>
      <c r="DZO3" s="29"/>
      <c r="DZP3" s="29"/>
      <c r="DZQ3" s="29"/>
      <c r="DZR3" s="29"/>
      <c r="DZS3" s="29"/>
      <c r="DZT3" s="29"/>
      <c r="DZU3" s="29"/>
      <c r="DZV3" s="29"/>
      <c r="DZW3" s="29"/>
      <c r="DZX3" s="29"/>
      <c r="DZY3" s="29"/>
      <c r="DZZ3" s="29"/>
      <c r="EAA3" s="29"/>
      <c r="EAB3" s="29"/>
      <c r="EAC3" s="29"/>
      <c r="EAD3" s="29"/>
      <c r="EAE3" s="29"/>
      <c r="EAF3" s="29"/>
      <c r="EAG3" s="29"/>
      <c r="EAH3" s="29"/>
      <c r="EAI3" s="29"/>
      <c r="EAJ3" s="29"/>
      <c r="EAK3" s="29"/>
      <c r="EAL3" s="29"/>
      <c r="EAM3" s="29"/>
      <c r="EAN3" s="29"/>
      <c r="EAO3" s="29"/>
      <c r="EAP3" s="29"/>
      <c r="EAQ3" s="29"/>
      <c r="EAR3" s="29"/>
      <c r="EAS3" s="29"/>
      <c r="EAT3" s="29"/>
      <c r="EAU3" s="29"/>
      <c r="EAV3" s="29"/>
      <c r="EAW3" s="29"/>
      <c r="EAX3" s="29"/>
      <c r="EAY3" s="29"/>
      <c r="EAZ3" s="29"/>
      <c r="EBA3" s="29"/>
      <c r="EBB3" s="29"/>
      <c r="EBC3" s="29"/>
      <c r="EBD3" s="29"/>
      <c r="EBE3" s="29"/>
      <c r="EBF3" s="29"/>
      <c r="EBG3" s="29"/>
      <c r="EBH3" s="29"/>
      <c r="EBI3" s="29"/>
      <c r="EBJ3" s="29"/>
      <c r="EBK3" s="29"/>
      <c r="EBL3" s="29"/>
      <c r="EBM3" s="29"/>
      <c r="EBN3" s="29"/>
      <c r="EBO3" s="29"/>
      <c r="EBP3" s="29"/>
      <c r="EBQ3" s="29"/>
      <c r="EBR3" s="29"/>
      <c r="EBS3" s="29"/>
      <c r="EBT3" s="29"/>
      <c r="EBU3" s="29"/>
      <c r="EBV3" s="29"/>
      <c r="EBW3" s="29"/>
      <c r="EBX3" s="29"/>
      <c r="EBY3" s="29"/>
      <c r="EBZ3" s="29"/>
      <c r="ECA3" s="29"/>
      <c r="ECB3" s="29"/>
      <c r="ECC3" s="29"/>
      <c r="ECD3" s="29"/>
      <c r="ECE3" s="29"/>
      <c r="ECF3" s="29"/>
      <c r="ECG3" s="29"/>
      <c r="ECH3" s="29"/>
      <c r="ECI3" s="29"/>
      <c r="ECJ3" s="29"/>
      <c r="ECK3" s="29"/>
      <c r="ECL3" s="29"/>
      <c r="ECM3" s="29"/>
      <c r="ECN3" s="29"/>
      <c r="ECO3" s="29"/>
      <c r="ECP3" s="29"/>
      <c r="ECQ3" s="29"/>
      <c r="ECR3" s="29"/>
      <c r="ECS3" s="29"/>
      <c r="ECT3" s="29"/>
      <c r="ECU3" s="29"/>
      <c r="ECV3" s="29"/>
      <c r="ECW3" s="29"/>
      <c r="ECX3" s="29"/>
      <c r="ECY3" s="29"/>
      <c r="ECZ3" s="29"/>
      <c r="EDA3" s="29"/>
      <c r="EDB3" s="29"/>
      <c r="EDC3" s="29"/>
      <c r="EDD3" s="29"/>
      <c r="EDE3" s="29"/>
      <c r="EDF3" s="29"/>
      <c r="EDG3" s="29"/>
      <c r="EDH3" s="29"/>
      <c r="EDI3" s="29"/>
      <c r="EDJ3" s="29"/>
      <c r="EDK3" s="29"/>
      <c r="EDL3" s="29"/>
      <c r="EDM3" s="29"/>
      <c r="EDN3" s="29"/>
      <c r="EDO3" s="29"/>
      <c r="EDP3" s="29"/>
      <c r="EDQ3" s="29"/>
      <c r="EDR3" s="29"/>
      <c r="EDS3" s="29"/>
      <c r="EDT3" s="29"/>
      <c r="EDU3" s="29"/>
      <c r="EDV3" s="29"/>
      <c r="EDW3" s="29"/>
      <c r="EDX3" s="29"/>
      <c r="EDY3" s="29"/>
      <c r="EDZ3" s="29"/>
      <c r="EEA3" s="29"/>
      <c r="EEB3" s="29"/>
      <c r="EEC3" s="29"/>
      <c r="EED3" s="29"/>
      <c r="EEE3" s="29"/>
      <c r="EEF3" s="29"/>
      <c r="EEG3" s="29"/>
      <c r="EEH3" s="29"/>
      <c r="EEI3" s="29"/>
      <c r="EEJ3" s="29"/>
      <c r="EEK3" s="29"/>
      <c r="EEL3" s="29"/>
      <c r="EEM3" s="29"/>
      <c r="EEN3" s="29"/>
      <c r="EEO3" s="29"/>
      <c r="EEP3" s="29"/>
      <c r="EEQ3" s="29"/>
      <c r="EER3" s="29"/>
      <c r="EES3" s="29"/>
      <c r="EET3" s="29"/>
      <c r="EEU3" s="29"/>
      <c r="EEV3" s="29"/>
      <c r="EEW3" s="29"/>
      <c r="EEX3" s="29"/>
      <c r="EEY3" s="29"/>
      <c r="EEZ3" s="29"/>
      <c r="EFA3" s="29"/>
      <c r="EFB3" s="29"/>
      <c r="EFC3" s="29"/>
      <c r="EFD3" s="29"/>
      <c r="EFE3" s="29"/>
      <c r="EFF3" s="29"/>
      <c r="EFG3" s="29"/>
      <c r="EFH3" s="29"/>
      <c r="EFI3" s="29"/>
      <c r="EFJ3" s="29"/>
      <c r="EFK3" s="29"/>
      <c r="EFL3" s="29"/>
      <c r="EFM3" s="29"/>
      <c r="EFN3" s="29"/>
      <c r="EFO3" s="29"/>
      <c r="EFP3" s="29"/>
      <c r="EFQ3" s="29"/>
      <c r="EFR3" s="29"/>
      <c r="EFS3" s="29"/>
      <c r="EFT3" s="29"/>
      <c r="EFU3" s="29"/>
      <c r="EFV3" s="29"/>
      <c r="EFW3" s="29"/>
      <c r="EFX3" s="29"/>
      <c r="EFY3" s="29"/>
      <c r="EFZ3" s="29"/>
      <c r="EGA3" s="29"/>
      <c r="EGB3" s="29"/>
      <c r="EGC3" s="29"/>
      <c r="EGD3" s="29"/>
      <c r="EGE3" s="29"/>
      <c r="EGF3" s="29"/>
      <c r="EGG3" s="29"/>
      <c r="EGH3" s="29"/>
      <c r="EGI3" s="29"/>
      <c r="EGJ3" s="29"/>
      <c r="EGK3" s="29"/>
      <c r="EGL3" s="29"/>
      <c r="EGM3" s="29"/>
      <c r="EGN3" s="29"/>
      <c r="EGO3" s="29"/>
      <c r="EGP3" s="29"/>
      <c r="EGQ3" s="29"/>
      <c r="EGR3" s="29"/>
      <c r="EGS3" s="29"/>
      <c r="EGT3" s="29"/>
      <c r="EGU3" s="29"/>
      <c r="EGV3" s="29"/>
      <c r="EGW3" s="29"/>
      <c r="EGX3" s="29"/>
      <c r="EGY3" s="29"/>
      <c r="EGZ3" s="29"/>
      <c r="EHA3" s="29"/>
      <c r="EHB3" s="29"/>
      <c r="EHC3" s="29"/>
      <c r="EHD3" s="29"/>
      <c r="EHE3" s="29"/>
      <c r="EHF3" s="29"/>
      <c r="EHG3" s="29"/>
      <c r="EHH3" s="29"/>
      <c r="EHI3" s="29"/>
      <c r="EHJ3" s="29"/>
      <c r="EHK3" s="29"/>
      <c r="EHL3" s="29"/>
      <c r="EHM3" s="29"/>
      <c r="EHN3" s="29"/>
      <c r="EHO3" s="29"/>
      <c r="EHP3" s="29"/>
      <c r="EHQ3" s="29"/>
      <c r="EHR3" s="29"/>
      <c r="EHS3" s="29"/>
      <c r="EHT3" s="29"/>
      <c r="EHU3" s="29"/>
      <c r="EHV3" s="29"/>
      <c r="EHW3" s="29"/>
      <c r="EHX3" s="29"/>
      <c r="EHY3" s="29"/>
      <c r="EHZ3" s="29"/>
      <c r="EIA3" s="29"/>
      <c r="EIB3" s="29"/>
      <c r="EIC3" s="29"/>
      <c r="EID3" s="29"/>
      <c r="EIE3" s="29"/>
      <c r="EIF3" s="29"/>
      <c r="EIG3" s="29"/>
      <c r="EIH3" s="29"/>
      <c r="EII3" s="29"/>
      <c r="EIJ3" s="29"/>
      <c r="EIK3" s="29"/>
      <c r="EIL3" s="29"/>
      <c r="EIM3" s="29"/>
      <c r="EIN3" s="29"/>
      <c r="EIO3" s="29"/>
      <c r="EIP3" s="29"/>
      <c r="EIQ3" s="29"/>
      <c r="EIR3" s="29"/>
      <c r="EIS3" s="29"/>
      <c r="EIT3" s="29"/>
      <c r="EIU3" s="29"/>
      <c r="EIV3" s="29"/>
      <c r="EIW3" s="29"/>
      <c r="EIX3" s="29"/>
      <c r="EIY3" s="29"/>
      <c r="EIZ3" s="29"/>
      <c r="EJA3" s="29"/>
      <c r="EJB3" s="29"/>
      <c r="EJC3" s="29"/>
      <c r="EJD3" s="29"/>
      <c r="EJE3" s="29"/>
      <c r="EJF3" s="29"/>
      <c r="EJG3" s="29"/>
      <c r="EJH3" s="29"/>
      <c r="EJI3" s="29"/>
      <c r="EJJ3" s="29"/>
      <c r="EJK3" s="29"/>
      <c r="EJL3" s="29"/>
      <c r="EJM3" s="29"/>
      <c r="EJN3" s="29"/>
      <c r="EJO3" s="29"/>
      <c r="EJP3" s="29"/>
      <c r="EJQ3" s="29"/>
      <c r="EJR3" s="29"/>
      <c r="EJS3" s="29"/>
      <c r="EJT3" s="29"/>
      <c r="EJU3" s="29"/>
      <c r="EJV3" s="29"/>
      <c r="EJW3" s="29"/>
      <c r="EJX3" s="29"/>
      <c r="EJY3" s="29"/>
      <c r="EJZ3" s="29"/>
      <c r="EKA3" s="29"/>
      <c r="EKB3" s="29"/>
      <c r="EKC3" s="29"/>
      <c r="EKD3" s="29"/>
      <c r="EKE3" s="29"/>
      <c r="EKF3" s="29"/>
      <c r="EKG3" s="29"/>
      <c r="EKH3" s="29"/>
      <c r="EKI3" s="29"/>
      <c r="EKJ3" s="29"/>
      <c r="EKK3" s="29"/>
      <c r="EKL3" s="29"/>
      <c r="EKM3" s="29"/>
      <c r="EKN3" s="29"/>
      <c r="EKO3" s="29"/>
      <c r="EKP3" s="29"/>
      <c r="EKQ3" s="29"/>
      <c r="EKR3" s="29"/>
      <c r="EKS3" s="29"/>
      <c r="EKT3" s="29"/>
      <c r="EKU3" s="29"/>
      <c r="EKV3" s="29"/>
      <c r="EKW3" s="29"/>
      <c r="EKX3" s="29"/>
      <c r="EKY3" s="29"/>
      <c r="EKZ3" s="29"/>
      <c r="ELA3" s="29"/>
      <c r="ELB3" s="29"/>
      <c r="ELC3" s="29"/>
      <c r="ELD3" s="29"/>
      <c r="ELE3" s="29"/>
      <c r="ELF3" s="29"/>
      <c r="ELG3" s="29"/>
      <c r="ELH3" s="29"/>
      <c r="ELI3" s="29"/>
      <c r="ELJ3" s="29"/>
      <c r="ELK3" s="29"/>
      <c r="ELL3" s="29"/>
      <c r="ELM3" s="29"/>
      <c r="ELN3" s="29"/>
      <c r="ELO3" s="29"/>
      <c r="ELP3" s="29"/>
      <c r="ELQ3" s="29"/>
      <c r="ELR3" s="29"/>
      <c r="ELS3" s="29"/>
      <c r="ELT3" s="29"/>
      <c r="ELU3" s="29"/>
      <c r="ELV3" s="29"/>
      <c r="ELW3" s="29"/>
      <c r="ELX3" s="29"/>
      <c r="ELY3" s="29"/>
      <c r="ELZ3" s="29"/>
      <c r="EMA3" s="29"/>
      <c r="EMB3" s="29"/>
      <c r="EMC3" s="29"/>
      <c r="EMD3" s="29"/>
      <c r="EME3" s="29"/>
      <c r="EMF3" s="29"/>
      <c r="EMG3" s="29"/>
      <c r="EMH3" s="29"/>
      <c r="EMI3" s="29"/>
      <c r="EMJ3" s="29"/>
      <c r="EMK3" s="29"/>
      <c r="EML3" s="29"/>
      <c r="EMM3" s="29"/>
      <c r="EMN3" s="29"/>
      <c r="EMO3" s="29"/>
      <c r="EMP3" s="29"/>
      <c r="EMQ3" s="29"/>
      <c r="EMR3" s="29"/>
      <c r="EMS3" s="29"/>
      <c r="EMT3" s="29"/>
      <c r="EMU3" s="29"/>
      <c r="EMV3" s="29"/>
      <c r="EMW3" s="29"/>
      <c r="EMX3" s="29"/>
      <c r="EMY3" s="29"/>
      <c r="EMZ3" s="29"/>
      <c r="ENA3" s="29"/>
      <c r="ENB3" s="29"/>
      <c r="ENC3" s="29"/>
      <c r="END3" s="29"/>
      <c r="ENE3" s="29"/>
      <c r="ENF3" s="29"/>
      <c r="ENG3" s="29"/>
      <c r="ENH3" s="29"/>
      <c r="ENI3" s="29"/>
      <c r="ENJ3" s="29"/>
      <c r="ENK3" s="29"/>
      <c r="ENL3" s="29"/>
      <c r="ENM3" s="29"/>
      <c r="ENN3" s="29"/>
      <c r="ENO3" s="29"/>
      <c r="ENP3" s="29"/>
      <c r="ENQ3" s="29"/>
      <c r="ENR3" s="29"/>
      <c r="ENS3" s="29"/>
      <c r="ENT3" s="29"/>
      <c r="ENU3" s="29"/>
      <c r="ENV3" s="29"/>
      <c r="ENW3" s="29"/>
      <c r="ENX3" s="29"/>
      <c r="ENY3" s="29"/>
      <c r="ENZ3" s="29"/>
      <c r="EOA3" s="29"/>
      <c r="EOB3" s="29"/>
      <c r="EOC3" s="29"/>
      <c r="EOD3" s="29"/>
      <c r="EOE3" s="29"/>
      <c r="EOF3" s="29"/>
      <c r="EOG3" s="29"/>
      <c r="EOH3" s="29"/>
      <c r="EOI3" s="29"/>
      <c r="EOJ3" s="29"/>
      <c r="EOK3" s="29"/>
      <c r="EOL3" s="29"/>
      <c r="EOM3" s="29"/>
      <c r="EON3" s="29"/>
      <c r="EOO3" s="29"/>
      <c r="EOP3" s="29"/>
      <c r="EOQ3" s="29"/>
      <c r="EOR3" s="29"/>
      <c r="EOS3" s="29"/>
      <c r="EOT3" s="29"/>
      <c r="EOU3" s="29"/>
      <c r="EOV3" s="29"/>
      <c r="EOW3" s="29"/>
      <c r="EOX3" s="29"/>
      <c r="EOY3" s="29"/>
      <c r="EOZ3" s="29"/>
      <c r="EPA3" s="29"/>
      <c r="EPB3" s="29"/>
      <c r="EPC3" s="29"/>
      <c r="EPD3" s="29"/>
      <c r="EPE3" s="29"/>
      <c r="EPF3" s="29"/>
      <c r="EPG3" s="29"/>
      <c r="EPH3" s="29"/>
      <c r="EPI3" s="29"/>
      <c r="EPJ3" s="29"/>
      <c r="EPK3" s="29"/>
      <c r="EPL3" s="29"/>
      <c r="EPM3" s="29"/>
      <c r="EPN3" s="29"/>
      <c r="EPO3" s="29"/>
      <c r="EPP3" s="29"/>
      <c r="EPQ3" s="29"/>
      <c r="EPR3" s="29"/>
      <c r="EPS3" s="29"/>
      <c r="EPT3" s="29"/>
      <c r="EPU3" s="29"/>
      <c r="EPV3" s="29"/>
      <c r="EPW3" s="29"/>
      <c r="EPX3" s="29"/>
      <c r="EPY3" s="29"/>
      <c r="EPZ3" s="29"/>
      <c r="EQA3" s="29"/>
      <c r="EQB3" s="29"/>
      <c r="EQC3" s="29"/>
      <c r="EQD3" s="29"/>
      <c r="EQE3" s="29"/>
      <c r="EQF3" s="29"/>
      <c r="EQG3" s="29"/>
      <c r="EQH3" s="29"/>
      <c r="EQI3" s="29"/>
      <c r="EQJ3" s="29"/>
      <c r="EQK3" s="29"/>
      <c r="EQL3" s="29"/>
      <c r="EQM3" s="29"/>
      <c r="EQN3" s="29"/>
      <c r="EQO3" s="29"/>
      <c r="EQP3" s="29"/>
      <c r="EQQ3" s="29"/>
      <c r="EQR3" s="29"/>
      <c r="EQS3" s="29"/>
      <c r="EQT3" s="29"/>
      <c r="EQU3" s="29"/>
      <c r="EQV3" s="29"/>
      <c r="EQW3" s="29"/>
      <c r="EQX3" s="29"/>
      <c r="EQY3" s="29"/>
      <c r="EQZ3" s="29"/>
      <c r="ERA3" s="29"/>
      <c r="ERB3" s="29"/>
      <c r="ERC3" s="29"/>
      <c r="ERD3" s="29"/>
      <c r="ERE3" s="29"/>
      <c r="ERF3" s="29"/>
      <c r="ERG3" s="29"/>
      <c r="ERH3" s="29"/>
      <c r="ERI3" s="29"/>
      <c r="ERJ3" s="29"/>
      <c r="ERK3" s="29"/>
      <c r="ERL3" s="29"/>
      <c r="ERM3" s="29"/>
      <c r="ERN3" s="29"/>
      <c r="ERO3" s="29"/>
      <c r="ERP3" s="29"/>
      <c r="ERQ3" s="29"/>
      <c r="ERR3" s="29"/>
      <c r="ERS3" s="29"/>
      <c r="ERT3" s="29"/>
      <c r="ERU3" s="29"/>
      <c r="ERV3" s="29"/>
      <c r="ERW3" s="29"/>
      <c r="ERX3" s="29"/>
      <c r="ERY3" s="29"/>
      <c r="ERZ3" s="29"/>
      <c r="ESA3" s="29"/>
      <c r="ESB3" s="29"/>
      <c r="ESC3" s="29"/>
      <c r="ESD3" s="29"/>
      <c r="ESE3" s="29"/>
      <c r="ESF3" s="29"/>
      <c r="ESG3" s="29"/>
      <c r="ESH3" s="29"/>
      <c r="ESI3" s="29"/>
      <c r="ESJ3" s="29"/>
      <c r="ESK3" s="29"/>
      <c r="ESL3" s="29"/>
      <c r="ESM3" s="29"/>
      <c r="ESN3" s="29"/>
      <c r="ESO3" s="29"/>
      <c r="ESP3" s="29"/>
      <c r="ESQ3" s="29"/>
      <c r="ESR3" s="29"/>
      <c r="ESS3" s="29"/>
      <c r="EST3" s="29"/>
      <c r="ESU3" s="29"/>
      <c r="ESV3" s="29"/>
      <c r="ESW3" s="29"/>
      <c r="ESX3" s="29"/>
      <c r="ESY3" s="29"/>
      <c r="ESZ3" s="29"/>
      <c r="ETA3" s="29"/>
      <c r="ETB3" s="29"/>
      <c r="ETC3" s="29"/>
      <c r="ETD3" s="29"/>
      <c r="ETE3" s="29"/>
      <c r="ETF3" s="29"/>
      <c r="ETG3" s="29"/>
      <c r="ETH3" s="29"/>
      <c r="ETI3" s="29"/>
      <c r="ETJ3" s="29"/>
      <c r="ETK3" s="29"/>
      <c r="ETL3" s="29"/>
      <c r="ETM3" s="29"/>
      <c r="ETN3" s="29"/>
      <c r="ETO3" s="29"/>
      <c r="ETP3" s="29"/>
      <c r="ETQ3" s="29"/>
      <c r="ETR3" s="29"/>
      <c r="ETS3" s="29"/>
      <c r="ETT3" s="29"/>
      <c r="ETU3" s="29"/>
      <c r="ETV3" s="29"/>
      <c r="ETW3" s="29"/>
      <c r="ETX3" s="29"/>
      <c r="ETY3" s="29"/>
      <c r="ETZ3" s="29"/>
      <c r="EUA3" s="29"/>
      <c r="EUB3" s="29"/>
      <c r="EUC3" s="29"/>
      <c r="EUD3" s="29"/>
      <c r="EUE3" s="29"/>
      <c r="EUF3" s="29"/>
      <c r="EUG3" s="29"/>
      <c r="EUH3" s="29"/>
      <c r="EUI3" s="29"/>
      <c r="EUJ3" s="29"/>
      <c r="EUK3" s="29"/>
      <c r="EUL3" s="29"/>
      <c r="EUM3" s="29"/>
      <c r="EUN3" s="29"/>
      <c r="EUO3" s="29"/>
      <c r="EUP3" s="29"/>
      <c r="EUQ3" s="29"/>
      <c r="EUR3" s="29"/>
      <c r="EUS3" s="29"/>
      <c r="EUT3" s="29"/>
      <c r="EUU3" s="29"/>
      <c r="EUV3" s="29"/>
      <c r="EUW3" s="29"/>
      <c r="EUX3" s="29"/>
      <c r="EUY3" s="29"/>
      <c r="EUZ3" s="29"/>
      <c r="EVA3" s="29"/>
      <c r="EVB3" s="29"/>
      <c r="EVC3" s="29"/>
      <c r="EVD3" s="29"/>
      <c r="EVE3" s="29"/>
      <c r="EVF3" s="29"/>
      <c r="EVG3" s="29"/>
      <c r="EVH3" s="29"/>
      <c r="EVI3" s="29"/>
      <c r="EVJ3" s="29"/>
      <c r="EVK3" s="29"/>
      <c r="EVL3" s="29"/>
      <c r="EVM3" s="29"/>
      <c r="EVN3" s="29"/>
      <c r="EVO3" s="29"/>
      <c r="EVP3" s="29"/>
      <c r="EVQ3" s="29"/>
      <c r="EVR3" s="29"/>
      <c r="EVS3" s="29"/>
      <c r="EVT3" s="29"/>
      <c r="EVU3" s="29"/>
      <c r="EVV3" s="29"/>
      <c r="EVW3" s="29"/>
      <c r="EVX3" s="29"/>
      <c r="EVY3" s="29"/>
      <c r="EVZ3" s="29"/>
      <c r="EWA3" s="29"/>
      <c r="EWB3" s="29"/>
      <c r="EWC3" s="29"/>
      <c r="EWD3" s="29"/>
      <c r="EWE3" s="29"/>
      <c r="EWF3" s="29"/>
      <c r="EWG3" s="29"/>
      <c r="EWH3" s="29"/>
      <c r="EWI3" s="29"/>
      <c r="EWJ3" s="29"/>
      <c r="EWK3" s="29"/>
      <c r="EWL3" s="29"/>
      <c r="EWM3" s="29"/>
      <c r="EWN3" s="29"/>
      <c r="EWO3" s="29"/>
      <c r="EWP3" s="29"/>
      <c r="EWQ3" s="29"/>
      <c r="EWR3" s="29"/>
      <c r="EWS3" s="29"/>
      <c r="EWT3" s="29"/>
      <c r="EWU3" s="29"/>
      <c r="EWV3" s="29"/>
      <c r="EWW3" s="29"/>
      <c r="EWX3" s="29"/>
      <c r="EWY3" s="29"/>
      <c r="EWZ3" s="29"/>
      <c r="EXA3" s="29"/>
      <c r="EXB3" s="29"/>
      <c r="EXC3" s="29"/>
      <c r="EXD3" s="29"/>
      <c r="EXE3" s="29"/>
      <c r="EXF3" s="29"/>
      <c r="EXG3" s="29"/>
      <c r="EXH3" s="29"/>
      <c r="EXI3" s="29"/>
      <c r="EXJ3" s="29"/>
      <c r="EXK3" s="29"/>
      <c r="EXL3" s="29"/>
      <c r="EXM3" s="29"/>
      <c r="EXN3" s="29"/>
      <c r="EXO3" s="29"/>
      <c r="EXP3" s="29"/>
      <c r="EXQ3" s="29"/>
      <c r="EXR3" s="29"/>
      <c r="EXS3" s="29"/>
      <c r="EXT3" s="29"/>
      <c r="EXU3" s="29"/>
      <c r="EXV3" s="29"/>
      <c r="EXW3" s="29"/>
      <c r="EXX3" s="29"/>
      <c r="EXY3" s="29"/>
      <c r="EXZ3" s="29"/>
      <c r="EYA3" s="29"/>
      <c r="EYB3" s="29"/>
      <c r="EYC3" s="29"/>
      <c r="EYD3" s="29"/>
      <c r="EYE3" s="29"/>
      <c r="EYF3" s="29"/>
      <c r="EYG3" s="29"/>
      <c r="EYH3" s="29"/>
      <c r="EYI3" s="29"/>
      <c r="EYJ3" s="29"/>
      <c r="EYK3" s="29"/>
      <c r="EYL3" s="29"/>
      <c r="EYM3" s="29"/>
      <c r="EYN3" s="29"/>
      <c r="EYO3" s="29"/>
      <c r="EYP3" s="29"/>
      <c r="EYQ3" s="29"/>
      <c r="EYR3" s="29"/>
      <c r="EYS3" s="29"/>
      <c r="EYT3" s="29"/>
      <c r="EYU3" s="29"/>
      <c r="EYV3" s="29"/>
      <c r="EYW3" s="29"/>
      <c r="EYX3" s="29"/>
      <c r="EYY3" s="29"/>
      <c r="EYZ3" s="29"/>
      <c r="EZA3" s="29"/>
      <c r="EZB3" s="29"/>
      <c r="EZC3" s="29"/>
      <c r="EZD3" s="29"/>
      <c r="EZE3" s="29"/>
      <c r="EZF3" s="29"/>
      <c r="EZG3" s="29"/>
      <c r="EZH3" s="29"/>
      <c r="EZI3" s="29"/>
      <c r="EZJ3" s="29"/>
      <c r="EZK3" s="29"/>
      <c r="EZL3" s="29"/>
      <c r="EZM3" s="29"/>
      <c r="EZN3" s="29"/>
      <c r="EZO3" s="29"/>
      <c r="EZP3" s="29"/>
      <c r="EZQ3" s="29"/>
      <c r="EZR3" s="29"/>
      <c r="EZS3" s="29"/>
      <c r="EZT3" s="29"/>
      <c r="EZU3" s="29"/>
      <c r="EZV3" s="29"/>
      <c r="EZW3" s="29"/>
      <c r="EZX3" s="29"/>
      <c r="EZY3" s="29"/>
      <c r="EZZ3" s="29"/>
      <c r="FAA3" s="29"/>
      <c r="FAB3" s="29"/>
      <c r="FAC3" s="29"/>
      <c r="FAD3" s="29"/>
      <c r="FAE3" s="29"/>
      <c r="FAF3" s="29"/>
      <c r="FAG3" s="29"/>
      <c r="FAH3" s="29"/>
      <c r="FAI3" s="29"/>
      <c r="FAJ3" s="29"/>
      <c r="FAK3" s="29"/>
      <c r="FAL3" s="29"/>
      <c r="FAM3" s="29"/>
      <c r="FAN3" s="29"/>
      <c r="FAO3" s="29"/>
      <c r="FAP3" s="29"/>
      <c r="FAQ3" s="29"/>
      <c r="FAR3" s="29"/>
      <c r="FAS3" s="29"/>
      <c r="FAT3" s="29"/>
      <c r="FAU3" s="29"/>
      <c r="FAV3" s="29"/>
      <c r="FAW3" s="29"/>
      <c r="FAX3" s="29"/>
      <c r="FAY3" s="29"/>
      <c r="FAZ3" s="29"/>
      <c r="FBA3" s="29"/>
      <c r="FBB3" s="29"/>
      <c r="FBC3" s="29"/>
      <c r="FBD3" s="29"/>
      <c r="FBE3" s="29"/>
      <c r="FBF3" s="29"/>
      <c r="FBG3" s="29"/>
      <c r="FBH3" s="29"/>
      <c r="FBI3" s="29"/>
      <c r="FBJ3" s="29"/>
      <c r="FBK3" s="29"/>
      <c r="FBL3" s="29"/>
      <c r="FBM3" s="29"/>
      <c r="FBN3" s="29"/>
      <c r="FBO3" s="29"/>
      <c r="FBP3" s="29"/>
      <c r="FBQ3" s="29"/>
      <c r="FBR3" s="29"/>
      <c r="FBS3" s="29"/>
      <c r="FBT3" s="29"/>
      <c r="FBU3" s="29"/>
      <c r="FBV3" s="29"/>
      <c r="FBW3" s="29"/>
      <c r="FBX3" s="29"/>
      <c r="FBY3" s="29"/>
      <c r="FBZ3" s="29"/>
      <c r="FCA3" s="29"/>
      <c r="FCB3" s="29"/>
      <c r="FCC3" s="29"/>
      <c r="FCD3" s="29"/>
      <c r="FCE3" s="29"/>
      <c r="FCF3" s="29"/>
      <c r="FCG3" s="29"/>
      <c r="FCH3" s="29"/>
      <c r="FCI3" s="29"/>
      <c r="FCJ3" s="29"/>
      <c r="FCK3" s="29"/>
      <c r="FCL3" s="29"/>
      <c r="FCM3" s="29"/>
      <c r="FCN3" s="29"/>
      <c r="FCO3" s="29"/>
      <c r="FCP3" s="29"/>
      <c r="FCQ3" s="29"/>
      <c r="FCR3" s="29"/>
      <c r="FCS3" s="29"/>
      <c r="FCT3" s="29"/>
      <c r="FCU3" s="29"/>
      <c r="FCV3" s="29"/>
      <c r="FCW3" s="29"/>
      <c r="FCX3" s="29"/>
      <c r="FCY3" s="29"/>
      <c r="FCZ3" s="29"/>
      <c r="FDA3" s="29"/>
      <c r="FDB3" s="29"/>
      <c r="FDC3" s="29"/>
      <c r="FDD3" s="29"/>
      <c r="FDE3" s="29"/>
      <c r="FDF3" s="29"/>
      <c r="FDG3" s="29"/>
      <c r="FDH3" s="29"/>
      <c r="FDI3" s="29"/>
      <c r="FDJ3" s="29"/>
      <c r="FDK3" s="29"/>
      <c r="FDL3" s="29"/>
      <c r="FDM3" s="29"/>
      <c r="FDN3" s="29"/>
      <c r="FDO3" s="29"/>
      <c r="FDP3" s="29"/>
      <c r="FDQ3" s="29"/>
      <c r="FDR3" s="29"/>
      <c r="FDS3" s="29"/>
      <c r="FDT3" s="29"/>
      <c r="FDU3" s="29"/>
      <c r="FDV3" s="29"/>
      <c r="FDW3" s="29"/>
      <c r="FDX3" s="29"/>
      <c r="FDY3" s="29"/>
      <c r="FDZ3" s="29"/>
      <c r="FEA3" s="29"/>
      <c r="FEB3" s="29"/>
      <c r="FEC3" s="29"/>
      <c r="FED3" s="29"/>
      <c r="FEE3" s="29"/>
      <c r="FEF3" s="29"/>
      <c r="FEG3" s="29"/>
      <c r="FEH3" s="29"/>
      <c r="FEI3" s="29"/>
      <c r="FEJ3" s="29"/>
      <c r="FEK3" s="29"/>
      <c r="FEL3" s="29"/>
      <c r="FEM3" s="29"/>
      <c r="FEN3" s="29"/>
      <c r="FEO3" s="29"/>
      <c r="FEP3" s="29"/>
      <c r="FEQ3" s="29"/>
      <c r="FER3" s="29"/>
      <c r="FES3" s="29"/>
      <c r="FET3" s="29"/>
      <c r="FEU3" s="29"/>
      <c r="FEV3" s="29"/>
      <c r="FEW3" s="29"/>
      <c r="FEX3" s="29"/>
      <c r="FEY3" s="29"/>
      <c r="FEZ3" s="29"/>
      <c r="FFA3" s="29"/>
      <c r="FFB3" s="29"/>
      <c r="FFC3" s="29"/>
      <c r="FFD3" s="29"/>
      <c r="FFE3" s="29"/>
      <c r="FFF3" s="29"/>
      <c r="FFG3" s="29"/>
      <c r="FFH3" s="29"/>
      <c r="FFI3" s="29"/>
      <c r="FFJ3" s="29"/>
      <c r="FFK3" s="29"/>
      <c r="FFL3" s="29"/>
      <c r="FFM3" s="29"/>
      <c r="FFN3" s="29"/>
      <c r="FFO3" s="29"/>
      <c r="FFP3" s="29"/>
      <c r="FFQ3" s="29"/>
      <c r="FFR3" s="29"/>
      <c r="FFS3" s="29"/>
      <c r="FFT3" s="29"/>
      <c r="FFU3" s="29"/>
      <c r="FFV3" s="29"/>
      <c r="FFW3" s="29"/>
      <c r="FFX3" s="29"/>
      <c r="FFY3" s="29"/>
      <c r="FFZ3" s="29"/>
      <c r="FGA3" s="29"/>
      <c r="FGB3" s="29"/>
      <c r="FGC3" s="29"/>
      <c r="FGD3" s="29"/>
      <c r="FGE3" s="29"/>
      <c r="FGF3" s="29"/>
      <c r="FGG3" s="29"/>
      <c r="FGH3" s="29"/>
      <c r="FGI3" s="29"/>
      <c r="FGJ3" s="29"/>
      <c r="FGK3" s="29"/>
      <c r="FGL3" s="29"/>
      <c r="FGM3" s="29"/>
      <c r="FGN3" s="29"/>
      <c r="FGO3" s="29"/>
      <c r="FGP3" s="29"/>
      <c r="FGQ3" s="29"/>
      <c r="FGR3" s="29"/>
      <c r="FGS3" s="29"/>
      <c r="FGT3" s="29"/>
      <c r="FGU3" s="29"/>
      <c r="FGV3" s="29"/>
      <c r="FGW3" s="29"/>
      <c r="FGX3" s="29"/>
      <c r="FGY3" s="29"/>
      <c r="FGZ3" s="29"/>
      <c r="FHA3" s="29"/>
      <c r="FHB3" s="29"/>
      <c r="FHC3" s="29"/>
      <c r="FHD3" s="29"/>
      <c r="FHE3" s="29"/>
      <c r="FHF3" s="29"/>
      <c r="FHG3" s="29"/>
      <c r="FHH3" s="29"/>
      <c r="FHI3" s="29"/>
      <c r="FHJ3" s="29"/>
      <c r="FHK3" s="29"/>
      <c r="FHL3" s="29"/>
      <c r="FHM3" s="29"/>
      <c r="FHN3" s="29"/>
      <c r="FHO3" s="29"/>
      <c r="FHP3" s="29"/>
      <c r="FHQ3" s="29"/>
      <c r="FHR3" s="29"/>
      <c r="FHS3" s="29"/>
      <c r="FHT3" s="29"/>
      <c r="FHU3" s="29"/>
      <c r="FHV3" s="29"/>
      <c r="FHW3" s="29"/>
      <c r="FHX3" s="29"/>
      <c r="FHY3" s="29"/>
      <c r="FHZ3" s="29"/>
      <c r="FIA3" s="29"/>
      <c r="FIB3" s="29"/>
      <c r="FIC3" s="29"/>
      <c r="FID3" s="29"/>
      <c r="FIE3" s="29"/>
      <c r="FIF3" s="29"/>
      <c r="FIG3" s="29"/>
      <c r="FIH3" s="29"/>
      <c r="FII3" s="29"/>
      <c r="FIJ3" s="29"/>
      <c r="FIK3" s="29"/>
      <c r="FIL3" s="29"/>
      <c r="FIM3" s="29"/>
      <c r="FIN3" s="29"/>
      <c r="FIO3" s="29"/>
      <c r="FIP3" s="29"/>
      <c r="FIQ3" s="29"/>
      <c r="FIR3" s="29"/>
      <c r="FIS3" s="29"/>
      <c r="FIT3" s="29"/>
      <c r="FIU3" s="29"/>
      <c r="FIV3" s="29"/>
      <c r="FIW3" s="29"/>
      <c r="FIX3" s="29"/>
      <c r="FIY3" s="29"/>
      <c r="FIZ3" s="29"/>
      <c r="FJA3" s="29"/>
      <c r="FJB3" s="29"/>
      <c r="FJC3" s="29"/>
      <c r="FJD3" s="29"/>
      <c r="FJE3" s="29"/>
      <c r="FJF3" s="29"/>
      <c r="FJG3" s="29"/>
      <c r="FJH3" s="29"/>
      <c r="FJI3" s="29"/>
      <c r="FJJ3" s="29"/>
      <c r="FJK3" s="29"/>
      <c r="FJL3" s="29"/>
      <c r="FJM3" s="29"/>
      <c r="FJN3" s="29"/>
      <c r="FJO3" s="29"/>
      <c r="FJP3" s="29"/>
      <c r="FJQ3" s="29"/>
      <c r="FJR3" s="29"/>
      <c r="FJS3" s="29"/>
      <c r="FJT3" s="29"/>
      <c r="FJU3" s="29"/>
      <c r="FJV3" s="29"/>
      <c r="FJW3" s="29"/>
      <c r="FJX3" s="29"/>
      <c r="FJY3" s="29"/>
      <c r="FJZ3" s="29"/>
      <c r="FKA3" s="29"/>
      <c r="FKB3" s="29"/>
      <c r="FKC3" s="29"/>
      <c r="FKD3" s="29"/>
      <c r="FKE3" s="29"/>
      <c r="FKF3" s="29"/>
      <c r="FKG3" s="29"/>
      <c r="FKH3" s="29"/>
      <c r="FKI3" s="29"/>
      <c r="FKJ3" s="29"/>
      <c r="FKK3" s="29"/>
      <c r="FKL3" s="29"/>
      <c r="FKM3" s="29"/>
      <c r="FKN3" s="29"/>
      <c r="FKO3" s="29"/>
      <c r="FKP3" s="29"/>
      <c r="FKQ3" s="29"/>
      <c r="FKR3" s="29"/>
      <c r="FKS3" s="29"/>
      <c r="FKT3" s="29"/>
      <c r="FKU3" s="29"/>
      <c r="FKV3" s="29"/>
      <c r="FKW3" s="29"/>
      <c r="FKX3" s="29"/>
      <c r="FKY3" s="29"/>
      <c r="FKZ3" s="29"/>
      <c r="FLA3" s="29"/>
      <c r="FLB3" s="29"/>
      <c r="FLC3" s="29"/>
      <c r="FLD3" s="29"/>
      <c r="FLE3" s="29"/>
      <c r="FLF3" s="29"/>
      <c r="FLG3" s="29"/>
      <c r="FLH3" s="29"/>
      <c r="FLI3" s="29"/>
      <c r="FLJ3" s="29"/>
      <c r="FLK3" s="29"/>
      <c r="FLL3" s="29"/>
      <c r="FLM3" s="29"/>
      <c r="FLN3" s="29"/>
      <c r="FLO3" s="29"/>
      <c r="FLP3" s="29"/>
      <c r="FLQ3" s="29"/>
      <c r="FLR3" s="29"/>
      <c r="FLS3" s="29"/>
      <c r="FLT3" s="29"/>
      <c r="FLU3" s="29"/>
      <c r="FLV3" s="29"/>
      <c r="FLW3" s="29"/>
      <c r="FLX3" s="29"/>
      <c r="FLY3" s="29"/>
      <c r="FLZ3" s="29"/>
      <c r="FMA3" s="29"/>
      <c r="FMB3" s="29"/>
      <c r="FMC3" s="29"/>
      <c r="FMD3" s="29"/>
      <c r="FME3" s="29"/>
      <c r="FMF3" s="29"/>
      <c r="FMG3" s="29"/>
      <c r="FMH3" s="29"/>
      <c r="FMI3" s="29"/>
      <c r="FMJ3" s="29"/>
      <c r="FMK3" s="29"/>
      <c r="FML3" s="29"/>
      <c r="FMM3" s="29"/>
      <c r="FMN3" s="29"/>
      <c r="FMO3" s="29"/>
      <c r="FMP3" s="29"/>
      <c r="FMQ3" s="29"/>
      <c r="FMR3" s="29"/>
      <c r="FMS3" s="29"/>
      <c r="FMT3" s="29"/>
      <c r="FMU3" s="29"/>
      <c r="FMV3" s="29"/>
      <c r="FMW3" s="29"/>
      <c r="FMX3" s="29"/>
      <c r="FMY3" s="29"/>
      <c r="FMZ3" s="29"/>
      <c r="FNA3" s="29"/>
      <c r="FNB3" s="29"/>
      <c r="FNC3" s="29"/>
      <c r="FND3" s="29"/>
      <c r="FNE3" s="29"/>
      <c r="FNF3" s="29"/>
      <c r="FNG3" s="29"/>
      <c r="FNH3" s="29"/>
      <c r="FNI3" s="29"/>
      <c r="FNJ3" s="29"/>
      <c r="FNK3" s="29"/>
      <c r="FNL3" s="29"/>
      <c r="FNM3" s="29"/>
      <c r="FNN3" s="29"/>
      <c r="FNO3" s="29"/>
      <c r="FNP3" s="29"/>
      <c r="FNQ3" s="29"/>
      <c r="FNR3" s="29"/>
      <c r="FNS3" s="29"/>
      <c r="FNT3" s="29"/>
      <c r="FNU3" s="29"/>
      <c r="FNV3" s="29"/>
      <c r="FNW3" s="29"/>
      <c r="FNX3" s="29"/>
      <c r="FNY3" s="29"/>
      <c r="FNZ3" s="29"/>
      <c r="FOA3" s="29"/>
      <c r="FOB3" s="29"/>
      <c r="FOC3" s="29"/>
      <c r="FOD3" s="29"/>
      <c r="FOE3" s="29"/>
      <c r="FOF3" s="29"/>
      <c r="FOG3" s="29"/>
      <c r="FOH3" s="29"/>
      <c r="FOI3" s="29"/>
      <c r="FOJ3" s="29"/>
      <c r="FOK3" s="29"/>
      <c r="FOL3" s="29"/>
      <c r="FOM3" s="29"/>
      <c r="FON3" s="29"/>
      <c r="FOO3" s="29"/>
      <c r="FOP3" s="29"/>
      <c r="FOQ3" s="29"/>
      <c r="FOR3" s="29"/>
      <c r="FOS3" s="29"/>
      <c r="FOT3" s="29"/>
      <c r="FOU3" s="29"/>
      <c r="FOV3" s="29"/>
      <c r="FOW3" s="29"/>
      <c r="FOX3" s="29"/>
      <c r="FOY3" s="29"/>
      <c r="FOZ3" s="29"/>
      <c r="FPA3" s="29"/>
      <c r="FPB3" s="29"/>
      <c r="FPC3" s="29"/>
      <c r="FPD3" s="29"/>
      <c r="FPE3" s="29"/>
      <c r="FPF3" s="29"/>
      <c r="FPG3" s="29"/>
      <c r="FPH3" s="29"/>
      <c r="FPI3" s="29"/>
      <c r="FPJ3" s="29"/>
      <c r="FPK3" s="29"/>
      <c r="FPL3" s="29"/>
      <c r="FPM3" s="29"/>
      <c r="FPN3" s="29"/>
      <c r="FPO3" s="29"/>
      <c r="FPP3" s="29"/>
      <c r="FPQ3" s="29"/>
      <c r="FPR3" s="29"/>
      <c r="FPS3" s="29"/>
      <c r="FPT3" s="29"/>
      <c r="FPU3" s="29"/>
      <c r="FPV3" s="29"/>
      <c r="FPW3" s="29"/>
      <c r="FPX3" s="29"/>
      <c r="FPY3" s="29"/>
      <c r="FPZ3" s="29"/>
      <c r="FQA3" s="29"/>
      <c r="FQB3" s="29"/>
      <c r="FQC3" s="29"/>
      <c r="FQD3" s="29"/>
      <c r="FQE3" s="29"/>
      <c r="FQF3" s="29"/>
      <c r="FQG3" s="29"/>
      <c r="FQH3" s="29"/>
      <c r="FQI3" s="29"/>
      <c r="FQJ3" s="29"/>
      <c r="FQK3" s="29"/>
      <c r="FQL3" s="29"/>
      <c r="FQM3" s="29"/>
      <c r="FQN3" s="29"/>
      <c r="FQO3" s="29"/>
      <c r="FQP3" s="29"/>
      <c r="FQQ3" s="29"/>
      <c r="FQR3" s="29"/>
      <c r="FQS3" s="29"/>
      <c r="FQT3" s="29"/>
      <c r="FQU3" s="29"/>
      <c r="FQV3" s="29"/>
      <c r="FQW3" s="29"/>
      <c r="FQX3" s="29"/>
      <c r="FQY3" s="29"/>
      <c r="FQZ3" s="29"/>
      <c r="FRA3" s="29"/>
      <c r="FRB3" s="29"/>
      <c r="FRC3" s="29"/>
      <c r="FRD3" s="29"/>
      <c r="FRE3" s="29"/>
      <c r="FRF3" s="29"/>
      <c r="FRG3" s="29"/>
      <c r="FRH3" s="29"/>
      <c r="FRI3" s="29"/>
      <c r="FRJ3" s="29"/>
      <c r="FRK3" s="29"/>
      <c r="FRL3" s="29"/>
      <c r="FRM3" s="29"/>
      <c r="FRN3" s="29"/>
      <c r="FRO3" s="29"/>
      <c r="FRP3" s="29"/>
      <c r="FRQ3" s="29"/>
      <c r="FRR3" s="29"/>
      <c r="FRS3" s="29"/>
      <c r="FRT3" s="29"/>
      <c r="FRU3" s="29"/>
      <c r="FRV3" s="29"/>
      <c r="FRW3" s="29"/>
      <c r="FRX3" s="29"/>
      <c r="FRY3" s="29"/>
      <c r="FRZ3" s="29"/>
      <c r="FSA3" s="29"/>
      <c r="FSB3" s="29"/>
      <c r="FSC3" s="29"/>
      <c r="FSD3" s="29"/>
      <c r="FSE3" s="29"/>
      <c r="FSF3" s="29"/>
      <c r="FSG3" s="29"/>
      <c r="FSH3" s="29"/>
      <c r="FSI3" s="29"/>
      <c r="FSJ3" s="29"/>
      <c r="FSK3" s="29"/>
      <c r="FSL3" s="29"/>
      <c r="FSM3" s="29"/>
      <c r="FSN3" s="29"/>
      <c r="FSO3" s="29"/>
      <c r="FSP3" s="29"/>
      <c r="FSQ3" s="29"/>
      <c r="FSR3" s="29"/>
      <c r="FSS3" s="29"/>
      <c r="FST3" s="29"/>
      <c r="FSU3" s="29"/>
      <c r="FSV3" s="29"/>
      <c r="FSW3" s="29"/>
      <c r="FSX3" s="29"/>
      <c r="FSY3" s="29"/>
      <c r="FSZ3" s="29"/>
      <c r="FTA3" s="29"/>
      <c r="FTB3" s="29"/>
      <c r="FTC3" s="29"/>
      <c r="FTD3" s="29"/>
      <c r="FTE3" s="29"/>
      <c r="FTF3" s="29"/>
      <c r="FTG3" s="29"/>
      <c r="FTH3" s="29"/>
      <c r="FTI3" s="29"/>
      <c r="FTJ3" s="29"/>
      <c r="FTK3" s="29"/>
      <c r="FTL3" s="29"/>
      <c r="FTM3" s="29"/>
      <c r="FTN3" s="29"/>
      <c r="FTO3" s="29"/>
      <c r="FTP3" s="29"/>
      <c r="FTQ3" s="29"/>
      <c r="FTR3" s="29"/>
      <c r="FTS3" s="29"/>
      <c r="FTT3" s="29"/>
      <c r="FTU3" s="29"/>
      <c r="FTV3" s="29"/>
      <c r="FTW3" s="29"/>
      <c r="FTX3" s="29"/>
      <c r="FTY3" s="29"/>
      <c r="FTZ3" s="29"/>
      <c r="FUA3" s="29"/>
      <c r="FUB3" s="29"/>
      <c r="FUC3" s="29"/>
      <c r="FUD3" s="29"/>
      <c r="FUE3" s="29"/>
      <c r="FUF3" s="29"/>
      <c r="FUG3" s="29"/>
      <c r="FUH3" s="29"/>
      <c r="FUI3" s="29"/>
      <c r="FUJ3" s="29"/>
      <c r="FUK3" s="29"/>
      <c r="FUL3" s="29"/>
      <c r="FUM3" s="29"/>
      <c r="FUN3" s="29"/>
      <c r="FUO3" s="29"/>
      <c r="FUP3" s="29"/>
      <c r="FUQ3" s="29"/>
      <c r="FUR3" s="29"/>
      <c r="FUS3" s="29"/>
      <c r="FUT3" s="29"/>
      <c r="FUU3" s="29"/>
      <c r="FUV3" s="29"/>
      <c r="FUW3" s="29"/>
      <c r="FUX3" s="29"/>
      <c r="FUY3" s="29"/>
      <c r="FUZ3" s="29"/>
      <c r="FVA3" s="29"/>
      <c r="FVB3" s="29"/>
      <c r="FVC3" s="29"/>
      <c r="FVD3" s="29"/>
      <c r="FVE3" s="29"/>
      <c r="FVF3" s="29"/>
      <c r="FVG3" s="29"/>
      <c r="FVH3" s="29"/>
      <c r="FVI3" s="29"/>
      <c r="FVJ3" s="29"/>
      <c r="FVK3" s="29"/>
      <c r="FVL3" s="29"/>
      <c r="FVM3" s="29"/>
      <c r="FVN3" s="29"/>
      <c r="FVO3" s="29"/>
      <c r="FVP3" s="29"/>
      <c r="FVQ3" s="29"/>
      <c r="FVR3" s="29"/>
      <c r="FVS3" s="29"/>
      <c r="FVT3" s="29"/>
      <c r="FVU3" s="29"/>
      <c r="FVV3" s="29"/>
      <c r="FVW3" s="29"/>
      <c r="FVX3" s="29"/>
      <c r="FVY3" s="29"/>
      <c r="FVZ3" s="29"/>
      <c r="FWA3" s="29"/>
      <c r="FWB3" s="29"/>
      <c r="FWC3" s="29"/>
      <c r="FWD3" s="29"/>
      <c r="FWE3" s="29"/>
      <c r="FWF3" s="29"/>
      <c r="FWG3" s="29"/>
      <c r="FWH3" s="29"/>
      <c r="FWI3" s="29"/>
      <c r="FWJ3" s="29"/>
      <c r="FWK3" s="29"/>
      <c r="FWL3" s="29"/>
      <c r="FWM3" s="29"/>
      <c r="FWN3" s="29"/>
      <c r="FWO3" s="29"/>
      <c r="FWP3" s="29"/>
      <c r="FWQ3" s="29"/>
      <c r="FWR3" s="29"/>
      <c r="FWS3" s="29"/>
      <c r="FWT3" s="29"/>
      <c r="FWU3" s="29"/>
      <c r="FWV3" s="29"/>
      <c r="FWW3" s="29"/>
      <c r="FWX3" s="29"/>
      <c r="FWY3" s="29"/>
      <c r="FWZ3" s="29"/>
      <c r="FXA3" s="29"/>
      <c r="FXB3" s="29"/>
      <c r="FXC3" s="29"/>
      <c r="FXD3" s="29"/>
      <c r="FXE3" s="29"/>
      <c r="FXF3" s="29"/>
      <c r="FXG3" s="29"/>
      <c r="FXH3" s="29"/>
      <c r="FXI3" s="29"/>
      <c r="FXJ3" s="29"/>
      <c r="FXK3" s="29"/>
      <c r="FXL3" s="29"/>
      <c r="FXM3" s="29"/>
      <c r="FXN3" s="29"/>
      <c r="FXO3" s="29"/>
      <c r="FXP3" s="29"/>
      <c r="FXQ3" s="29"/>
      <c r="FXR3" s="29"/>
      <c r="FXS3" s="29"/>
      <c r="FXT3" s="29"/>
      <c r="FXU3" s="29"/>
      <c r="FXV3" s="29"/>
      <c r="FXW3" s="29"/>
      <c r="FXX3" s="29"/>
      <c r="FXY3" s="29"/>
      <c r="FXZ3" s="29"/>
      <c r="FYA3" s="29"/>
      <c r="FYB3" s="29"/>
      <c r="FYC3" s="29"/>
      <c r="FYD3" s="29"/>
      <c r="FYE3" s="29"/>
      <c r="FYF3" s="29"/>
      <c r="FYG3" s="29"/>
      <c r="FYH3" s="29"/>
      <c r="FYI3" s="29"/>
      <c r="FYJ3" s="29"/>
      <c r="FYK3" s="29"/>
      <c r="FYL3" s="29"/>
      <c r="FYM3" s="29"/>
      <c r="FYN3" s="29"/>
      <c r="FYO3" s="29"/>
      <c r="FYP3" s="29"/>
      <c r="FYQ3" s="29"/>
      <c r="FYR3" s="29"/>
      <c r="FYS3" s="29"/>
      <c r="FYT3" s="29"/>
      <c r="FYU3" s="29"/>
      <c r="FYV3" s="29"/>
      <c r="FYW3" s="29"/>
      <c r="FYX3" s="29"/>
      <c r="FYY3" s="29"/>
      <c r="FYZ3" s="29"/>
      <c r="FZA3" s="29"/>
      <c r="FZB3" s="29"/>
      <c r="FZC3" s="29"/>
      <c r="FZD3" s="29"/>
      <c r="FZE3" s="29"/>
      <c r="FZF3" s="29"/>
      <c r="FZG3" s="29"/>
      <c r="FZH3" s="29"/>
      <c r="FZI3" s="29"/>
      <c r="FZJ3" s="29"/>
      <c r="FZK3" s="29"/>
      <c r="FZL3" s="29"/>
      <c r="FZM3" s="29"/>
      <c r="FZN3" s="29"/>
      <c r="FZO3" s="29"/>
      <c r="FZP3" s="29"/>
      <c r="FZQ3" s="29"/>
      <c r="FZR3" s="29"/>
      <c r="FZS3" s="29"/>
      <c r="FZT3" s="29"/>
      <c r="FZU3" s="29"/>
      <c r="FZV3" s="29"/>
      <c r="FZW3" s="29"/>
      <c r="FZX3" s="29"/>
      <c r="FZY3" s="29"/>
      <c r="FZZ3" s="29"/>
      <c r="GAA3" s="29"/>
      <c r="GAB3" s="29"/>
      <c r="GAC3" s="29"/>
      <c r="GAD3" s="29"/>
      <c r="GAE3" s="29"/>
      <c r="GAF3" s="29"/>
      <c r="GAG3" s="29"/>
      <c r="GAH3" s="29"/>
      <c r="GAI3" s="29"/>
      <c r="GAJ3" s="29"/>
      <c r="GAK3" s="29"/>
      <c r="GAL3" s="29"/>
      <c r="GAM3" s="29"/>
      <c r="GAN3" s="29"/>
      <c r="GAO3" s="29"/>
      <c r="GAP3" s="29"/>
      <c r="GAQ3" s="29"/>
      <c r="GAR3" s="29"/>
      <c r="GAS3" s="29"/>
      <c r="GAT3" s="29"/>
      <c r="GAU3" s="29"/>
      <c r="GAV3" s="29"/>
      <c r="GAW3" s="29"/>
      <c r="GAX3" s="29"/>
      <c r="GAY3" s="29"/>
      <c r="GAZ3" s="29"/>
      <c r="GBA3" s="29"/>
      <c r="GBB3" s="29"/>
      <c r="GBC3" s="29"/>
      <c r="GBD3" s="29"/>
      <c r="GBE3" s="29"/>
      <c r="GBF3" s="29"/>
      <c r="GBG3" s="29"/>
      <c r="GBH3" s="29"/>
      <c r="GBI3" s="29"/>
      <c r="GBJ3" s="29"/>
      <c r="GBK3" s="29"/>
      <c r="GBL3" s="29"/>
      <c r="GBM3" s="29"/>
      <c r="GBN3" s="29"/>
      <c r="GBO3" s="29"/>
      <c r="GBP3" s="29"/>
      <c r="GBQ3" s="29"/>
      <c r="GBR3" s="29"/>
      <c r="GBS3" s="29"/>
      <c r="GBT3" s="29"/>
      <c r="GBU3" s="29"/>
      <c r="GBV3" s="29"/>
      <c r="GBW3" s="29"/>
      <c r="GBX3" s="29"/>
      <c r="GBY3" s="29"/>
      <c r="GBZ3" s="29"/>
      <c r="GCA3" s="29"/>
      <c r="GCB3" s="29"/>
      <c r="GCC3" s="29"/>
      <c r="GCD3" s="29"/>
      <c r="GCE3" s="29"/>
      <c r="GCF3" s="29"/>
      <c r="GCG3" s="29"/>
      <c r="GCH3" s="29"/>
      <c r="GCI3" s="29"/>
      <c r="GCJ3" s="29"/>
      <c r="GCK3" s="29"/>
      <c r="GCL3" s="29"/>
      <c r="GCM3" s="29"/>
      <c r="GCN3" s="29"/>
      <c r="GCO3" s="29"/>
      <c r="GCP3" s="29"/>
      <c r="GCQ3" s="29"/>
      <c r="GCR3" s="29"/>
      <c r="GCS3" s="29"/>
      <c r="GCT3" s="29"/>
      <c r="GCU3" s="29"/>
      <c r="GCV3" s="29"/>
      <c r="GCW3" s="29"/>
      <c r="GCX3" s="29"/>
      <c r="GCY3" s="29"/>
      <c r="GCZ3" s="29"/>
      <c r="GDA3" s="29"/>
      <c r="GDB3" s="29"/>
      <c r="GDC3" s="29"/>
      <c r="GDD3" s="29"/>
      <c r="GDE3" s="29"/>
      <c r="GDF3" s="29"/>
      <c r="GDG3" s="29"/>
      <c r="GDH3" s="29"/>
      <c r="GDI3" s="29"/>
      <c r="GDJ3" s="29"/>
      <c r="GDK3" s="29"/>
      <c r="GDL3" s="29"/>
      <c r="GDM3" s="29"/>
      <c r="GDN3" s="29"/>
      <c r="GDO3" s="29"/>
      <c r="GDP3" s="29"/>
      <c r="GDQ3" s="29"/>
      <c r="GDR3" s="29"/>
      <c r="GDS3" s="29"/>
      <c r="GDT3" s="29"/>
      <c r="GDU3" s="29"/>
      <c r="GDV3" s="29"/>
      <c r="GDW3" s="29"/>
      <c r="GDX3" s="29"/>
      <c r="GDY3" s="29"/>
      <c r="GDZ3" s="29"/>
      <c r="GEA3" s="29"/>
      <c r="GEB3" s="29"/>
      <c r="GEC3" s="29"/>
      <c r="GED3" s="29"/>
      <c r="GEE3" s="29"/>
      <c r="GEF3" s="29"/>
      <c r="GEG3" s="29"/>
      <c r="GEH3" s="29"/>
      <c r="GEI3" s="29"/>
      <c r="GEJ3" s="29"/>
      <c r="GEK3" s="29"/>
      <c r="GEL3" s="29"/>
      <c r="GEM3" s="29"/>
      <c r="GEN3" s="29"/>
      <c r="GEO3" s="29"/>
      <c r="GEP3" s="29"/>
      <c r="GEQ3" s="29"/>
      <c r="GER3" s="29"/>
      <c r="GES3" s="29"/>
      <c r="GET3" s="29"/>
      <c r="GEU3" s="29"/>
      <c r="GEV3" s="29"/>
      <c r="GEW3" s="29"/>
      <c r="GEX3" s="29"/>
      <c r="GEY3" s="29"/>
      <c r="GEZ3" s="29"/>
      <c r="GFA3" s="29"/>
      <c r="GFB3" s="29"/>
      <c r="GFC3" s="29"/>
      <c r="GFD3" s="29"/>
      <c r="GFE3" s="29"/>
      <c r="GFF3" s="29"/>
      <c r="GFG3" s="29"/>
      <c r="GFH3" s="29"/>
      <c r="GFI3" s="29"/>
      <c r="GFJ3" s="29"/>
      <c r="GFK3" s="29"/>
      <c r="GFL3" s="29"/>
      <c r="GFM3" s="29"/>
      <c r="GFN3" s="29"/>
      <c r="GFO3" s="29"/>
      <c r="GFP3" s="29"/>
      <c r="GFQ3" s="29"/>
      <c r="GFR3" s="29"/>
      <c r="GFS3" s="29"/>
      <c r="GFT3" s="29"/>
      <c r="GFU3" s="29"/>
      <c r="GFV3" s="29"/>
      <c r="GFW3" s="29"/>
      <c r="GFX3" s="29"/>
      <c r="GFY3" s="29"/>
      <c r="GFZ3" s="29"/>
      <c r="GGA3" s="29"/>
      <c r="GGB3" s="29"/>
      <c r="GGC3" s="29"/>
      <c r="GGD3" s="29"/>
      <c r="GGE3" s="29"/>
      <c r="GGF3" s="29"/>
      <c r="GGG3" s="29"/>
      <c r="GGH3" s="29"/>
      <c r="GGI3" s="29"/>
      <c r="GGJ3" s="29"/>
      <c r="GGK3" s="29"/>
      <c r="GGL3" s="29"/>
      <c r="GGM3" s="29"/>
      <c r="GGN3" s="29"/>
      <c r="GGO3" s="29"/>
      <c r="GGP3" s="29"/>
      <c r="GGQ3" s="29"/>
      <c r="GGR3" s="29"/>
      <c r="GGS3" s="29"/>
      <c r="GGT3" s="29"/>
      <c r="GGU3" s="29"/>
      <c r="GGV3" s="29"/>
      <c r="GGW3" s="29"/>
      <c r="GGX3" s="29"/>
      <c r="GGY3" s="29"/>
      <c r="GGZ3" s="29"/>
      <c r="GHA3" s="29"/>
      <c r="GHB3" s="29"/>
      <c r="GHC3" s="29"/>
      <c r="GHD3" s="29"/>
      <c r="GHE3" s="29"/>
      <c r="GHF3" s="29"/>
      <c r="GHG3" s="29"/>
      <c r="GHH3" s="29"/>
      <c r="GHI3" s="29"/>
      <c r="GHJ3" s="29"/>
      <c r="GHK3" s="29"/>
      <c r="GHL3" s="29"/>
      <c r="GHM3" s="29"/>
      <c r="GHN3" s="29"/>
      <c r="GHO3" s="29"/>
      <c r="GHP3" s="29"/>
      <c r="GHQ3" s="29"/>
      <c r="GHR3" s="29"/>
      <c r="GHS3" s="29"/>
      <c r="GHT3" s="29"/>
      <c r="GHU3" s="29"/>
      <c r="GHV3" s="29"/>
      <c r="GHW3" s="29"/>
      <c r="GHX3" s="29"/>
      <c r="GHY3" s="29"/>
      <c r="GHZ3" s="29"/>
      <c r="GIA3" s="29"/>
      <c r="GIB3" s="29"/>
      <c r="GIC3" s="29"/>
      <c r="GID3" s="29"/>
      <c r="GIE3" s="29"/>
      <c r="GIF3" s="29"/>
      <c r="GIG3" s="29"/>
      <c r="GIH3" s="29"/>
      <c r="GII3" s="29"/>
      <c r="GIJ3" s="29"/>
      <c r="GIK3" s="29"/>
      <c r="GIL3" s="29"/>
      <c r="GIM3" s="29"/>
      <c r="GIN3" s="29"/>
      <c r="GIO3" s="29"/>
      <c r="GIP3" s="29"/>
      <c r="GIQ3" s="29"/>
      <c r="GIR3" s="29"/>
      <c r="GIS3" s="29"/>
      <c r="GIT3" s="29"/>
      <c r="GIU3" s="29"/>
      <c r="GIV3" s="29"/>
      <c r="GIW3" s="29"/>
      <c r="GIX3" s="29"/>
      <c r="GIY3" s="29"/>
      <c r="GIZ3" s="29"/>
      <c r="GJA3" s="29"/>
      <c r="GJB3" s="29"/>
      <c r="GJC3" s="29"/>
      <c r="GJD3" s="29"/>
      <c r="GJE3" s="29"/>
      <c r="GJF3" s="29"/>
      <c r="GJG3" s="29"/>
      <c r="GJH3" s="29"/>
      <c r="GJI3" s="29"/>
      <c r="GJJ3" s="29"/>
      <c r="GJK3" s="29"/>
      <c r="GJL3" s="29"/>
      <c r="GJM3" s="29"/>
      <c r="GJN3" s="29"/>
      <c r="GJO3" s="29"/>
      <c r="GJP3" s="29"/>
      <c r="GJQ3" s="29"/>
      <c r="GJR3" s="29"/>
      <c r="GJS3" s="29"/>
      <c r="GJT3" s="29"/>
      <c r="GJU3" s="29"/>
      <c r="GJV3" s="29"/>
      <c r="GJW3" s="29"/>
      <c r="GJX3" s="29"/>
      <c r="GJY3" s="29"/>
      <c r="GJZ3" s="29"/>
      <c r="GKA3" s="29"/>
      <c r="GKB3" s="29"/>
      <c r="GKC3" s="29"/>
      <c r="GKD3" s="29"/>
      <c r="GKE3" s="29"/>
      <c r="GKF3" s="29"/>
      <c r="GKG3" s="29"/>
      <c r="GKH3" s="29"/>
      <c r="GKI3" s="29"/>
      <c r="GKJ3" s="29"/>
      <c r="GKK3" s="29"/>
      <c r="GKL3" s="29"/>
      <c r="GKM3" s="29"/>
      <c r="GKN3" s="29"/>
      <c r="GKO3" s="29"/>
      <c r="GKP3" s="29"/>
      <c r="GKQ3" s="29"/>
      <c r="GKR3" s="29"/>
      <c r="GKS3" s="29"/>
      <c r="GKT3" s="29"/>
      <c r="GKU3" s="29"/>
      <c r="GKV3" s="29"/>
      <c r="GKW3" s="29"/>
      <c r="GKX3" s="29"/>
      <c r="GKY3" s="29"/>
      <c r="GKZ3" s="29"/>
      <c r="GLA3" s="29"/>
      <c r="GLB3" s="29"/>
      <c r="GLC3" s="29"/>
      <c r="GLD3" s="29"/>
      <c r="GLE3" s="29"/>
      <c r="GLF3" s="29"/>
      <c r="GLG3" s="29"/>
      <c r="GLH3" s="29"/>
      <c r="GLI3" s="29"/>
      <c r="GLJ3" s="29"/>
      <c r="GLK3" s="29"/>
      <c r="GLL3" s="29"/>
      <c r="GLM3" s="29"/>
      <c r="GLN3" s="29"/>
      <c r="GLO3" s="29"/>
      <c r="GLP3" s="29"/>
      <c r="GLQ3" s="29"/>
      <c r="GLR3" s="29"/>
      <c r="GLS3" s="29"/>
      <c r="GLT3" s="29"/>
      <c r="GLU3" s="29"/>
      <c r="GLV3" s="29"/>
      <c r="GLW3" s="29"/>
      <c r="GLX3" s="29"/>
      <c r="GLY3" s="29"/>
      <c r="GLZ3" s="29"/>
      <c r="GMA3" s="29"/>
      <c r="GMB3" s="29"/>
      <c r="GMC3" s="29"/>
      <c r="GMD3" s="29"/>
      <c r="GME3" s="29"/>
      <c r="GMF3" s="29"/>
      <c r="GMG3" s="29"/>
      <c r="GMH3" s="29"/>
      <c r="GMI3" s="29"/>
      <c r="GMJ3" s="29"/>
      <c r="GMK3" s="29"/>
      <c r="GML3" s="29"/>
      <c r="GMM3" s="29"/>
      <c r="GMN3" s="29"/>
      <c r="GMO3" s="29"/>
      <c r="GMP3" s="29"/>
      <c r="GMQ3" s="29"/>
      <c r="GMR3" s="29"/>
      <c r="GMS3" s="29"/>
      <c r="GMT3" s="29"/>
      <c r="GMU3" s="29"/>
      <c r="GMV3" s="29"/>
      <c r="GMW3" s="29"/>
      <c r="GMX3" s="29"/>
      <c r="GMY3" s="29"/>
      <c r="GMZ3" s="29"/>
      <c r="GNA3" s="29"/>
      <c r="GNB3" s="29"/>
      <c r="GNC3" s="29"/>
      <c r="GND3" s="29"/>
      <c r="GNE3" s="29"/>
      <c r="GNF3" s="29"/>
      <c r="GNG3" s="29"/>
      <c r="GNH3" s="29"/>
      <c r="GNI3" s="29"/>
      <c r="GNJ3" s="29"/>
      <c r="GNK3" s="29"/>
      <c r="GNL3" s="29"/>
      <c r="GNM3" s="29"/>
      <c r="GNN3" s="29"/>
      <c r="GNO3" s="29"/>
      <c r="GNP3" s="29"/>
      <c r="GNQ3" s="29"/>
      <c r="GNR3" s="29"/>
      <c r="GNS3" s="29"/>
      <c r="GNT3" s="29"/>
      <c r="GNU3" s="29"/>
      <c r="GNV3" s="29"/>
      <c r="GNW3" s="29"/>
      <c r="GNX3" s="29"/>
      <c r="GNY3" s="29"/>
      <c r="GNZ3" s="29"/>
      <c r="GOA3" s="29"/>
      <c r="GOB3" s="29"/>
      <c r="GOC3" s="29"/>
      <c r="GOD3" s="29"/>
      <c r="GOE3" s="29"/>
      <c r="GOF3" s="29"/>
      <c r="GOG3" s="29"/>
      <c r="GOH3" s="29"/>
      <c r="GOI3" s="29"/>
      <c r="GOJ3" s="29"/>
      <c r="GOK3" s="29"/>
      <c r="GOL3" s="29"/>
      <c r="GOM3" s="29"/>
      <c r="GON3" s="29"/>
      <c r="GOO3" s="29"/>
      <c r="GOP3" s="29"/>
      <c r="GOQ3" s="29"/>
      <c r="GOR3" s="29"/>
      <c r="GOS3" s="29"/>
      <c r="GOT3" s="29"/>
      <c r="GOU3" s="29"/>
      <c r="GOV3" s="29"/>
      <c r="GOW3" s="29"/>
      <c r="GOX3" s="29"/>
      <c r="GOY3" s="29"/>
      <c r="GOZ3" s="29"/>
      <c r="GPA3" s="29"/>
      <c r="GPB3" s="29"/>
      <c r="GPC3" s="29"/>
      <c r="GPD3" s="29"/>
      <c r="GPE3" s="29"/>
      <c r="GPF3" s="29"/>
      <c r="GPG3" s="29"/>
      <c r="GPH3" s="29"/>
      <c r="GPI3" s="29"/>
      <c r="GPJ3" s="29"/>
      <c r="GPK3" s="29"/>
      <c r="GPL3" s="29"/>
      <c r="GPM3" s="29"/>
      <c r="GPN3" s="29"/>
      <c r="GPO3" s="29"/>
      <c r="GPP3" s="29"/>
      <c r="GPQ3" s="29"/>
      <c r="GPR3" s="29"/>
      <c r="GPS3" s="29"/>
      <c r="GPT3" s="29"/>
      <c r="GPU3" s="29"/>
      <c r="GPV3" s="29"/>
      <c r="GPW3" s="29"/>
      <c r="GPX3" s="29"/>
      <c r="GPY3" s="29"/>
      <c r="GPZ3" s="29"/>
      <c r="GQA3" s="29"/>
      <c r="GQB3" s="29"/>
      <c r="GQC3" s="29"/>
      <c r="GQD3" s="29"/>
      <c r="GQE3" s="29"/>
      <c r="GQF3" s="29"/>
      <c r="GQG3" s="29"/>
      <c r="GQH3" s="29"/>
      <c r="GQI3" s="29"/>
      <c r="GQJ3" s="29"/>
      <c r="GQK3" s="29"/>
      <c r="GQL3" s="29"/>
      <c r="GQM3" s="29"/>
      <c r="GQN3" s="29"/>
      <c r="GQO3" s="29"/>
      <c r="GQP3" s="29"/>
      <c r="GQQ3" s="29"/>
      <c r="GQR3" s="29"/>
      <c r="GQS3" s="29"/>
      <c r="GQT3" s="29"/>
      <c r="GQU3" s="29"/>
      <c r="GQV3" s="29"/>
      <c r="GQW3" s="29"/>
      <c r="GQX3" s="29"/>
      <c r="GQY3" s="29"/>
      <c r="GQZ3" s="29"/>
      <c r="GRA3" s="29"/>
      <c r="GRB3" s="29"/>
      <c r="GRC3" s="29"/>
      <c r="GRD3" s="29"/>
      <c r="GRE3" s="29"/>
      <c r="GRF3" s="29"/>
      <c r="GRG3" s="29"/>
      <c r="GRH3" s="29"/>
      <c r="GRI3" s="29"/>
      <c r="GRJ3" s="29"/>
      <c r="GRK3" s="29"/>
      <c r="GRL3" s="29"/>
      <c r="GRM3" s="29"/>
      <c r="GRN3" s="29"/>
      <c r="GRO3" s="29"/>
      <c r="GRP3" s="29"/>
      <c r="GRQ3" s="29"/>
      <c r="GRR3" s="29"/>
      <c r="GRS3" s="29"/>
      <c r="GRT3" s="29"/>
      <c r="GRU3" s="29"/>
      <c r="GRV3" s="29"/>
      <c r="GRW3" s="29"/>
      <c r="GRX3" s="29"/>
      <c r="GRY3" s="29"/>
      <c r="GRZ3" s="29"/>
      <c r="GSA3" s="29"/>
      <c r="GSB3" s="29"/>
      <c r="GSC3" s="29"/>
      <c r="GSD3" s="29"/>
      <c r="GSE3" s="29"/>
      <c r="GSF3" s="29"/>
      <c r="GSG3" s="29"/>
      <c r="GSH3" s="29"/>
      <c r="GSI3" s="29"/>
      <c r="GSJ3" s="29"/>
      <c r="GSK3" s="29"/>
      <c r="GSL3" s="29"/>
      <c r="GSM3" s="29"/>
      <c r="GSN3" s="29"/>
      <c r="GSO3" s="29"/>
      <c r="GSP3" s="29"/>
      <c r="GSQ3" s="29"/>
      <c r="GSR3" s="29"/>
      <c r="GSS3" s="29"/>
      <c r="GST3" s="29"/>
      <c r="GSU3" s="29"/>
      <c r="GSV3" s="29"/>
      <c r="GSW3" s="29"/>
      <c r="GSX3" s="29"/>
      <c r="GSY3" s="29"/>
      <c r="GSZ3" s="29"/>
      <c r="GTA3" s="29"/>
      <c r="GTB3" s="29"/>
      <c r="GTC3" s="29"/>
      <c r="GTD3" s="29"/>
      <c r="GTE3" s="29"/>
      <c r="GTF3" s="29"/>
      <c r="GTG3" s="29"/>
      <c r="GTH3" s="29"/>
      <c r="GTI3" s="29"/>
      <c r="GTJ3" s="29"/>
      <c r="GTK3" s="29"/>
      <c r="GTL3" s="29"/>
      <c r="GTM3" s="29"/>
      <c r="GTN3" s="29"/>
      <c r="GTO3" s="29"/>
      <c r="GTP3" s="29"/>
      <c r="GTQ3" s="29"/>
      <c r="GTR3" s="29"/>
      <c r="GTS3" s="29"/>
      <c r="GTT3" s="29"/>
      <c r="GTU3" s="29"/>
      <c r="GTV3" s="29"/>
      <c r="GTW3" s="29"/>
      <c r="GTX3" s="29"/>
      <c r="GTY3" s="29"/>
      <c r="GTZ3" s="29"/>
      <c r="GUA3" s="29"/>
      <c r="GUB3" s="29"/>
      <c r="GUC3" s="29"/>
      <c r="GUD3" s="29"/>
      <c r="GUE3" s="29"/>
      <c r="GUF3" s="29"/>
      <c r="GUG3" s="29"/>
      <c r="GUH3" s="29"/>
      <c r="GUI3" s="29"/>
      <c r="GUJ3" s="29"/>
      <c r="GUK3" s="29"/>
      <c r="GUL3" s="29"/>
      <c r="GUM3" s="29"/>
      <c r="GUN3" s="29"/>
      <c r="GUO3" s="29"/>
      <c r="GUP3" s="29"/>
      <c r="GUQ3" s="29"/>
      <c r="GUR3" s="29"/>
      <c r="GUS3" s="29"/>
      <c r="GUT3" s="29"/>
      <c r="GUU3" s="29"/>
      <c r="GUV3" s="29"/>
      <c r="GUW3" s="29"/>
      <c r="GUX3" s="29"/>
      <c r="GUY3" s="29"/>
      <c r="GUZ3" s="29"/>
      <c r="GVA3" s="29"/>
      <c r="GVB3" s="29"/>
      <c r="GVC3" s="29"/>
      <c r="GVD3" s="29"/>
      <c r="GVE3" s="29"/>
      <c r="GVF3" s="29"/>
      <c r="GVG3" s="29"/>
      <c r="GVH3" s="29"/>
      <c r="GVI3" s="29"/>
      <c r="GVJ3" s="29"/>
      <c r="GVK3" s="29"/>
      <c r="GVL3" s="29"/>
      <c r="GVM3" s="29"/>
      <c r="GVN3" s="29"/>
      <c r="GVO3" s="29"/>
      <c r="GVP3" s="29"/>
      <c r="GVQ3" s="29"/>
      <c r="GVR3" s="29"/>
      <c r="GVS3" s="29"/>
      <c r="GVT3" s="29"/>
      <c r="GVU3" s="29"/>
      <c r="GVV3" s="29"/>
      <c r="GVW3" s="29"/>
      <c r="GVX3" s="29"/>
      <c r="GVY3" s="29"/>
      <c r="GVZ3" s="29"/>
      <c r="GWA3" s="29"/>
      <c r="GWB3" s="29"/>
      <c r="GWC3" s="29"/>
      <c r="GWD3" s="29"/>
      <c r="GWE3" s="29"/>
      <c r="GWF3" s="29"/>
      <c r="GWG3" s="29"/>
      <c r="GWH3" s="29"/>
      <c r="GWI3" s="29"/>
      <c r="GWJ3" s="29"/>
      <c r="GWK3" s="29"/>
      <c r="GWL3" s="29"/>
      <c r="GWM3" s="29"/>
      <c r="GWN3" s="29"/>
      <c r="GWO3" s="29"/>
      <c r="GWP3" s="29"/>
      <c r="GWQ3" s="29"/>
      <c r="GWR3" s="29"/>
      <c r="GWS3" s="29"/>
      <c r="GWT3" s="29"/>
      <c r="GWU3" s="29"/>
      <c r="GWV3" s="29"/>
      <c r="GWW3" s="29"/>
      <c r="GWX3" s="29"/>
      <c r="GWY3" s="29"/>
      <c r="GWZ3" s="29"/>
      <c r="GXA3" s="29"/>
      <c r="GXB3" s="29"/>
      <c r="GXC3" s="29"/>
      <c r="GXD3" s="29"/>
      <c r="GXE3" s="29"/>
      <c r="GXF3" s="29"/>
      <c r="GXG3" s="29"/>
      <c r="GXH3" s="29"/>
      <c r="GXI3" s="29"/>
      <c r="GXJ3" s="29"/>
      <c r="GXK3" s="29"/>
      <c r="GXL3" s="29"/>
      <c r="GXM3" s="29"/>
      <c r="GXN3" s="29"/>
      <c r="GXO3" s="29"/>
      <c r="GXP3" s="29"/>
      <c r="GXQ3" s="29"/>
      <c r="GXR3" s="29"/>
      <c r="GXS3" s="29"/>
      <c r="GXT3" s="29"/>
      <c r="GXU3" s="29"/>
      <c r="GXV3" s="29"/>
      <c r="GXW3" s="29"/>
      <c r="GXX3" s="29"/>
      <c r="GXY3" s="29"/>
      <c r="GXZ3" s="29"/>
      <c r="GYA3" s="29"/>
      <c r="GYB3" s="29"/>
      <c r="GYC3" s="29"/>
      <c r="GYD3" s="29"/>
      <c r="GYE3" s="29"/>
      <c r="GYF3" s="29"/>
      <c r="GYG3" s="29"/>
      <c r="GYH3" s="29"/>
      <c r="GYI3" s="29"/>
      <c r="GYJ3" s="29"/>
      <c r="GYK3" s="29"/>
      <c r="GYL3" s="29"/>
      <c r="GYM3" s="29"/>
      <c r="GYN3" s="29"/>
      <c r="GYO3" s="29"/>
      <c r="GYP3" s="29"/>
      <c r="GYQ3" s="29"/>
      <c r="GYR3" s="29"/>
      <c r="GYS3" s="29"/>
      <c r="GYT3" s="29"/>
      <c r="GYU3" s="29"/>
      <c r="GYV3" s="29"/>
      <c r="GYW3" s="29"/>
      <c r="GYX3" s="29"/>
      <c r="GYY3" s="29"/>
      <c r="GYZ3" s="29"/>
      <c r="GZA3" s="29"/>
      <c r="GZB3" s="29"/>
      <c r="GZC3" s="29"/>
      <c r="GZD3" s="29"/>
      <c r="GZE3" s="29"/>
      <c r="GZF3" s="29"/>
      <c r="GZG3" s="29"/>
      <c r="GZH3" s="29"/>
      <c r="GZI3" s="29"/>
      <c r="GZJ3" s="29"/>
      <c r="GZK3" s="29"/>
      <c r="GZL3" s="29"/>
      <c r="GZM3" s="29"/>
      <c r="GZN3" s="29"/>
      <c r="GZO3" s="29"/>
      <c r="GZP3" s="29"/>
      <c r="GZQ3" s="29"/>
      <c r="GZR3" s="29"/>
      <c r="GZS3" s="29"/>
      <c r="GZT3" s="29"/>
      <c r="GZU3" s="29"/>
      <c r="GZV3" s="29"/>
      <c r="GZW3" s="29"/>
      <c r="GZX3" s="29"/>
      <c r="GZY3" s="29"/>
      <c r="GZZ3" s="29"/>
      <c r="HAA3" s="29"/>
      <c r="HAB3" s="29"/>
      <c r="HAC3" s="29"/>
      <c r="HAD3" s="29"/>
      <c r="HAE3" s="29"/>
      <c r="HAF3" s="29"/>
      <c r="HAG3" s="29"/>
      <c r="HAH3" s="29"/>
      <c r="HAI3" s="29"/>
      <c r="HAJ3" s="29"/>
      <c r="HAK3" s="29"/>
      <c r="HAL3" s="29"/>
      <c r="HAM3" s="29"/>
      <c r="HAN3" s="29"/>
      <c r="HAO3" s="29"/>
      <c r="HAP3" s="29"/>
      <c r="HAQ3" s="29"/>
      <c r="HAR3" s="29"/>
      <c r="HAS3" s="29"/>
      <c r="HAT3" s="29"/>
      <c r="HAU3" s="29"/>
      <c r="HAV3" s="29"/>
      <c r="HAW3" s="29"/>
      <c r="HAX3" s="29"/>
      <c r="HAY3" s="29"/>
      <c r="HAZ3" s="29"/>
      <c r="HBA3" s="29"/>
      <c r="HBB3" s="29"/>
      <c r="HBC3" s="29"/>
      <c r="HBD3" s="29"/>
      <c r="HBE3" s="29"/>
      <c r="HBF3" s="29"/>
      <c r="HBG3" s="29"/>
      <c r="HBH3" s="29"/>
      <c r="HBI3" s="29"/>
      <c r="HBJ3" s="29"/>
      <c r="HBK3" s="29"/>
      <c r="HBL3" s="29"/>
      <c r="HBM3" s="29"/>
      <c r="HBN3" s="29"/>
      <c r="HBO3" s="29"/>
      <c r="HBP3" s="29"/>
      <c r="HBQ3" s="29"/>
      <c r="HBR3" s="29"/>
      <c r="HBS3" s="29"/>
      <c r="HBT3" s="29"/>
      <c r="HBU3" s="29"/>
      <c r="HBV3" s="29"/>
      <c r="HBW3" s="29"/>
      <c r="HBX3" s="29"/>
      <c r="HBY3" s="29"/>
      <c r="HBZ3" s="29"/>
      <c r="HCA3" s="29"/>
      <c r="HCB3" s="29"/>
      <c r="HCC3" s="29"/>
      <c r="HCD3" s="29"/>
      <c r="HCE3" s="29"/>
      <c r="HCF3" s="29"/>
      <c r="HCG3" s="29"/>
      <c r="HCH3" s="29"/>
      <c r="HCI3" s="29"/>
      <c r="HCJ3" s="29"/>
      <c r="HCK3" s="29"/>
      <c r="HCL3" s="29"/>
      <c r="HCM3" s="29"/>
      <c r="HCN3" s="29"/>
      <c r="HCO3" s="29"/>
      <c r="HCP3" s="29"/>
      <c r="HCQ3" s="29"/>
      <c r="HCR3" s="29"/>
      <c r="HCS3" s="29"/>
      <c r="HCT3" s="29"/>
      <c r="HCU3" s="29"/>
      <c r="HCV3" s="29"/>
      <c r="HCW3" s="29"/>
      <c r="HCX3" s="29"/>
      <c r="HCY3" s="29"/>
      <c r="HCZ3" s="29"/>
      <c r="HDA3" s="29"/>
      <c r="HDB3" s="29"/>
      <c r="HDC3" s="29"/>
      <c r="HDD3" s="29"/>
      <c r="HDE3" s="29"/>
      <c r="HDF3" s="29"/>
      <c r="HDG3" s="29"/>
      <c r="HDH3" s="29"/>
      <c r="HDI3" s="29"/>
      <c r="HDJ3" s="29"/>
      <c r="HDK3" s="29"/>
      <c r="HDL3" s="29"/>
      <c r="HDM3" s="29"/>
      <c r="HDN3" s="29"/>
      <c r="HDO3" s="29"/>
      <c r="HDP3" s="29"/>
      <c r="HDQ3" s="29"/>
      <c r="HDR3" s="29"/>
      <c r="HDS3" s="29"/>
      <c r="HDT3" s="29"/>
      <c r="HDU3" s="29"/>
      <c r="HDV3" s="29"/>
      <c r="HDW3" s="29"/>
      <c r="HDX3" s="29"/>
      <c r="HDY3" s="29"/>
      <c r="HDZ3" s="29"/>
      <c r="HEA3" s="29"/>
      <c r="HEB3" s="29"/>
      <c r="HEC3" s="29"/>
      <c r="HED3" s="29"/>
      <c r="HEE3" s="29"/>
      <c r="HEF3" s="29"/>
      <c r="HEG3" s="29"/>
      <c r="HEH3" s="29"/>
      <c r="HEI3" s="29"/>
      <c r="HEJ3" s="29"/>
      <c r="HEK3" s="29"/>
      <c r="HEL3" s="29"/>
      <c r="HEM3" s="29"/>
      <c r="HEN3" s="29"/>
      <c r="HEO3" s="29"/>
      <c r="HEP3" s="29"/>
      <c r="HEQ3" s="29"/>
      <c r="HER3" s="29"/>
      <c r="HES3" s="29"/>
      <c r="HET3" s="29"/>
      <c r="HEU3" s="29"/>
      <c r="HEV3" s="29"/>
      <c r="HEW3" s="29"/>
      <c r="HEX3" s="29"/>
      <c r="HEY3" s="29"/>
      <c r="HEZ3" s="29"/>
      <c r="HFA3" s="29"/>
      <c r="HFB3" s="29"/>
      <c r="HFC3" s="29"/>
      <c r="HFD3" s="29"/>
      <c r="HFE3" s="29"/>
      <c r="HFF3" s="29"/>
      <c r="HFG3" s="29"/>
      <c r="HFH3" s="29"/>
      <c r="HFI3" s="29"/>
      <c r="HFJ3" s="29"/>
      <c r="HFK3" s="29"/>
      <c r="HFL3" s="29"/>
      <c r="HFM3" s="29"/>
      <c r="HFN3" s="29"/>
      <c r="HFO3" s="29"/>
      <c r="HFP3" s="29"/>
      <c r="HFQ3" s="29"/>
      <c r="HFR3" s="29"/>
      <c r="HFS3" s="29"/>
      <c r="HFT3" s="29"/>
      <c r="HFU3" s="29"/>
      <c r="HFV3" s="29"/>
      <c r="HFW3" s="29"/>
      <c r="HFX3" s="29"/>
      <c r="HFY3" s="29"/>
      <c r="HFZ3" s="29"/>
      <c r="HGA3" s="29"/>
      <c r="HGB3" s="29"/>
      <c r="HGC3" s="29"/>
      <c r="HGD3" s="29"/>
      <c r="HGE3" s="29"/>
      <c r="HGF3" s="29"/>
      <c r="HGG3" s="29"/>
      <c r="HGH3" s="29"/>
      <c r="HGI3" s="29"/>
      <c r="HGJ3" s="29"/>
      <c r="HGK3" s="29"/>
      <c r="HGL3" s="29"/>
      <c r="HGM3" s="29"/>
      <c r="HGN3" s="29"/>
      <c r="HGO3" s="29"/>
      <c r="HGP3" s="29"/>
      <c r="HGQ3" s="29"/>
      <c r="HGR3" s="29"/>
      <c r="HGS3" s="29"/>
      <c r="HGT3" s="29"/>
      <c r="HGU3" s="29"/>
      <c r="HGV3" s="29"/>
      <c r="HGW3" s="29"/>
      <c r="HGX3" s="29"/>
      <c r="HGY3" s="29"/>
      <c r="HGZ3" s="29"/>
      <c r="HHA3" s="29"/>
      <c r="HHB3" s="29"/>
      <c r="HHC3" s="29"/>
      <c r="HHD3" s="29"/>
      <c r="HHE3" s="29"/>
      <c r="HHF3" s="29"/>
      <c r="HHG3" s="29"/>
      <c r="HHH3" s="29"/>
      <c r="HHI3" s="29"/>
      <c r="HHJ3" s="29"/>
      <c r="HHK3" s="29"/>
      <c r="HHL3" s="29"/>
      <c r="HHM3" s="29"/>
      <c r="HHN3" s="29"/>
      <c r="HHO3" s="29"/>
      <c r="HHP3" s="29"/>
      <c r="HHQ3" s="29"/>
      <c r="HHR3" s="29"/>
      <c r="HHS3" s="29"/>
      <c r="HHT3" s="29"/>
      <c r="HHU3" s="29"/>
      <c r="HHV3" s="29"/>
      <c r="HHW3" s="29"/>
      <c r="HHX3" s="29"/>
      <c r="HHY3" s="29"/>
      <c r="HHZ3" s="29"/>
      <c r="HIA3" s="29"/>
      <c r="HIB3" s="29"/>
      <c r="HIC3" s="29"/>
      <c r="HID3" s="29"/>
      <c r="HIE3" s="29"/>
      <c r="HIF3" s="29"/>
      <c r="HIG3" s="29"/>
      <c r="HIH3" s="29"/>
      <c r="HII3" s="29"/>
      <c r="HIJ3" s="29"/>
      <c r="HIK3" s="29"/>
      <c r="HIL3" s="29"/>
      <c r="HIM3" s="29"/>
      <c r="HIN3" s="29"/>
      <c r="HIO3" s="29"/>
      <c r="HIP3" s="29"/>
      <c r="HIQ3" s="29"/>
      <c r="HIR3" s="29"/>
      <c r="HIS3" s="29"/>
      <c r="HIT3" s="29"/>
      <c r="HIU3" s="29"/>
      <c r="HIV3" s="29"/>
      <c r="HIW3" s="29"/>
      <c r="HIX3" s="29"/>
      <c r="HIY3" s="29"/>
      <c r="HIZ3" s="29"/>
      <c r="HJA3" s="29"/>
      <c r="HJB3" s="29"/>
      <c r="HJC3" s="29"/>
      <c r="HJD3" s="29"/>
      <c r="HJE3" s="29"/>
      <c r="HJF3" s="29"/>
      <c r="HJG3" s="29"/>
      <c r="HJH3" s="29"/>
      <c r="HJI3" s="29"/>
      <c r="HJJ3" s="29"/>
      <c r="HJK3" s="29"/>
      <c r="HJL3" s="29"/>
      <c r="HJM3" s="29"/>
      <c r="HJN3" s="29"/>
      <c r="HJO3" s="29"/>
      <c r="HJP3" s="29"/>
      <c r="HJQ3" s="29"/>
      <c r="HJR3" s="29"/>
      <c r="HJS3" s="29"/>
      <c r="HJT3" s="29"/>
      <c r="HJU3" s="29"/>
      <c r="HJV3" s="29"/>
      <c r="HJW3" s="29"/>
      <c r="HJX3" s="29"/>
      <c r="HJY3" s="29"/>
      <c r="HJZ3" s="29"/>
      <c r="HKA3" s="29"/>
      <c r="HKB3" s="29"/>
      <c r="HKC3" s="29"/>
      <c r="HKD3" s="29"/>
      <c r="HKE3" s="29"/>
      <c r="HKF3" s="29"/>
      <c r="HKG3" s="29"/>
      <c r="HKH3" s="29"/>
      <c r="HKI3" s="29"/>
      <c r="HKJ3" s="29"/>
      <c r="HKK3" s="29"/>
      <c r="HKL3" s="29"/>
      <c r="HKM3" s="29"/>
      <c r="HKN3" s="29"/>
      <c r="HKO3" s="29"/>
      <c r="HKP3" s="29"/>
      <c r="HKQ3" s="29"/>
      <c r="HKR3" s="29"/>
      <c r="HKS3" s="29"/>
      <c r="HKT3" s="29"/>
      <c r="HKU3" s="29"/>
      <c r="HKV3" s="29"/>
      <c r="HKW3" s="29"/>
      <c r="HKX3" s="29"/>
      <c r="HKY3" s="29"/>
      <c r="HKZ3" s="29"/>
      <c r="HLA3" s="29"/>
      <c r="HLB3" s="29"/>
      <c r="HLC3" s="29"/>
      <c r="HLD3" s="29"/>
      <c r="HLE3" s="29"/>
      <c r="HLF3" s="29"/>
      <c r="HLG3" s="29"/>
      <c r="HLH3" s="29"/>
      <c r="HLI3" s="29"/>
      <c r="HLJ3" s="29"/>
      <c r="HLK3" s="29"/>
      <c r="HLL3" s="29"/>
      <c r="HLM3" s="29"/>
      <c r="HLN3" s="29"/>
      <c r="HLO3" s="29"/>
      <c r="HLP3" s="29"/>
      <c r="HLQ3" s="29"/>
      <c r="HLR3" s="29"/>
      <c r="HLS3" s="29"/>
      <c r="HLT3" s="29"/>
      <c r="HLU3" s="29"/>
      <c r="HLV3" s="29"/>
      <c r="HLW3" s="29"/>
      <c r="HLX3" s="29"/>
      <c r="HLY3" s="29"/>
      <c r="HLZ3" s="29"/>
      <c r="HMA3" s="29"/>
      <c r="HMB3" s="29"/>
      <c r="HMC3" s="29"/>
      <c r="HMD3" s="29"/>
      <c r="HME3" s="29"/>
      <c r="HMF3" s="29"/>
      <c r="HMG3" s="29"/>
      <c r="HMH3" s="29"/>
      <c r="HMI3" s="29"/>
      <c r="HMJ3" s="29"/>
      <c r="HMK3" s="29"/>
      <c r="HML3" s="29"/>
      <c r="HMM3" s="29"/>
      <c r="HMN3" s="29"/>
      <c r="HMO3" s="29"/>
      <c r="HMP3" s="29"/>
      <c r="HMQ3" s="29"/>
      <c r="HMR3" s="29"/>
      <c r="HMS3" s="29"/>
      <c r="HMT3" s="29"/>
      <c r="HMU3" s="29"/>
      <c r="HMV3" s="29"/>
      <c r="HMW3" s="29"/>
      <c r="HMX3" s="29"/>
      <c r="HMY3" s="29"/>
      <c r="HMZ3" s="29"/>
      <c r="HNA3" s="29"/>
      <c r="HNB3" s="29"/>
      <c r="HNC3" s="29"/>
      <c r="HND3" s="29"/>
      <c r="HNE3" s="29"/>
      <c r="HNF3" s="29"/>
      <c r="HNG3" s="29"/>
      <c r="HNH3" s="29"/>
      <c r="HNI3" s="29"/>
      <c r="HNJ3" s="29"/>
      <c r="HNK3" s="29"/>
      <c r="HNL3" s="29"/>
      <c r="HNM3" s="29"/>
      <c r="HNN3" s="29"/>
      <c r="HNO3" s="29"/>
      <c r="HNP3" s="29"/>
      <c r="HNQ3" s="29"/>
      <c r="HNR3" s="29"/>
      <c r="HNS3" s="29"/>
      <c r="HNT3" s="29"/>
      <c r="HNU3" s="29"/>
      <c r="HNV3" s="29"/>
      <c r="HNW3" s="29"/>
      <c r="HNX3" s="29"/>
      <c r="HNY3" s="29"/>
      <c r="HNZ3" s="29"/>
      <c r="HOA3" s="29"/>
      <c r="HOB3" s="29"/>
      <c r="HOC3" s="29"/>
      <c r="HOD3" s="29"/>
      <c r="HOE3" s="29"/>
      <c r="HOF3" s="29"/>
      <c r="HOG3" s="29"/>
      <c r="HOH3" s="29"/>
      <c r="HOI3" s="29"/>
      <c r="HOJ3" s="29"/>
      <c r="HOK3" s="29"/>
      <c r="HOL3" s="29"/>
      <c r="HOM3" s="29"/>
      <c r="HON3" s="29"/>
      <c r="HOO3" s="29"/>
      <c r="HOP3" s="29"/>
      <c r="HOQ3" s="29"/>
      <c r="HOR3" s="29"/>
      <c r="HOS3" s="29"/>
      <c r="HOT3" s="29"/>
      <c r="HOU3" s="29"/>
      <c r="HOV3" s="29"/>
      <c r="HOW3" s="29"/>
      <c r="HOX3" s="29"/>
      <c r="HOY3" s="29"/>
      <c r="HOZ3" s="29"/>
      <c r="HPA3" s="29"/>
      <c r="HPB3" s="29"/>
      <c r="HPC3" s="29"/>
      <c r="HPD3" s="29"/>
      <c r="HPE3" s="29"/>
      <c r="HPF3" s="29"/>
      <c r="HPG3" s="29"/>
      <c r="HPH3" s="29"/>
      <c r="HPI3" s="29"/>
      <c r="HPJ3" s="29"/>
      <c r="HPK3" s="29"/>
      <c r="HPL3" s="29"/>
      <c r="HPM3" s="29"/>
      <c r="HPN3" s="29"/>
      <c r="HPO3" s="29"/>
      <c r="HPP3" s="29"/>
      <c r="HPQ3" s="29"/>
      <c r="HPR3" s="29"/>
      <c r="HPS3" s="29"/>
      <c r="HPT3" s="29"/>
      <c r="HPU3" s="29"/>
      <c r="HPV3" s="29"/>
      <c r="HPW3" s="29"/>
      <c r="HPX3" s="29"/>
      <c r="HPY3" s="29"/>
      <c r="HPZ3" s="29"/>
      <c r="HQA3" s="29"/>
      <c r="HQB3" s="29"/>
      <c r="HQC3" s="29"/>
      <c r="HQD3" s="29"/>
      <c r="HQE3" s="29"/>
      <c r="HQF3" s="29"/>
      <c r="HQG3" s="29"/>
      <c r="HQH3" s="29"/>
      <c r="HQI3" s="29"/>
      <c r="HQJ3" s="29"/>
      <c r="HQK3" s="29"/>
      <c r="HQL3" s="29"/>
      <c r="HQM3" s="29"/>
      <c r="HQN3" s="29"/>
      <c r="HQO3" s="29"/>
      <c r="HQP3" s="29"/>
      <c r="HQQ3" s="29"/>
      <c r="HQR3" s="29"/>
      <c r="HQS3" s="29"/>
      <c r="HQT3" s="29"/>
      <c r="HQU3" s="29"/>
      <c r="HQV3" s="29"/>
      <c r="HQW3" s="29"/>
      <c r="HQX3" s="29"/>
      <c r="HQY3" s="29"/>
      <c r="HQZ3" s="29"/>
      <c r="HRA3" s="29"/>
      <c r="HRB3" s="29"/>
      <c r="HRC3" s="29"/>
      <c r="HRD3" s="29"/>
      <c r="HRE3" s="29"/>
      <c r="HRF3" s="29"/>
      <c r="HRG3" s="29"/>
      <c r="HRH3" s="29"/>
      <c r="HRI3" s="29"/>
      <c r="HRJ3" s="29"/>
      <c r="HRK3" s="29"/>
      <c r="HRL3" s="29"/>
      <c r="HRM3" s="29"/>
      <c r="HRN3" s="29"/>
      <c r="HRO3" s="29"/>
      <c r="HRP3" s="29"/>
      <c r="HRQ3" s="29"/>
      <c r="HRR3" s="29"/>
      <c r="HRS3" s="29"/>
      <c r="HRT3" s="29"/>
      <c r="HRU3" s="29"/>
      <c r="HRV3" s="29"/>
      <c r="HRW3" s="29"/>
      <c r="HRX3" s="29"/>
      <c r="HRY3" s="29"/>
      <c r="HRZ3" s="29"/>
      <c r="HSA3" s="29"/>
      <c r="HSB3" s="29"/>
      <c r="HSC3" s="29"/>
      <c r="HSD3" s="29"/>
      <c r="HSE3" s="29"/>
      <c r="HSF3" s="29"/>
      <c r="HSG3" s="29"/>
      <c r="HSH3" s="29"/>
      <c r="HSI3" s="29"/>
      <c r="HSJ3" s="29"/>
      <c r="HSK3" s="29"/>
      <c r="HSL3" s="29"/>
      <c r="HSM3" s="29"/>
      <c r="HSN3" s="29"/>
      <c r="HSO3" s="29"/>
      <c r="HSP3" s="29"/>
      <c r="HSQ3" s="29"/>
      <c r="HSR3" s="29"/>
      <c r="HSS3" s="29"/>
      <c r="HST3" s="29"/>
      <c r="HSU3" s="29"/>
      <c r="HSV3" s="29"/>
      <c r="HSW3" s="29"/>
      <c r="HSX3" s="29"/>
      <c r="HSY3" s="29"/>
      <c r="HSZ3" s="29"/>
      <c r="HTA3" s="29"/>
      <c r="HTB3" s="29"/>
      <c r="HTC3" s="29"/>
      <c r="HTD3" s="29"/>
      <c r="HTE3" s="29"/>
      <c r="HTF3" s="29"/>
      <c r="HTG3" s="29"/>
      <c r="HTH3" s="29"/>
      <c r="HTI3" s="29"/>
      <c r="HTJ3" s="29"/>
      <c r="HTK3" s="29"/>
      <c r="HTL3" s="29"/>
      <c r="HTM3" s="29"/>
      <c r="HTN3" s="29"/>
      <c r="HTO3" s="29"/>
      <c r="HTP3" s="29"/>
      <c r="HTQ3" s="29"/>
      <c r="HTR3" s="29"/>
      <c r="HTS3" s="29"/>
      <c r="HTT3" s="29"/>
      <c r="HTU3" s="29"/>
      <c r="HTV3" s="29"/>
      <c r="HTW3" s="29"/>
      <c r="HTX3" s="29"/>
      <c r="HTY3" s="29"/>
      <c r="HTZ3" s="29"/>
      <c r="HUA3" s="29"/>
      <c r="HUB3" s="29"/>
      <c r="HUC3" s="29"/>
      <c r="HUD3" s="29"/>
      <c r="HUE3" s="29"/>
      <c r="HUF3" s="29"/>
      <c r="HUG3" s="29"/>
      <c r="HUH3" s="29"/>
      <c r="HUI3" s="29"/>
      <c r="HUJ3" s="29"/>
      <c r="HUK3" s="29"/>
      <c r="HUL3" s="29"/>
      <c r="HUM3" s="29"/>
      <c r="HUN3" s="29"/>
      <c r="HUO3" s="29"/>
      <c r="HUP3" s="29"/>
      <c r="HUQ3" s="29"/>
      <c r="HUR3" s="29"/>
      <c r="HUS3" s="29"/>
      <c r="HUT3" s="29"/>
      <c r="HUU3" s="29"/>
      <c r="HUV3" s="29"/>
      <c r="HUW3" s="29"/>
      <c r="HUX3" s="29"/>
      <c r="HUY3" s="29"/>
      <c r="HUZ3" s="29"/>
      <c r="HVA3" s="29"/>
      <c r="HVB3" s="29"/>
      <c r="HVC3" s="29"/>
      <c r="HVD3" s="29"/>
      <c r="HVE3" s="29"/>
      <c r="HVF3" s="29"/>
      <c r="HVG3" s="29"/>
      <c r="HVH3" s="29"/>
      <c r="HVI3" s="29"/>
      <c r="HVJ3" s="29"/>
      <c r="HVK3" s="29"/>
      <c r="HVL3" s="29"/>
      <c r="HVM3" s="29"/>
      <c r="HVN3" s="29"/>
      <c r="HVO3" s="29"/>
      <c r="HVP3" s="29"/>
      <c r="HVQ3" s="29"/>
      <c r="HVR3" s="29"/>
      <c r="HVS3" s="29"/>
      <c r="HVT3" s="29"/>
      <c r="HVU3" s="29"/>
      <c r="HVV3" s="29"/>
      <c r="HVW3" s="29"/>
      <c r="HVX3" s="29"/>
      <c r="HVY3" s="29"/>
      <c r="HVZ3" s="29"/>
      <c r="HWA3" s="29"/>
      <c r="HWB3" s="29"/>
      <c r="HWC3" s="29"/>
      <c r="HWD3" s="29"/>
      <c r="HWE3" s="29"/>
      <c r="HWF3" s="29"/>
      <c r="HWG3" s="29"/>
      <c r="HWH3" s="29"/>
      <c r="HWI3" s="29"/>
      <c r="HWJ3" s="29"/>
      <c r="HWK3" s="29"/>
      <c r="HWL3" s="29"/>
      <c r="HWM3" s="29"/>
      <c r="HWN3" s="29"/>
      <c r="HWO3" s="29"/>
      <c r="HWP3" s="29"/>
      <c r="HWQ3" s="29"/>
      <c r="HWR3" s="29"/>
      <c r="HWS3" s="29"/>
      <c r="HWT3" s="29"/>
      <c r="HWU3" s="29"/>
      <c r="HWV3" s="29"/>
      <c r="HWW3" s="29"/>
      <c r="HWX3" s="29"/>
      <c r="HWY3" s="29"/>
      <c r="HWZ3" s="29"/>
      <c r="HXA3" s="29"/>
      <c r="HXB3" s="29"/>
      <c r="HXC3" s="29"/>
      <c r="HXD3" s="29"/>
      <c r="HXE3" s="29"/>
      <c r="HXF3" s="29"/>
      <c r="HXG3" s="29"/>
      <c r="HXH3" s="29"/>
      <c r="HXI3" s="29"/>
      <c r="HXJ3" s="29"/>
      <c r="HXK3" s="29"/>
      <c r="HXL3" s="29"/>
      <c r="HXM3" s="29"/>
      <c r="HXN3" s="29"/>
      <c r="HXO3" s="29"/>
      <c r="HXP3" s="29"/>
      <c r="HXQ3" s="29"/>
      <c r="HXR3" s="29"/>
      <c r="HXS3" s="29"/>
      <c r="HXT3" s="29"/>
      <c r="HXU3" s="29"/>
      <c r="HXV3" s="29"/>
      <c r="HXW3" s="29"/>
      <c r="HXX3" s="29"/>
      <c r="HXY3" s="29"/>
      <c r="HXZ3" s="29"/>
      <c r="HYA3" s="29"/>
      <c r="HYB3" s="29"/>
      <c r="HYC3" s="29"/>
      <c r="HYD3" s="29"/>
      <c r="HYE3" s="29"/>
      <c r="HYF3" s="29"/>
      <c r="HYG3" s="29"/>
      <c r="HYH3" s="29"/>
      <c r="HYI3" s="29"/>
      <c r="HYJ3" s="29"/>
      <c r="HYK3" s="29"/>
      <c r="HYL3" s="29"/>
      <c r="HYM3" s="29"/>
      <c r="HYN3" s="29"/>
      <c r="HYO3" s="29"/>
      <c r="HYP3" s="29"/>
      <c r="HYQ3" s="29"/>
      <c r="HYR3" s="29"/>
      <c r="HYS3" s="29"/>
      <c r="HYT3" s="29"/>
      <c r="HYU3" s="29"/>
      <c r="HYV3" s="29"/>
      <c r="HYW3" s="29"/>
      <c r="HYX3" s="29"/>
      <c r="HYY3" s="29"/>
      <c r="HYZ3" s="29"/>
      <c r="HZA3" s="29"/>
      <c r="HZB3" s="29"/>
      <c r="HZC3" s="29"/>
      <c r="HZD3" s="29"/>
      <c r="HZE3" s="29"/>
      <c r="HZF3" s="29"/>
      <c r="HZG3" s="29"/>
      <c r="HZH3" s="29"/>
      <c r="HZI3" s="29"/>
      <c r="HZJ3" s="29"/>
      <c r="HZK3" s="29"/>
      <c r="HZL3" s="29"/>
      <c r="HZM3" s="29"/>
      <c r="HZN3" s="29"/>
      <c r="HZO3" s="29"/>
      <c r="HZP3" s="29"/>
      <c r="HZQ3" s="29"/>
      <c r="HZR3" s="29"/>
      <c r="HZS3" s="29"/>
      <c r="HZT3" s="29"/>
      <c r="HZU3" s="29"/>
      <c r="HZV3" s="29"/>
      <c r="HZW3" s="29"/>
      <c r="HZX3" s="29"/>
      <c r="HZY3" s="29"/>
      <c r="HZZ3" s="29"/>
      <c r="IAA3" s="29"/>
      <c r="IAB3" s="29"/>
      <c r="IAC3" s="29"/>
      <c r="IAD3" s="29"/>
      <c r="IAE3" s="29"/>
      <c r="IAF3" s="29"/>
      <c r="IAG3" s="29"/>
      <c r="IAH3" s="29"/>
      <c r="IAI3" s="29"/>
      <c r="IAJ3" s="29"/>
      <c r="IAK3" s="29"/>
      <c r="IAL3" s="29"/>
      <c r="IAM3" s="29"/>
      <c r="IAN3" s="29"/>
      <c r="IAO3" s="29"/>
      <c r="IAP3" s="29"/>
      <c r="IAQ3" s="29"/>
      <c r="IAR3" s="29"/>
      <c r="IAS3" s="29"/>
      <c r="IAT3" s="29"/>
      <c r="IAU3" s="29"/>
      <c r="IAV3" s="29"/>
      <c r="IAW3" s="29"/>
      <c r="IAX3" s="29"/>
      <c r="IAY3" s="29"/>
      <c r="IAZ3" s="29"/>
      <c r="IBA3" s="29"/>
      <c r="IBB3" s="29"/>
      <c r="IBC3" s="29"/>
      <c r="IBD3" s="29"/>
      <c r="IBE3" s="29"/>
      <c r="IBF3" s="29"/>
      <c r="IBG3" s="29"/>
      <c r="IBH3" s="29"/>
      <c r="IBI3" s="29"/>
      <c r="IBJ3" s="29"/>
      <c r="IBK3" s="29"/>
      <c r="IBL3" s="29"/>
      <c r="IBM3" s="29"/>
      <c r="IBN3" s="29"/>
      <c r="IBO3" s="29"/>
      <c r="IBP3" s="29"/>
      <c r="IBQ3" s="29"/>
      <c r="IBR3" s="29"/>
      <c r="IBS3" s="29"/>
      <c r="IBT3" s="29"/>
      <c r="IBU3" s="29"/>
      <c r="IBV3" s="29"/>
      <c r="IBW3" s="29"/>
      <c r="IBX3" s="29"/>
      <c r="IBY3" s="29"/>
      <c r="IBZ3" s="29"/>
      <c r="ICA3" s="29"/>
      <c r="ICB3" s="29"/>
      <c r="ICC3" s="29"/>
      <c r="ICD3" s="29"/>
      <c r="ICE3" s="29"/>
      <c r="ICF3" s="29"/>
      <c r="ICG3" s="29"/>
      <c r="ICH3" s="29"/>
      <c r="ICI3" s="29"/>
      <c r="ICJ3" s="29"/>
      <c r="ICK3" s="29"/>
      <c r="ICL3" s="29"/>
      <c r="ICM3" s="29"/>
      <c r="ICN3" s="29"/>
      <c r="ICO3" s="29"/>
      <c r="ICP3" s="29"/>
      <c r="ICQ3" s="29"/>
      <c r="ICR3" s="29"/>
      <c r="ICS3" s="29"/>
      <c r="ICT3" s="29"/>
      <c r="ICU3" s="29"/>
      <c r="ICV3" s="29"/>
      <c r="ICW3" s="29"/>
      <c r="ICX3" s="29"/>
      <c r="ICY3" s="29"/>
      <c r="ICZ3" s="29"/>
      <c r="IDA3" s="29"/>
      <c r="IDB3" s="29"/>
      <c r="IDC3" s="29"/>
      <c r="IDD3" s="29"/>
      <c r="IDE3" s="29"/>
      <c r="IDF3" s="29"/>
      <c r="IDG3" s="29"/>
      <c r="IDH3" s="29"/>
      <c r="IDI3" s="29"/>
      <c r="IDJ3" s="29"/>
      <c r="IDK3" s="29"/>
      <c r="IDL3" s="29"/>
      <c r="IDM3" s="29"/>
      <c r="IDN3" s="29"/>
      <c r="IDO3" s="29"/>
      <c r="IDP3" s="29"/>
      <c r="IDQ3" s="29"/>
      <c r="IDR3" s="29"/>
      <c r="IDS3" s="29"/>
      <c r="IDT3" s="29"/>
      <c r="IDU3" s="29"/>
      <c r="IDV3" s="29"/>
      <c r="IDW3" s="29"/>
      <c r="IDX3" s="29"/>
      <c r="IDY3" s="29"/>
      <c r="IDZ3" s="29"/>
      <c r="IEA3" s="29"/>
      <c r="IEB3" s="29"/>
      <c r="IEC3" s="29"/>
      <c r="IED3" s="29"/>
      <c r="IEE3" s="29"/>
      <c r="IEF3" s="29"/>
      <c r="IEG3" s="29"/>
      <c r="IEH3" s="29"/>
      <c r="IEI3" s="29"/>
      <c r="IEJ3" s="29"/>
      <c r="IEK3" s="29"/>
      <c r="IEL3" s="29"/>
      <c r="IEM3" s="29"/>
      <c r="IEN3" s="29"/>
      <c r="IEO3" s="29"/>
      <c r="IEP3" s="29"/>
      <c r="IEQ3" s="29"/>
      <c r="IER3" s="29"/>
      <c r="IES3" s="29"/>
      <c r="IET3" s="29"/>
      <c r="IEU3" s="29"/>
      <c r="IEV3" s="29"/>
      <c r="IEW3" s="29"/>
      <c r="IEX3" s="29"/>
      <c r="IEY3" s="29"/>
      <c r="IEZ3" s="29"/>
      <c r="IFA3" s="29"/>
      <c r="IFB3" s="29"/>
      <c r="IFC3" s="29"/>
      <c r="IFD3" s="29"/>
      <c r="IFE3" s="29"/>
      <c r="IFF3" s="29"/>
      <c r="IFG3" s="29"/>
      <c r="IFH3" s="29"/>
      <c r="IFI3" s="29"/>
      <c r="IFJ3" s="29"/>
      <c r="IFK3" s="29"/>
      <c r="IFL3" s="29"/>
      <c r="IFM3" s="29"/>
      <c r="IFN3" s="29"/>
      <c r="IFO3" s="29"/>
      <c r="IFP3" s="29"/>
      <c r="IFQ3" s="29"/>
      <c r="IFR3" s="29"/>
      <c r="IFS3" s="29"/>
      <c r="IFT3" s="29"/>
      <c r="IFU3" s="29"/>
      <c r="IFV3" s="29"/>
      <c r="IFW3" s="29"/>
      <c r="IFX3" s="29"/>
      <c r="IFY3" s="29"/>
      <c r="IFZ3" s="29"/>
      <c r="IGA3" s="29"/>
      <c r="IGB3" s="29"/>
      <c r="IGC3" s="29"/>
      <c r="IGD3" s="29"/>
      <c r="IGE3" s="29"/>
      <c r="IGF3" s="29"/>
      <c r="IGG3" s="29"/>
      <c r="IGH3" s="29"/>
      <c r="IGI3" s="29"/>
      <c r="IGJ3" s="29"/>
      <c r="IGK3" s="29"/>
      <c r="IGL3" s="29"/>
      <c r="IGM3" s="29"/>
      <c r="IGN3" s="29"/>
      <c r="IGO3" s="29"/>
      <c r="IGP3" s="29"/>
      <c r="IGQ3" s="29"/>
      <c r="IGR3" s="29"/>
      <c r="IGS3" s="29"/>
      <c r="IGT3" s="29"/>
      <c r="IGU3" s="29"/>
      <c r="IGV3" s="29"/>
      <c r="IGW3" s="29"/>
      <c r="IGX3" s="29"/>
      <c r="IGY3" s="29"/>
      <c r="IGZ3" s="29"/>
      <c r="IHA3" s="29"/>
      <c r="IHB3" s="29"/>
      <c r="IHC3" s="29"/>
      <c r="IHD3" s="29"/>
      <c r="IHE3" s="29"/>
      <c r="IHF3" s="29"/>
      <c r="IHG3" s="29"/>
      <c r="IHH3" s="29"/>
      <c r="IHI3" s="29"/>
      <c r="IHJ3" s="29"/>
      <c r="IHK3" s="29"/>
      <c r="IHL3" s="29"/>
      <c r="IHM3" s="29"/>
      <c r="IHN3" s="29"/>
      <c r="IHO3" s="29"/>
      <c r="IHP3" s="29"/>
      <c r="IHQ3" s="29"/>
      <c r="IHR3" s="29"/>
      <c r="IHS3" s="29"/>
      <c r="IHT3" s="29"/>
      <c r="IHU3" s="29"/>
      <c r="IHV3" s="29"/>
      <c r="IHW3" s="29"/>
      <c r="IHX3" s="29"/>
      <c r="IHY3" s="29"/>
      <c r="IHZ3" s="29"/>
      <c r="IIA3" s="29"/>
      <c r="IIB3" s="29"/>
      <c r="IIC3" s="29"/>
      <c r="IID3" s="29"/>
      <c r="IIE3" s="29"/>
      <c r="IIF3" s="29"/>
      <c r="IIG3" s="29"/>
      <c r="IIH3" s="29"/>
      <c r="III3" s="29"/>
      <c r="IIJ3" s="29"/>
      <c r="IIK3" s="29"/>
      <c r="IIL3" s="29"/>
      <c r="IIM3" s="29"/>
      <c r="IIN3" s="29"/>
      <c r="IIO3" s="29"/>
      <c r="IIP3" s="29"/>
      <c r="IIQ3" s="29"/>
      <c r="IIR3" s="29"/>
      <c r="IIS3" s="29"/>
      <c r="IIT3" s="29"/>
      <c r="IIU3" s="29"/>
      <c r="IIV3" s="29"/>
      <c r="IIW3" s="29"/>
      <c r="IIX3" s="29"/>
      <c r="IIY3" s="29"/>
      <c r="IIZ3" s="29"/>
      <c r="IJA3" s="29"/>
      <c r="IJB3" s="29"/>
      <c r="IJC3" s="29"/>
      <c r="IJD3" s="29"/>
      <c r="IJE3" s="29"/>
      <c r="IJF3" s="29"/>
      <c r="IJG3" s="29"/>
      <c r="IJH3" s="29"/>
      <c r="IJI3" s="29"/>
      <c r="IJJ3" s="29"/>
      <c r="IJK3" s="29"/>
      <c r="IJL3" s="29"/>
      <c r="IJM3" s="29"/>
      <c r="IJN3" s="29"/>
      <c r="IJO3" s="29"/>
      <c r="IJP3" s="29"/>
      <c r="IJQ3" s="29"/>
      <c r="IJR3" s="29"/>
      <c r="IJS3" s="29"/>
      <c r="IJT3" s="29"/>
      <c r="IJU3" s="29"/>
      <c r="IJV3" s="29"/>
      <c r="IJW3" s="29"/>
      <c r="IJX3" s="29"/>
      <c r="IJY3" s="29"/>
      <c r="IJZ3" s="29"/>
      <c r="IKA3" s="29"/>
      <c r="IKB3" s="29"/>
      <c r="IKC3" s="29"/>
      <c r="IKD3" s="29"/>
      <c r="IKE3" s="29"/>
      <c r="IKF3" s="29"/>
      <c r="IKG3" s="29"/>
      <c r="IKH3" s="29"/>
      <c r="IKI3" s="29"/>
      <c r="IKJ3" s="29"/>
      <c r="IKK3" s="29"/>
      <c r="IKL3" s="29"/>
      <c r="IKM3" s="29"/>
      <c r="IKN3" s="29"/>
      <c r="IKO3" s="29"/>
      <c r="IKP3" s="29"/>
      <c r="IKQ3" s="29"/>
      <c r="IKR3" s="29"/>
      <c r="IKS3" s="29"/>
      <c r="IKT3" s="29"/>
      <c r="IKU3" s="29"/>
      <c r="IKV3" s="29"/>
      <c r="IKW3" s="29"/>
      <c r="IKX3" s="29"/>
      <c r="IKY3" s="29"/>
      <c r="IKZ3" s="29"/>
      <c r="ILA3" s="29"/>
      <c r="ILB3" s="29"/>
      <c r="ILC3" s="29"/>
      <c r="ILD3" s="29"/>
      <c r="ILE3" s="29"/>
      <c r="ILF3" s="29"/>
      <c r="ILG3" s="29"/>
      <c r="ILH3" s="29"/>
      <c r="ILI3" s="29"/>
      <c r="ILJ3" s="29"/>
      <c r="ILK3" s="29"/>
      <c r="ILL3" s="29"/>
      <c r="ILM3" s="29"/>
      <c r="ILN3" s="29"/>
      <c r="ILO3" s="29"/>
      <c r="ILP3" s="29"/>
      <c r="ILQ3" s="29"/>
      <c r="ILR3" s="29"/>
      <c r="ILS3" s="29"/>
      <c r="ILT3" s="29"/>
      <c r="ILU3" s="29"/>
      <c r="ILV3" s="29"/>
      <c r="ILW3" s="29"/>
      <c r="ILX3" s="29"/>
      <c r="ILY3" s="29"/>
      <c r="ILZ3" s="29"/>
      <c r="IMA3" s="29"/>
      <c r="IMB3" s="29"/>
      <c r="IMC3" s="29"/>
      <c r="IMD3" s="29"/>
      <c r="IME3" s="29"/>
      <c r="IMF3" s="29"/>
      <c r="IMG3" s="29"/>
      <c r="IMH3" s="29"/>
      <c r="IMI3" s="29"/>
      <c r="IMJ3" s="29"/>
      <c r="IMK3" s="29"/>
      <c r="IML3" s="29"/>
      <c r="IMM3" s="29"/>
      <c r="IMN3" s="29"/>
      <c r="IMO3" s="29"/>
      <c r="IMP3" s="29"/>
      <c r="IMQ3" s="29"/>
      <c r="IMR3" s="29"/>
      <c r="IMS3" s="29"/>
      <c r="IMT3" s="29"/>
      <c r="IMU3" s="29"/>
      <c r="IMV3" s="29"/>
      <c r="IMW3" s="29"/>
      <c r="IMX3" s="29"/>
      <c r="IMY3" s="29"/>
      <c r="IMZ3" s="29"/>
      <c r="INA3" s="29"/>
      <c r="INB3" s="29"/>
      <c r="INC3" s="29"/>
      <c r="IND3" s="29"/>
      <c r="INE3" s="29"/>
      <c r="INF3" s="29"/>
      <c r="ING3" s="29"/>
      <c r="INH3" s="29"/>
      <c r="INI3" s="29"/>
      <c r="INJ3" s="29"/>
      <c r="INK3" s="29"/>
      <c r="INL3" s="29"/>
      <c r="INM3" s="29"/>
      <c r="INN3" s="29"/>
      <c r="INO3" s="29"/>
      <c r="INP3" s="29"/>
      <c r="INQ3" s="29"/>
      <c r="INR3" s="29"/>
      <c r="INS3" s="29"/>
      <c r="INT3" s="29"/>
      <c r="INU3" s="29"/>
      <c r="INV3" s="29"/>
      <c r="INW3" s="29"/>
      <c r="INX3" s="29"/>
      <c r="INY3" s="29"/>
      <c r="INZ3" s="29"/>
      <c r="IOA3" s="29"/>
      <c r="IOB3" s="29"/>
      <c r="IOC3" s="29"/>
      <c r="IOD3" s="29"/>
      <c r="IOE3" s="29"/>
      <c r="IOF3" s="29"/>
      <c r="IOG3" s="29"/>
      <c r="IOH3" s="29"/>
      <c r="IOI3" s="29"/>
      <c r="IOJ3" s="29"/>
      <c r="IOK3" s="29"/>
      <c r="IOL3" s="29"/>
      <c r="IOM3" s="29"/>
      <c r="ION3" s="29"/>
      <c r="IOO3" s="29"/>
      <c r="IOP3" s="29"/>
      <c r="IOQ3" s="29"/>
      <c r="IOR3" s="29"/>
      <c r="IOS3" s="29"/>
      <c r="IOT3" s="29"/>
      <c r="IOU3" s="29"/>
      <c r="IOV3" s="29"/>
      <c r="IOW3" s="29"/>
      <c r="IOX3" s="29"/>
      <c r="IOY3" s="29"/>
      <c r="IOZ3" s="29"/>
      <c r="IPA3" s="29"/>
      <c r="IPB3" s="29"/>
      <c r="IPC3" s="29"/>
      <c r="IPD3" s="29"/>
      <c r="IPE3" s="29"/>
      <c r="IPF3" s="29"/>
      <c r="IPG3" s="29"/>
      <c r="IPH3" s="29"/>
      <c r="IPI3" s="29"/>
      <c r="IPJ3" s="29"/>
      <c r="IPK3" s="29"/>
      <c r="IPL3" s="29"/>
      <c r="IPM3" s="29"/>
      <c r="IPN3" s="29"/>
      <c r="IPO3" s="29"/>
      <c r="IPP3" s="29"/>
      <c r="IPQ3" s="29"/>
      <c r="IPR3" s="29"/>
      <c r="IPS3" s="29"/>
      <c r="IPT3" s="29"/>
      <c r="IPU3" s="29"/>
      <c r="IPV3" s="29"/>
      <c r="IPW3" s="29"/>
      <c r="IPX3" s="29"/>
      <c r="IPY3" s="29"/>
      <c r="IPZ3" s="29"/>
      <c r="IQA3" s="29"/>
      <c r="IQB3" s="29"/>
      <c r="IQC3" s="29"/>
      <c r="IQD3" s="29"/>
      <c r="IQE3" s="29"/>
      <c r="IQF3" s="29"/>
      <c r="IQG3" s="29"/>
      <c r="IQH3" s="29"/>
      <c r="IQI3" s="29"/>
      <c r="IQJ3" s="29"/>
      <c r="IQK3" s="29"/>
      <c r="IQL3" s="29"/>
      <c r="IQM3" s="29"/>
      <c r="IQN3" s="29"/>
      <c r="IQO3" s="29"/>
      <c r="IQP3" s="29"/>
      <c r="IQQ3" s="29"/>
      <c r="IQR3" s="29"/>
      <c r="IQS3" s="29"/>
      <c r="IQT3" s="29"/>
      <c r="IQU3" s="29"/>
      <c r="IQV3" s="29"/>
      <c r="IQW3" s="29"/>
      <c r="IQX3" s="29"/>
      <c r="IQY3" s="29"/>
      <c r="IQZ3" s="29"/>
      <c r="IRA3" s="29"/>
      <c r="IRB3" s="29"/>
      <c r="IRC3" s="29"/>
      <c r="IRD3" s="29"/>
      <c r="IRE3" s="29"/>
      <c r="IRF3" s="29"/>
      <c r="IRG3" s="29"/>
      <c r="IRH3" s="29"/>
      <c r="IRI3" s="29"/>
      <c r="IRJ3" s="29"/>
      <c r="IRK3" s="29"/>
      <c r="IRL3" s="29"/>
      <c r="IRM3" s="29"/>
      <c r="IRN3" s="29"/>
      <c r="IRO3" s="29"/>
      <c r="IRP3" s="29"/>
      <c r="IRQ3" s="29"/>
      <c r="IRR3" s="29"/>
      <c r="IRS3" s="29"/>
      <c r="IRT3" s="29"/>
      <c r="IRU3" s="29"/>
      <c r="IRV3" s="29"/>
      <c r="IRW3" s="29"/>
      <c r="IRX3" s="29"/>
      <c r="IRY3" s="29"/>
      <c r="IRZ3" s="29"/>
      <c r="ISA3" s="29"/>
      <c r="ISB3" s="29"/>
      <c r="ISC3" s="29"/>
      <c r="ISD3" s="29"/>
      <c r="ISE3" s="29"/>
      <c r="ISF3" s="29"/>
      <c r="ISG3" s="29"/>
      <c r="ISH3" s="29"/>
      <c r="ISI3" s="29"/>
      <c r="ISJ3" s="29"/>
      <c r="ISK3" s="29"/>
      <c r="ISL3" s="29"/>
      <c r="ISM3" s="29"/>
      <c r="ISN3" s="29"/>
      <c r="ISO3" s="29"/>
      <c r="ISP3" s="29"/>
      <c r="ISQ3" s="29"/>
      <c r="ISR3" s="29"/>
      <c r="ISS3" s="29"/>
      <c r="IST3" s="29"/>
      <c r="ISU3" s="29"/>
      <c r="ISV3" s="29"/>
      <c r="ISW3" s="29"/>
      <c r="ISX3" s="29"/>
      <c r="ISY3" s="29"/>
      <c r="ISZ3" s="29"/>
      <c r="ITA3" s="29"/>
      <c r="ITB3" s="29"/>
      <c r="ITC3" s="29"/>
      <c r="ITD3" s="29"/>
      <c r="ITE3" s="29"/>
      <c r="ITF3" s="29"/>
      <c r="ITG3" s="29"/>
      <c r="ITH3" s="29"/>
      <c r="ITI3" s="29"/>
      <c r="ITJ3" s="29"/>
      <c r="ITK3" s="29"/>
      <c r="ITL3" s="29"/>
      <c r="ITM3" s="29"/>
      <c r="ITN3" s="29"/>
      <c r="ITO3" s="29"/>
      <c r="ITP3" s="29"/>
      <c r="ITQ3" s="29"/>
      <c r="ITR3" s="29"/>
      <c r="ITS3" s="29"/>
      <c r="ITT3" s="29"/>
      <c r="ITU3" s="29"/>
      <c r="ITV3" s="29"/>
      <c r="ITW3" s="29"/>
      <c r="ITX3" s="29"/>
      <c r="ITY3" s="29"/>
      <c r="ITZ3" s="29"/>
      <c r="IUA3" s="29"/>
      <c r="IUB3" s="29"/>
      <c r="IUC3" s="29"/>
      <c r="IUD3" s="29"/>
      <c r="IUE3" s="29"/>
      <c r="IUF3" s="29"/>
      <c r="IUG3" s="29"/>
      <c r="IUH3" s="29"/>
      <c r="IUI3" s="29"/>
      <c r="IUJ3" s="29"/>
      <c r="IUK3" s="29"/>
      <c r="IUL3" s="29"/>
      <c r="IUM3" s="29"/>
      <c r="IUN3" s="29"/>
      <c r="IUO3" s="29"/>
      <c r="IUP3" s="29"/>
      <c r="IUQ3" s="29"/>
      <c r="IUR3" s="29"/>
      <c r="IUS3" s="29"/>
      <c r="IUT3" s="29"/>
      <c r="IUU3" s="29"/>
      <c r="IUV3" s="29"/>
      <c r="IUW3" s="29"/>
      <c r="IUX3" s="29"/>
      <c r="IUY3" s="29"/>
      <c r="IUZ3" s="29"/>
      <c r="IVA3" s="29"/>
      <c r="IVB3" s="29"/>
      <c r="IVC3" s="29"/>
      <c r="IVD3" s="29"/>
      <c r="IVE3" s="29"/>
      <c r="IVF3" s="29"/>
      <c r="IVG3" s="29"/>
      <c r="IVH3" s="29"/>
      <c r="IVI3" s="29"/>
      <c r="IVJ3" s="29"/>
      <c r="IVK3" s="29"/>
      <c r="IVL3" s="29"/>
      <c r="IVM3" s="29"/>
      <c r="IVN3" s="29"/>
      <c r="IVO3" s="29"/>
      <c r="IVP3" s="29"/>
      <c r="IVQ3" s="29"/>
      <c r="IVR3" s="29"/>
      <c r="IVS3" s="29"/>
      <c r="IVT3" s="29"/>
      <c r="IVU3" s="29"/>
      <c r="IVV3" s="29"/>
      <c r="IVW3" s="29"/>
      <c r="IVX3" s="29"/>
      <c r="IVY3" s="29"/>
      <c r="IVZ3" s="29"/>
      <c r="IWA3" s="29"/>
      <c r="IWB3" s="29"/>
      <c r="IWC3" s="29"/>
      <c r="IWD3" s="29"/>
      <c r="IWE3" s="29"/>
      <c r="IWF3" s="29"/>
      <c r="IWG3" s="29"/>
      <c r="IWH3" s="29"/>
      <c r="IWI3" s="29"/>
      <c r="IWJ3" s="29"/>
      <c r="IWK3" s="29"/>
      <c r="IWL3" s="29"/>
      <c r="IWM3" s="29"/>
      <c r="IWN3" s="29"/>
      <c r="IWO3" s="29"/>
      <c r="IWP3" s="29"/>
      <c r="IWQ3" s="29"/>
      <c r="IWR3" s="29"/>
      <c r="IWS3" s="29"/>
      <c r="IWT3" s="29"/>
      <c r="IWU3" s="29"/>
      <c r="IWV3" s="29"/>
      <c r="IWW3" s="29"/>
      <c r="IWX3" s="29"/>
      <c r="IWY3" s="29"/>
      <c r="IWZ3" s="29"/>
      <c r="IXA3" s="29"/>
      <c r="IXB3" s="29"/>
      <c r="IXC3" s="29"/>
      <c r="IXD3" s="29"/>
      <c r="IXE3" s="29"/>
      <c r="IXF3" s="29"/>
      <c r="IXG3" s="29"/>
      <c r="IXH3" s="29"/>
      <c r="IXI3" s="29"/>
      <c r="IXJ3" s="29"/>
      <c r="IXK3" s="29"/>
      <c r="IXL3" s="29"/>
      <c r="IXM3" s="29"/>
      <c r="IXN3" s="29"/>
      <c r="IXO3" s="29"/>
      <c r="IXP3" s="29"/>
      <c r="IXQ3" s="29"/>
      <c r="IXR3" s="29"/>
      <c r="IXS3" s="29"/>
      <c r="IXT3" s="29"/>
      <c r="IXU3" s="29"/>
      <c r="IXV3" s="29"/>
      <c r="IXW3" s="29"/>
      <c r="IXX3" s="29"/>
      <c r="IXY3" s="29"/>
      <c r="IXZ3" s="29"/>
      <c r="IYA3" s="29"/>
      <c r="IYB3" s="29"/>
      <c r="IYC3" s="29"/>
      <c r="IYD3" s="29"/>
      <c r="IYE3" s="29"/>
      <c r="IYF3" s="29"/>
      <c r="IYG3" s="29"/>
      <c r="IYH3" s="29"/>
      <c r="IYI3" s="29"/>
      <c r="IYJ3" s="29"/>
      <c r="IYK3" s="29"/>
      <c r="IYL3" s="29"/>
      <c r="IYM3" s="29"/>
      <c r="IYN3" s="29"/>
      <c r="IYO3" s="29"/>
      <c r="IYP3" s="29"/>
      <c r="IYQ3" s="29"/>
      <c r="IYR3" s="29"/>
      <c r="IYS3" s="29"/>
      <c r="IYT3" s="29"/>
      <c r="IYU3" s="29"/>
      <c r="IYV3" s="29"/>
      <c r="IYW3" s="29"/>
      <c r="IYX3" s="29"/>
      <c r="IYY3" s="29"/>
      <c r="IYZ3" s="29"/>
      <c r="IZA3" s="29"/>
      <c r="IZB3" s="29"/>
      <c r="IZC3" s="29"/>
      <c r="IZD3" s="29"/>
      <c r="IZE3" s="29"/>
      <c r="IZF3" s="29"/>
      <c r="IZG3" s="29"/>
      <c r="IZH3" s="29"/>
      <c r="IZI3" s="29"/>
      <c r="IZJ3" s="29"/>
      <c r="IZK3" s="29"/>
      <c r="IZL3" s="29"/>
      <c r="IZM3" s="29"/>
      <c r="IZN3" s="29"/>
      <c r="IZO3" s="29"/>
      <c r="IZP3" s="29"/>
      <c r="IZQ3" s="29"/>
      <c r="IZR3" s="29"/>
      <c r="IZS3" s="29"/>
      <c r="IZT3" s="29"/>
      <c r="IZU3" s="29"/>
      <c r="IZV3" s="29"/>
      <c r="IZW3" s="29"/>
      <c r="IZX3" s="29"/>
      <c r="IZY3" s="29"/>
      <c r="IZZ3" s="29"/>
      <c r="JAA3" s="29"/>
      <c r="JAB3" s="29"/>
      <c r="JAC3" s="29"/>
      <c r="JAD3" s="29"/>
      <c r="JAE3" s="29"/>
      <c r="JAF3" s="29"/>
      <c r="JAG3" s="29"/>
      <c r="JAH3" s="29"/>
      <c r="JAI3" s="29"/>
      <c r="JAJ3" s="29"/>
      <c r="JAK3" s="29"/>
      <c r="JAL3" s="29"/>
      <c r="JAM3" s="29"/>
      <c r="JAN3" s="29"/>
      <c r="JAO3" s="29"/>
      <c r="JAP3" s="29"/>
      <c r="JAQ3" s="29"/>
      <c r="JAR3" s="29"/>
      <c r="JAS3" s="29"/>
      <c r="JAT3" s="29"/>
      <c r="JAU3" s="29"/>
      <c r="JAV3" s="29"/>
      <c r="JAW3" s="29"/>
      <c r="JAX3" s="29"/>
      <c r="JAY3" s="29"/>
      <c r="JAZ3" s="29"/>
      <c r="JBA3" s="29"/>
      <c r="JBB3" s="29"/>
      <c r="JBC3" s="29"/>
      <c r="JBD3" s="29"/>
      <c r="JBE3" s="29"/>
      <c r="JBF3" s="29"/>
      <c r="JBG3" s="29"/>
      <c r="JBH3" s="29"/>
      <c r="JBI3" s="29"/>
      <c r="JBJ3" s="29"/>
      <c r="JBK3" s="29"/>
      <c r="JBL3" s="29"/>
      <c r="JBM3" s="29"/>
      <c r="JBN3" s="29"/>
      <c r="JBO3" s="29"/>
      <c r="JBP3" s="29"/>
      <c r="JBQ3" s="29"/>
      <c r="JBR3" s="29"/>
      <c r="JBS3" s="29"/>
      <c r="JBT3" s="29"/>
      <c r="JBU3" s="29"/>
      <c r="JBV3" s="29"/>
      <c r="JBW3" s="29"/>
      <c r="JBX3" s="29"/>
      <c r="JBY3" s="29"/>
      <c r="JBZ3" s="29"/>
      <c r="JCA3" s="29"/>
      <c r="JCB3" s="29"/>
      <c r="JCC3" s="29"/>
      <c r="JCD3" s="29"/>
      <c r="JCE3" s="29"/>
      <c r="JCF3" s="29"/>
      <c r="JCG3" s="29"/>
      <c r="JCH3" s="29"/>
      <c r="JCI3" s="29"/>
      <c r="JCJ3" s="29"/>
      <c r="JCK3" s="29"/>
      <c r="JCL3" s="29"/>
      <c r="JCM3" s="29"/>
      <c r="JCN3" s="29"/>
      <c r="JCO3" s="29"/>
      <c r="JCP3" s="29"/>
      <c r="JCQ3" s="29"/>
      <c r="JCR3" s="29"/>
      <c r="JCS3" s="29"/>
      <c r="JCT3" s="29"/>
      <c r="JCU3" s="29"/>
      <c r="JCV3" s="29"/>
      <c r="JCW3" s="29"/>
      <c r="JCX3" s="29"/>
      <c r="JCY3" s="29"/>
      <c r="JCZ3" s="29"/>
      <c r="JDA3" s="29"/>
      <c r="JDB3" s="29"/>
      <c r="JDC3" s="29"/>
      <c r="JDD3" s="29"/>
      <c r="JDE3" s="29"/>
      <c r="JDF3" s="29"/>
      <c r="JDG3" s="29"/>
      <c r="JDH3" s="29"/>
      <c r="JDI3" s="29"/>
      <c r="JDJ3" s="29"/>
      <c r="JDK3" s="29"/>
      <c r="JDL3" s="29"/>
      <c r="JDM3" s="29"/>
      <c r="JDN3" s="29"/>
      <c r="JDO3" s="29"/>
      <c r="JDP3" s="29"/>
      <c r="JDQ3" s="29"/>
      <c r="JDR3" s="29"/>
      <c r="JDS3" s="29"/>
      <c r="JDT3" s="29"/>
      <c r="JDU3" s="29"/>
      <c r="JDV3" s="29"/>
      <c r="JDW3" s="29"/>
      <c r="JDX3" s="29"/>
      <c r="JDY3" s="29"/>
      <c r="JDZ3" s="29"/>
      <c r="JEA3" s="29"/>
      <c r="JEB3" s="29"/>
      <c r="JEC3" s="29"/>
      <c r="JED3" s="29"/>
      <c r="JEE3" s="29"/>
      <c r="JEF3" s="29"/>
      <c r="JEG3" s="29"/>
      <c r="JEH3" s="29"/>
      <c r="JEI3" s="29"/>
      <c r="JEJ3" s="29"/>
      <c r="JEK3" s="29"/>
      <c r="JEL3" s="29"/>
      <c r="JEM3" s="29"/>
      <c r="JEN3" s="29"/>
      <c r="JEO3" s="29"/>
      <c r="JEP3" s="29"/>
      <c r="JEQ3" s="29"/>
      <c r="JER3" s="29"/>
      <c r="JES3" s="29"/>
      <c r="JET3" s="29"/>
      <c r="JEU3" s="29"/>
      <c r="JEV3" s="29"/>
      <c r="JEW3" s="29"/>
      <c r="JEX3" s="29"/>
      <c r="JEY3" s="29"/>
      <c r="JEZ3" s="29"/>
      <c r="JFA3" s="29"/>
      <c r="JFB3" s="29"/>
      <c r="JFC3" s="29"/>
      <c r="JFD3" s="29"/>
      <c r="JFE3" s="29"/>
      <c r="JFF3" s="29"/>
      <c r="JFG3" s="29"/>
      <c r="JFH3" s="29"/>
      <c r="JFI3" s="29"/>
      <c r="JFJ3" s="29"/>
      <c r="JFK3" s="29"/>
      <c r="JFL3" s="29"/>
      <c r="JFM3" s="29"/>
      <c r="JFN3" s="29"/>
      <c r="JFO3" s="29"/>
      <c r="JFP3" s="29"/>
      <c r="JFQ3" s="29"/>
      <c r="JFR3" s="29"/>
      <c r="JFS3" s="29"/>
      <c r="JFT3" s="29"/>
      <c r="JFU3" s="29"/>
      <c r="JFV3" s="29"/>
      <c r="JFW3" s="29"/>
      <c r="JFX3" s="29"/>
      <c r="JFY3" s="29"/>
      <c r="JFZ3" s="29"/>
      <c r="JGA3" s="29"/>
      <c r="JGB3" s="29"/>
      <c r="JGC3" s="29"/>
      <c r="JGD3" s="29"/>
      <c r="JGE3" s="29"/>
      <c r="JGF3" s="29"/>
      <c r="JGG3" s="29"/>
      <c r="JGH3" s="29"/>
      <c r="JGI3" s="29"/>
      <c r="JGJ3" s="29"/>
      <c r="JGK3" s="29"/>
      <c r="JGL3" s="29"/>
      <c r="JGM3" s="29"/>
      <c r="JGN3" s="29"/>
      <c r="JGO3" s="29"/>
      <c r="JGP3" s="29"/>
      <c r="JGQ3" s="29"/>
      <c r="JGR3" s="29"/>
      <c r="JGS3" s="29"/>
      <c r="JGT3" s="29"/>
      <c r="JGU3" s="29"/>
      <c r="JGV3" s="29"/>
      <c r="JGW3" s="29"/>
      <c r="JGX3" s="29"/>
      <c r="JGY3" s="29"/>
      <c r="JGZ3" s="29"/>
      <c r="JHA3" s="29"/>
      <c r="JHB3" s="29"/>
      <c r="JHC3" s="29"/>
      <c r="JHD3" s="29"/>
      <c r="JHE3" s="29"/>
      <c r="JHF3" s="29"/>
      <c r="JHG3" s="29"/>
      <c r="JHH3" s="29"/>
      <c r="JHI3" s="29"/>
      <c r="JHJ3" s="29"/>
      <c r="JHK3" s="29"/>
      <c r="JHL3" s="29"/>
      <c r="JHM3" s="29"/>
      <c r="JHN3" s="29"/>
      <c r="JHO3" s="29"/>
      <c r="JHP3" s="29"/>
      <c r="JHQ3" s="29"/>
      <c r="JHR3" s="29"/>
      <c r="JHS3" s="29"/>
      <c r="JHT3" s="29"/>
      <c r="JHU3" s="29"/>
      <c r="JHV3" s="29"/>
      <c r="JHW3" s="29"/>
      <c r="JHX3" s="29"/>
      <c r="JHY3" s="29"/>
      <c r="JHZ3" s="29"/>
      <c r="JIA3" s="29"/>
      <c r="JIB3" s="29"/>
      <c r="JIC3" s="29"/>
      <c r="JID3" s="29"/>
      <c r="JIE3" s="29"/>
      <c r="JIF3" s="29"/>
      <c r="JIG3" s="29"/>
      <c r="JIH3" s="29"/>
      <c r="JII3" s="29"/>
      <c r="JIJ3" s="29"/>
      <c r="JIK3" s="29"/>
      <c r="JIL3" s="29"/>
      <c r="JIM3" s="29"/>
      <c r="JIN3" s="29"/>
      <c r="JIO3" s="29"/>
      <c r="JIP3" s="29"/>
      <c r="JIQ3" s="29"/>
      <c r="JIR3" s="29"/>
      <c r="JIS3" s="29"/>
      <c r="JIT3" s="29"/>
      <c r="JIU3" s="29"/>
      <c r="JIV3" s="29"/>
      <c r="JIW3" s="29"/>
      <c r="JIX3" s="29"/>
      <c r="JIY3" s="29"/>
      <c r="JIZ3" s="29"/>
      <c r="JJA3" s="29"/>
      <c r="JJB3" s="29"/>
      <c r="JJC3" s="29"/>
      <c r="JJD3" s="29"/>
      <c r="JJE3" s="29"/>
      <c r="JJF3" s="29"/>
      <c r="JJG3" s="29"/>
      <c r="JJH3" s="29"/>
      <c r="JJI3" s="29"/>
      <c r="JJJ3" s="29"/>
      <c r="JJK3" s="29"/>
      <c r="JJL3" s="29"/>
      <c r="JJM3" s="29"/>
      <c r="JJN3" s="29"/>
      <c r="JJO3" s="29"/>
      <c r="JJP3" s="29"/>
      <c r="JJQ3" s="29"/>
      <c r="JJR3" s="29"/>
      <c r="JJS3" s="29"/>
      <c r="JJT3" s="29"/>
      <c r="JJU3" s="29"/>
      <c r="JJV3" s="29"/>
      <c r="JJW3" s="29"/>
      <c r="JJX3" s="29"/>
      <c r="JJY3" s="29"/>
      <c r="JJZ3" s="29"/>
      <c r="JKA3" s="29"/>
      <c r="JKB3" s="29"/>
      <c r="JKC3" s="29"/>
      <c r="JKD3" s="29"/>
      <c r="JKE3" s="29"/>
      <c r="JKF3" s="29"/>
      <c r="JKG3" s="29"/>
      <c r="JKH3" s="29"/>
      <c r="JKI3" s="29"/>
      <c r="JKJ3" s="29"/>
      <c r="JKK3" s="29"/>
      <c r="JKL3" s="29"/>
      <c r="JKM3" s="29"/>
      <c r="JKN3" s="29"/>
      <c r="JKO3" s="29"/>
      <c r="JKP3" s="29"/>
      <c r="JKQ3" s="29"/>
      <c r="JKR3" s="29"/>
      <c r="JKS3" s="29"/>
      <c r="JKT3" s="29"/>
      <c r="JKU3" s="29"/>
      <c r="JKV3" s="29"/>
      <c r="JKW3" s="29"/>
      <c r="JKX3" s="29"/>
      <c r="JKY3" s="29"/>
      <c r="JKZ3" s="29"/>
      <c r="JLA3" s="29"/>
      <c r="JLB3" s="29"/>
      <c r="JLC3" s="29"/>
      <c r="JLD3" s="29"/>
      <c r="JLE3" s="29"/>
      <c r="JLF3" s="29"/>
      <c r="JLG3" s="29"/>
      <c r="JLH3" s="29"/>
      <c r="JLI3" s="29"/>
      <c r="JLJ3" s="29"/>
      <c r="JLK3" s="29"/>
      <c r="JLL3" s="29"/>
      <c r="JLM3" s="29"/>
      <c r="JLN3" s="29"/>
      <c r="JLO3" s="29"/>
      <c r="JLP3" s="29"/>
      <c r="JLQ3" s="29"/>
      <c r="JLR3" s="29"/>
      <c r="JLS3" s="29"/>
      <c r="JLT3" s="29"/>
      <c r="JLU3" s="29"/>
      <c r="JLV3" s="29"/>
      <c r="JLW3" s="29"/>
      <c r="JLX3" s="29"/>
      <c r="JLY3" s="29"/>
      <c r="JLZ3" s="29"/>
      <c r="JMA3" s="29"/>
      <c r="JMB3" s="29"/>
      <c r="JMC3" s="29"/>
      <c r="JMD3" s="29"/>
      <c r="JME3" s="29"/>
      <c r="JMF3" s="29"/>
      <c r="JMG3" s="29"/>
      <c r="JMH3" s="29"/>
      <c r="JMI3" s="29"/>
      <c r="JMJ3" s="29"/>
      <c r="JMK3" s="29"/>
      <c r="JML3" s="29"/>
      <c r="JMM3" s="29"/>
      <c r="JMN3" s="29"/>
      <c r="JMO3" s="29"/>
      <c r="JMP3" s="29"/>
      <c r="JMQ3" s="29"/>
      <c r="JMR3" s="29"/>
      <c r="JMS3" s="29"/>
      <c r="JMT3" s="29"/>
      <c r="JMU3" s="29"/>
      <c r="JMV3" s="29"/>
      <c r="JMW3" s="29"/>
      <c r="JMX3" s="29"/>
      <c r="JMY3" s="29"/>
      <c r="JMZ3" s="29"/>
      <c r="JNA3" s="29"/>
      <c r="JNB3" s="29"/>
      <c r="JNC3" s="29"/>
      <c r="JND3" s="29"/>
      <c r="JNE3" s="29"/>
      <c r="JNF3" s="29"/>
      <c r="JNG3" s="29"/>
      <c r="JNH3" s="29"/>
      <c r="JNI3" s="29"/>
      <c r="JNJ3" s="29"/>
      <c r="JNK3" s="29"/>
      <c r="JNL3" s="29"/>
      <c r="JNM3" s="29"/>
      <c r="JNN3" s="29"/>
      <c r="JNO3" s="29"/>
      <c r="JNP3" s="29"/>
      <c r="JNQ3" s="29"/>
      <c r="JNR3" s="29"/>
      <c r="JNS3" s="29"/>
      <c r="JNT3" s="29"/>
      <c r="JNU3" s="29"/>
      <c r="JNV3" s="29"/>
      <c r="JNW3" s="29"/>
      <c r="JNX3" s="29"/>
      <c r="JNY3" s="29"/>
      <c r="JNZ3" s="29"/>
      <c r="JOA3" s="29"/>
      <c r="JOB3" s="29"/>
      <c r="JOC3" s="29"/>
      <c r="JOD3" s="29"/>
      <c r="JOE3" s="29"/>
      <c r="JOF3" s="29"/>
      <c r="JOG3" s="29"/>
      <c r="JOH3" s="29"/>
      <c r="JOI3" s="29"/>
      <c r="JOJ3" s="29"/>
      <c r="JOK3" s="29"/>
      <c r="JOL3" s="29"/>
      <c r="JOM3" s="29"/>
      <c r="JON3" s="29"/>
      <c r="JOO3" s="29"/>
      <c r="JOP3" s="29"/>
      <c r="JOQ3" s="29"/>
      <c r="JOR3" s="29"/>
      <c r="JOS3" s="29"/>
      <c r="JOT3" s="29"/>
      <c r="JOU3" s="29"/>
      <c r="JOV3" s="29"/>
      <c r="JOW3" s="29"/>
      <c r="JOX3" s="29"/>
      <c r="JOY3" s="29"/>
      <c r="JOZ3" s="29"/>
      <c r="JPA3" s="29"/>
      <c r="JPB3" s="29"/>
      <c r="JPC3" s="29"/>
      <c r="JPD3" s="29"/>
      <c r="JPE3" s="29"/>
      <c r="JPF3" s="29"/>
      <c r="JPG3" s="29"/>
      <c r="JPH3" s="29"/>
      <c r="JPI3" s="29"/>
      <c r="JPJ3" s="29"/>
      <c r="JPK3" s="29"/>
      <c r="JPL3" s="29"/>
      <c r="JPM3" s="29"/>
      <c r="JPN3" s="29"/>
      <c r="JPO3" s="29"/>
      <c r="JPP3" s="29"/>
      <c r="JPQ3" s="29"/>
      <c r="JPR3" s="29"/>
      <c r="JPS3" s="29"/>
      <c r="JPT3" s="29"/>
      <c r="JPU3" s="29"/>
      <c r="JPV3" s="29"/>
      <c r="JPW3" s="29"/>
      <c r="JPX3" s="29"/>
      <c r="JPY3" s="29"/>
      <c r="JPZ3" s="29"/>
      <c r="JQA3" s="29"/>
      <c r="JQB3" s="29"/>
      <c r="JQC3" s="29"/>
      <c r="JQD3" s="29"/>
      <c r="JQE3" s="29"/>
      <c r="JQF3" s="29"/>
      <c r="JQG3" s="29"/>
      <c r="JQH3" s="29"/>
      <c r="JQI3" s="29"/>
      <c r="JQJ3" s="29"/>
      <c r="JQK3" s="29"/>
      <c r="JQL3" s="29"/>
      <c r="JQM3" s="29"/>
      <c r="JQN3" s="29"/>
      <c r="JQO3" s="29"/>
      <c r="JQP3" s="29"/>
      <c r="JQQ3" s="29"/>
      <c r="JQR3" s="29"/>
      <c r="JQS3" s="29"/>
      <c r="JQT3" s="29"/>
      <c r="JQU3" s="29"/>
      <c r="JQV3" s="29"/>
      <c r="JQW3" s="29"/>
      <c r="JQX3" s="29"/>
      <c r="JQY3" s="29"/>
      <c r="JQZ3" s="29"/>
      <c r="JRA3" s="29"/>
      <c r="JRB3" s="29"/>
      <c r="JRC3" s="29"/>
      <c r="JRD3" s="29"/>
      <c r="JRE3" s="29"/>
      <c r="JRF3" s="29"/>
      <c r="JRG3" s="29"/>
      <c r="JRH3" s="29"/>
      <c r="JRI3" s="29"/>
      <c r="JRJ3" s="29"/>
      <c r="JRK3" s="29"/>
      <c r="JRL3" s="29"/>
      <c r="JRM3" s="29"/>
      <c r="JRN3" s="29"/>
      <c r="JRO3" s="29"/>
      <c r="JRP3" s="29"/>
      <c r="JRQ3" s="29"/>
      <c r="JRR3" s="29"/>
      <c r="JRS3" s="29"/>
      <c r="JRT3" s="29"/>
      <c r="JRU3" s="29"/>
      <c r="JRV3" s="29"/>
      <c r="JRW3" s="29"/>
      <c r="JRX3" s="29"/>
      <c r="JRY3" s="29"/>
      <c r="JRZ3" s="29"/>
      <c r="JSA3" s="29"/>
      <c r="JSB3" s="29"/>
      <c r="JSC3" s="29"/>
      <c r="JSD3" s="29"/>
      <c r="JSE3" s="29"/>
      <c r="JSF3" s="29"/>
      <c r="JSG3" s="29"/>
      <c r="JSH3" s="29"/>
      <c r="JSI3" s="29"/>
      <c r="JSJ3" s="29"/>
      <c r="JSK3" s="29"/>
      <c r="JSL3" s="29"/>
      <c r="JSM3" s="29"/>
      <c r="JSN3" s="29"/>
      <c r="JSO3" s="29"/>
      <c r="JSP3" s="29"/>
      <c r="JSQ3" s="29"/>
      <c r="JSR3" s="29"/>
      <c r="JSS3" s="29"/>
      <c r="JST3" s="29"/>
      <c r="JSU3" s="29"/>
      <c r="JSV3" s="29"/>
      <c r="JSW3" s="29"/>
      <c r="JSX3" s="29"/>
      <c r="JSY3" s="29"/>
      <c r="JSZ3" s="29"/>
      <c r="JTA3" s="29"/>
      <c r="JTB3" s="29"/>
      <c r="JTC3" s="29"/>
      <c r="JTD3" s="29"/>
      <c r="JTE3" s="29"/>
      <c r="JTF3" s="29"/>
      <c r="JTG3" s="29"/>
      <c r="JTH3" s="29"/>
      <c r="JTI3" s="29"/>
      <c r="JTJ3" s="29"/>
      <c r="JTK3" s="29"/>
      <c r="JTL3" s="29"/>
      <c r="JTM3" s="29"/>
      <c r="JTN3" s="29"/>
      <c r="JTO3" s="29"/>
      <c r="JTP3" s="29"/>
      <c r="JTQ3" s="29"/>
      <c r="JTR3" s="29"/>
      <c r="JTS3" s="29"/>
      <c r="JTT3" s="29"/>
      <c r="JTU3" s="29"/>
      <c r="JTV3" s="29"/>
      <c r="JTW3" s="29"/>
      <c r="JTX3" s="29"/>
      <c r="JTY3" s="29"/>
      <c r="JTZ3" s="29"/>
      <c r="JUA3" s="29"/>
      <c r="JUB3" s="29"/>
      <c r="JUC3" s="29"/>
      <c r="JUD3" s="29"/>
      <c r="JUE3" s="29"/>
      <c r="JUF3" s="29"/>
      <c r="JUG3" s="29"/>
      <c r="JUH3" s="29"/>
      <c r="JUI3" s="29"/>
      <c r="JUJ3" s="29"/>
      <c r="JUK3" s="29"/>
      <c r="JUL3" s="29"/>
      <c r="JUM3" s="29"/>
      <c r="JUN3" s="29"/>
      <c r="JUO3" s="29"/>
      <c r="JUP3" s="29"/>
      <c r="JUQ3" s="29"/>
      <c r="JUR3" s="29"/>
      <c r="JUS3" s="29"/>
      <c r="JUT3" s="29"/>
      <c r="JUU3" s="29"/>
      <c r="JUV3" s="29"/>
      <c r="JUW3" s="29"/>
      <c r="JUX3" s="29"/>
      <c r="JUY3" s="29"/>
      <c r="JUZ3" s="29"/>
      <c r="JVA3" s="29"/>
      <c r="JVB3" s="29"/>
      <c r="JVC3" s="29"/>
      <c r="JVD3" s="29"/>
      <c r="JVE3" s="29"/>
      <c r="JVF3" s="29"/>
      <c r="JVG3" s="29"/>
      <c r="JVH3" s="29"/>
      <c r="JVI3" s="29"/>
      <c r="JVJ3" s="29"/>
      <c r="JVK3" s="29"/>
      <c r="JVL3" s="29"/>
      <c r="JVM3" s="29"/>
      <c r="JVN3" s="29"/>
      <c r="JVO3" s="29"/>
      <c r="JVP3" s="29"/>
      <c r="JVQ3" s="29"/>
      <c r="JVR3" s="29"/>
      <c r="JVS3" s="29"/>
      <c r="JVT3" s="29"/>
      <c r="JVU3" s="29"/>
      <c r="JVV3" s="29"/>
      <c r="JVW3" s="29"/>
      <c r="JVX3" s="29"/>
      <c r="JVY3" s="29"/>
      <c r="JVZ3" s="29"/>
      <c r="JWA3" s="29"/>
      <c r="JWB3" s="29"/>
      <c r="JWC3" s="29"/>
      <c r="JWD3" s="29"/>
      <c r="JWE3" s="29"/>
      <c r="JWF3" s="29"/>
      <c r="JWG3" s="29"/>
      <c r="JWH3" s="29"/>
      <c r="JWI3" s="29"/>
      <c r="JWJ3" s="29"/>
      <c r="JWK3" s="29"/>
      <c r="JWL3" s="29"/>
      <c r="JWM3" s="29"/>
      <c r="JWN3" s="29"/>
      <c r="JWO3" s="29"/>
      <c r="JWP3" s="29"/>
      <c r="JWQ3" s="29"/>
      <c r="JWR3" s="29"/>
      <c r="JWS3" s="29"/>
      <c r="JWT3" s="29"/>
      <c r="JWU3" s="29"/>
      <c r="JWV3" s="29"/>
      <c r="JWW3" s="29"/>
      <c r="JWX3" s="29"/>
      <c r="JWY3" s="29"/>
      <c r="JWZ3" s="29"/>
      <c r="JXA3" s="29"/>
      <c r="JXB3" s="29"/>
      <c r="JXC3" s="29"/>
      <c r="JXD3" s="29"/>
      <c r="JXE3" s="29"/>
      <c r="JXF3" s="29"/>
      <c r="JXG3" s="29"/>
      <c r="JXH3" s="29"/>
      <c r="JXI3" s="29"/>
      <c r="JXJ3" s="29"/>
      <c r="JXK3" s="29"/>
      <c r="JXL3" s="29"/>
      <c r="JXM3" s="29"/>
      <c r="JXN3" s="29"/>
      <c r="JXO3" s="29"/>
      <c r="JXP3" s="29"/>
      <c r="JXQ3" s="29"/>
      <c r="JXR3" s="29"/>
      <c r="JXS3" s="29"/>
      <c r="JXT3" s="29"/>
      <c r="JXU3" s="29"/>
      <c r="JXV3" s="29"/>
      <c r="JXW3" s="29"/>
      <c r="JXX3" s="29"/>
      <c r="JXY3" s="29"/>
      <c r="JXZ3" s="29"/>
      <c r="JYA3" s="29"/>
      <c r="JYB3" s="29"/>
      <c r="JYC3" s="29"/>
      <c r="JYD3" s="29"/>
      <c r="JYE3" s="29"/>
      <c r="JYF3" s="29"/>
      <c r="JYG3" s="29"/>
      <c r="JYH3" s="29"/>
      <c r="JYI3" s="29"/>
      <c r="JYJ3" s="29"/>
      <c r="JYK3" s="29"/>
      <c r="JYL3" s="29"/>
      <c r="JYM3" s="29"/>
      <c r="JYN3" s="29"/>
      <c r="JYO3" s="29"/>
      <c r="JYP3" s="29"/>
      <c r="JYQ3" s="29"/>
      <c r="JYR3" s="29"/>
      <c r="JYS3" s="29"/>
      <c r="JYT3" s="29"/>
      <c r="JYU3" s="29"/>
      <c r="JYV3" s="29"/>
      <c r="JYW3" s="29"/>
      <c r="JYX3" s="29"/>
      <c r="JYY3" s="29"/>
      <c r="JYZ3" s="29"/>
      <c r="JZA3" s="29"/>
      <c r="JZB3" s="29"/>
      <c r="JZC3" s="29"/>
      <c r="JZD3" s="29"/>
      <c r="JZE3" s="29"/>
      <c r="JZF3" s="29"/>
      <c r="JZG3" s="29"/>
      <c r="JZH3" s="29"/>
      <c r="JZI3" s="29"/>
      <c r="JZJ3" s="29"/>
      <c r="JZK3" s="29"/>
      <c r="JZL3" s="29"/>
      <c r="JZM3" s="29"/>
      <c r="JZN3" s="29"/>
      <c r="JZO3" s="29"/>
      <c r="JZP3" s="29"/>
      <c r="JZQ3" s="29"/>
      <c r="JZR3" s="29"/>
      <c r="JZS3" s="29"/>
      <c r="JZT3" s="29"/>
      <c r="JZU3" s="29"/>
      <c r="JZV3" s="29"/>
      <c r="JZW3" s="29"/>
      <c r="JZX3" s="29"/>
      <c r="JZY3" s="29"/>
      <c r="JZZ3" s="29"/>
      <c r="KAA3" s="29"/>
      <c r="KAB3" s="29"/>
      <c r="KAC3" s="29"/>
      <c r="KAD3" s="29"/>
      <c r="KAE3" s="29"/>
      <c r="KAF3" s="29"/>
      <c r="KAG3" s="29"/>
      <c r="KAH3" s="29"/>
      <c r="KAI3" s="29"/>
      <c r="KAJ3" s="29"/>
      <c r="KAK3" s="29"/>
      <c r="KAL3" s="29"/>
      <c r="KAM3" s="29"/>
      <c r="KAN3" s="29"/>
      <c r="KAO3" s="29"/>
      <c r="KAP3" s="29"/>
      <c r="KAQ3" s="29"/>
      <c r="KAR3" s="29"/>
      <c r="KAS3" s="29"/>
      <c r="KAT3" s="29"/>
      <c r="KAU3" s="29"/>
      <c r="KAV3" s="29"/>
      <c r="KAW3" s="29"/>
      <c r="KAX3" s="29"/>
      <c r="KAY3" s="29"/>
      <c r="KAZ3" s="29"/>
      <c r="KBA3" s="29"/>
      <c r="KBB3" s="29"/>
      <c r="KBC3" s="29"/>
      <c r="KBD3" s="29"/>
      <c r="KBE3" s="29"/>
      <c r="KBF3" s="29"/>
      <c r="KBG3" s="29"/>
      <c r="KBH3" s="29"/>
      <c r="KBI3" s="29"/>
      <c r="KBJ3" s="29"/>
      <c r="KBK3" s="29"/>
      <c r="KBL3" s="29"/>
      <c r="KBM3" s="29"/>
      <c r="KBN3" s="29"/>
      <c r="KBO3" s="29"/>
      <c r="KBP3" s="29"/>
      <c r="KBQ3" s="29"/>
      <c r="KBR3" s="29"/>
      <c r="KBS3" s="29"/>
      <c r="KBT3" s="29"/>
      <c r="KBU3" s="29"/>
      <c r="KBV3" s="29"/>
      <c r="KBW3" s="29"/>
      <c r="KBX3" s="29"/>
      <c r="KBY3" s="29"/>
      <c r="KBZ3" s="29"/>
      <c r="KCA3" s="29"/>
      <c r="KCB3" s="29"/>
      <c r="KCC3" s="29"/>
      <c r="KCD3" s="29"/>
      <c r="KCE3" s="29"/>
      <c r="KCF3" s="29"/>
      <c r="KCG3" s="29"/>
      <c r="KCH3" s="29"/>
      <c r="KCI3" s="29"/>
      <c r="KCJ3" s="29"/>
      <c r="KCK3" s="29"/>
      <c r="KCL3" s="29"/>
      <c r="KCM3" s="29"/>
      <c r="KCN3" s="29"/>
      <c r="KCO3" s="29"/>
      <c r="KCP3" s="29"/>
      <c r="KCQ3" s="29"/>
      <c r="KCR3" s="29"/>
      <c r="KCS3" s="29"/>
      <c r="KCT3" s="29"/>
      <c r="KCU3" s="29"/>
      <c r="KCV3" s="29"/>
      <c r="KCW3" s="29"/>
      <c r="KCX3" s="29"/>
      <c r="KCY3" s="29"/>
      <c r="KCZ3" s="29"/>
      <c r="KDA3" s="29"/>
      <c r="KDB3" s="29"/>
      <c r="KDC3" s="29"/>
      <c r="KDD3" s="29"/>
      <c r="KDE3" s="29"/>
      <c r="KDF3" s="29"/>
      <c r="KDG3" s="29"/>
      <c r="KDH3" s="29"/>
      <c r="KDI3" s="29"/>
      <c r="KDJ3" s="29"/>
      <c r="KDK3" s="29"/>
      <c r="KDL3" s="29"/>
      <c r="KDM3" s="29"/>
      <c r="KDN3" s="29"/>
      <c r="KDO3" s="29"/>
      <c r="KDP3" s="29"/>
      <c r="KDQ3" s="29"/>
      <c r="KDR3" s="29"/>
      <c r="KDS3" s="29"/>
      <c r="KDT3" s="29"/>
      <c r="KDU3" s="29"/>
      <c r="KDV3" s="29"/>
      <c r="KDW3" s="29"/>
      <c r="KDX3" s="29"/>
      <c r="KDY3" s="29"/>
      <c r="KDZ3" s="29"/>
      <c r="KEA3" s="29"/>
      <c r="KEB3" s="29"/>
      <c r="KEC3" s="29"/>
      <c r="KED3" s="29"/>
      <c r="KEE3" s="29"/>
      <c r="KEF3" s="29"/>
      <c r="KEG3" s="29"/>
      <c r="KEH3" s="29"/>
      <c r="KEI3" s="29"/>
      <c r="KEJ3" s="29"/>
      <c r="KEK3" s="29"/>
      <c r="KEL3" s="29"/>
      <c r="KEM3" s="29"/>
      <c r="KEN3" s="29"/>
      <c r="KEO3" s="29"/>
      <c r="KEP3" s="29"/>
      <c r="KEQ3" s="29"/>
      <c r="KER3" s="29"/>
      <c r="KES3" s="29"/>
      <c r="KET3" s="29"/>
      <c r="KEU3" s="29"/>
      <c r="KEV3" s="29"/>
      <c r="KEW3" s="29"/>
      <c r="KEX3" s="29"/>
      <c r="KEY3" s="29"/>
      <c r="KEZ3" s="29"/>
      <c r="KFA3" s="29"/>
      <c r="KFB3" s="29"/>
      <c r="KFC3" s="29"/>
      <c r="KFD3" s="29"/>
      <c r="KFE3" s="29"/>
      <c r="KFF3" s="29"/>
      <c r="KFG3" s="29"/>
      <c r="KFH3" s="29"/>
      <c r="KFI3" s="29"/>
      <c r="KFJ3" s="29"/>
      <c r="KFK3" s="29"/>
      <c r="KFL3" s="29"/>
      <c r="KFM3" s="29"/>
      <c r="KFN3" s="29"/>
      <c r="KFO3" s="29"/>
      <c r="KFP3" s="29"/>
      <c r="KFQ3" s="29"/>
      <c r="KFR3" s="29"/>
      <c r="KFS3" s="29"/>
      <c r="KFT3" s="29"/>
      <c r="KFU3" s="29"/>
      <c r="KFV3" s="29"/>
      <c r="KFW3" s="29"/>
      <c r="KFX3" s="29"/>
      <c r="KFY3" s="29"/>
      <c r="KFZ3" s="29"/>
      <c r="KGA3" s="29"/>
      <c r="KGB3" s="29"/>
      <c r="KGC3" s="29"/>
      <c r="KGD3" s="29"/>
      <c r="KGE3" s="29"/>
      <c r="KGF3" s="29"/>
      <c r="KGG3" s="29"/>
      <c r="KGH3" s="29"/>
      <c r="KGI3" s="29"/>
      <c r="KGJ3" s="29"/>
      <c r="KGK3" s="29"/>
      <c r="KGL3" s="29"/>
      <c r="KGM3" s="29"/>
      <c r="KGN3" s="29"/>
      <c r="KGO3" s="29"/>
      <c r="KGP3" s="29"/>
      <c r="KGQ3" s="29"/>
      <c r="KGR3" s="29"/>
      <c r="KGS3" s="29"/>
      <c r="KGT3" s="29"/>
      <c r="KGU3" s="29"/>
      <c r="KGV3" s="29"/>
      <c r="KGW3" s="29"/>
      <c r="KGX3" s="29"/>
      <c r="KGY3" s="29"/>
      <c r="KGZ3" s="29"/>
      <c r="KHA3" s="29"/>
      <c r="KHB3" s="29"/>
      <c r="KHC3" s="29"/>
      <c r="KHD3" s="29"/>
      <c r="KHE3" s="29"/>
      <c r="KHF3" s="29"/>
      <c r="KHG3" s="29"/>
      <c r="KHH3" s="29"/>
      <c r="KHI3" s="29"/>
      <c r="KHJ3" s="29"/>
      <c r="KHK3" s="29"/>
      <c r="KHL3" s="29"/>
      <c r="KHM3" s="29"/>
      <c r="KHN3" s="29"/>
      <c r="KHO3" s="29"/>
      <c r="KHP3" s="29"/>
      <c r="KHQ3" s="29"/>
      <c r="KHR3" s="29"/>
      <c r="KHS3" s="29"/>
      <c r="KHT3" s="29"/>
      <c r="KHU3" s="29"/>
      <c r="KHV3" s="29"/>
      <c r="KHW3" s="29"/>
      <c r="KHX3" s="29"/>
      <c r="KHY3" s="29"/>
      <c r="KHZ3" s="29"/>
      <c r="KIA3" s="29"/>
      <c r="KIB3" s="29"/>
      <c r="KIC3" s="29"/>
      <c r="KID3" s="29"/>
      <c r="KIE3" s="29"/>
      <c r="KIF3" s="29"/>
      <c r="KIG3" s="29"/>
      <c r="KIH3" s="29"/>
      <c r="KII3" s="29"/>
      <c r="KIJ3" s="29"/>
      <c r="KIK3" s="29"/>
      <c r="KIL3" s="29"/>
      <c r="KIM3" s="29"/>
      <c r="KIN3" s="29"/>
      <c r="KIO3" s="29"/>
      <c r="KIP3" s="29"/>
      <c r="KIQ3" s="29"/>
      <c r="KIR3" s="29"/>
      <c r="KIS3" s="29"/>
      <c r="KIT3" s="29"/>
      <c r="KIU3" s="29"/>
      <c r="KIV3" s="29"/>
      <c r="KIW3" s="29"/>
      <c r="KIX3" s="29"/>
      <c r="KIY3" s="29"/>
      <c r="KIZ3" s="29"/>
      <c r="KJA3" s="29"/>
      <c r="KJB3" s="29"/>
      <c r="KJC3" s="29"/>
      <c r="KJD3" s="29"/>
      <c r="KJE3" s="29"/>
      <c r="KJF3" s="29"/>
      <c r="KJG3" s="29"/>
      <c r="KJH3" s="29"/>
      <c r="KJI3" s="29"/>
      <c r="KJJ3" s="29"/>
      <c r="KJK3" s="29"/>
      <c r="KJL3" s="29"/>
      <c r="KJM3" s="29"/>
      <c r="KJN3" s="29"/>
      <c r="KJO3" s="29"/>
      <c r="KJP3" s="29"/>
      <c r="KJQ3" s="29"/>
      <c r="KJR3" s="29"/>
      <c r="KJS3" s="29"/>
      <c r="KJT3" s="29"/>
      <c r="KJU3" s="29"/>
      <c r="KJV3" s="29"/>
      <c r="KJW3" s="29"/>
      <c r="KJX3" s="29"/>
      <c r="KJY3" s="29"/>
      <c r="KJZ3" s="29"/>
      <c r="KKA3" s="29"/>
      <c r="KKB3" s="29"/>
      <c r="KKC3" s="29"/>
      <c r="KKD3" s="29"/>
      <c r="KKE3" s="29"/>
      <c r="KKF3" s="29"/>
      <c r="KKG3" s="29"/>
      <c r="KKH3" s="29"/>
      <c r="KKI3" s="29"/>
      <c r="KKJ3" s="29"/>
      <c r="KKK3" s="29"/>
      <c r="KKL3" s="29"/>
      <c r="KKM3" s="29"/>
      <c r="KKN3" s="29"/>
      <c r="KKO3" s="29"/>
      <c r="KKP3" s="29"/>
      <c r="KKQ3" s="29"/>
      <c r="KKR3" s="29"/>
      <c r="KKS3" s="29"/>
      <c r="KKT3" s="29"/>
      <c r="KKU3" s="29"/>
      <c r="KKV3" s="29"/>
      <c r="KKW3" s="29"/>
      <c r="KKX3" s="29"/>
      <c r="KKY3" s="29"/>
      <c r="KKZ3" s="29"/>
      <c r="KLA3" s="29"/>
      <c r="KLB3" s="29"/>
      <c r="KLC3" s="29"/>
      <c r="KLD3" s="29"/>
      <c r="KLE3" s="29"/>
      <c r="KLF3" s="29"/>
      <c r="KLG3" s="29"/>
      <c r="KLH3" s="29"/>
      <c r="KLI3" s="29"/>
      <c r="KLJ3" s="29"/>
      <c r="KLK3" s="29"/>
      <c r="KLL3" s="29"/>
      <c r="KLM3" s="29"/>
      <c r="KLN3" s="29"/>
      <c r="KLO3" s="29"/>
      <c r="KLP3" s="29"/>
      <c r="KLQ3" s="29"/>
      <c r="KLR3" s="29"/>
      <c r="KLS3" s="29"/>
      <c r="KLT3" s="29"/>
      <c r="KLU3" s="29"/>
      <c r="KLV3" s="29"/>
      <c r="KLW3" s="29"/>
      <c r="KLX3" s="29"/>
      <c r="KLY3" s="29"/>
      <c r="KLZ3" s="29"/>
      <c r="KMA3" s="29"/>
      <c r="KMB3" s="29"/>
      <c r="KMC3" s="29"/>
      <c r="KMD3" s="29"/>
      <c r="KME3" s="29"/>
      <c r="KMF3" s="29"/>
      <c r="KMG3" s="29"/>
      <c r="KMH3" s="29"/>
      <c r="KMI3" s="29"/>
      <c r="KMJ3" s="29"/>
      <c r="KMK3" s="29"/>
      <c r="KML3" s="29"/>
      <c r="KMM3" s="29"/>
      <c r="KMN3" s="29"/>
      <c r="KMO3" s="29"/>
      <c r="KMP3" s="29"/>
      <c r="KMQ3" s="29"/>
      <c r="KMR3" s="29"/>
      <c r="KMS3" s="29"/>
      <c r="KMT3" s="29"/>
      <c r="KMU3" s="29"/>
      <c r="KMV3" s="29"/>
      <c r="KMW3" s="29"/>
      <c r="KMX3" s="29"/>
      <c r="KMY3" s="29"/>
      <c r="KMZ3" s="29"/>
      <c r="KNA3" s="29"/>
      <c r="KNB3" s="29"/>
      <c r="KNC3" s="29"/>
      <c r="KND3" s="29"/>
      <c r="KNE3" s="29"/>
      <c r="KNF3" s="29"/>
      <c r="KNG3" s="29"/>
      <c r="KNH3" s="29"/>
      <c r="KNI3" s="29"/>
      <c r="KNJ3" s="29"/>
      <c r="KNK3" s="29"/>
      <c r="KNL3" s="29"/>
      <c r="KNM3" s="29"/>
      <c r="KNN3" s="29"/>
      <c r="KNO3" s="29"/>
      <c r="KNP3" s="29"/>
      <c r="KNQ3" s="29"/>
      <c r="KNR3" s="29"/>
      <c r="KNS3" s="29"/>
      <c r="KNT3" s="29"/>
      <c r="KNU3" s="29"/>
      <c r="KNV3" s="29"/>
      <c r="KNW3" s="29"/>
      <c r="KNX3" s="29"/>
      <c r="KNY3" s="29"/>
      <c r="KNZ3" s="29"/>
      <c r="KOA3" s="29"/>
      <c r="KOB3" s="29"/>
      <c r="KOC3" s="29"/>
      <c r="KOD3" s="29"/>
      <c r="KOE3" s="29"/>
      <c r="KOF3" s="29"/>
      <c r="KOG3" s="29"/>
      <c r="KOH3" s="29"/>
      <c r="KOI3" s="29"/>
      <c r="KOJ3" s="29"/>
      <c r="KOK3" s="29"/>
      <c r="KOL3" s="29"/>
      <c r="KOM3" s="29"/>
      <c r="KON3" s="29"/>
      <c r="KOO3" s="29"/>
      <c r="KOP3" s="29"/>
      <c r="KOQ3" s="29"/>
      <c r="KOR3" s="29"/>
      <c r="KOS3" s="29"/>
      <c r="KOT3" s="29"/>
      <c r="KOU3" s="29"/>
      <c r="KOV3" s="29"/>
      <c r="KOW3" s="29"/>
      <c r="KOX3" s="29"/>
      <c r="KOY3" s="29"/>
      <c r="KOZ3" s="29"/>
      <c r="KPA3" s="29"/>
      <c r="KPB3" s="29"/>
      <c r="KPC3" s="29"/>
      <c r="KPD3" s="29"/>
      <c r="KPE3" s="29"/>
      <c r="KPF3" s="29"/>
      <c r="KPG3" s="29"/>
      <c r="KPH3" s="29"/>
      <c r="KPI3" s="29"/>
      <c r="KPJ3" s="29"/>
      <c r="KPK3" s="29"/>
      <c r="KPL3" s="29"/>
      <c r="KPM3" s="29"/>
      <c r="KPN3" s="29"/>
      <c r="KPO3" s="29"/>
      <c r="KPP3" s="29"/>
      <c r="KPQ3" s="29"/>
      <c r="KPR3" s="29"/>
      <c r="KPS3" s="29"/>
      <c r="KPT3" s="29"/>
      <c r="KPU3" s="29"/>
      <c r="KPV3" s="29"/>
      <c r="KPW3" s="29"/>
      <c r="KPX3" s="29"/>
      <c r="KPY3" s="29"/>
      <c r="KPZ3" s="29"/>
      <c r="KQA3" s="29"/>
      <c r="KQB3" s="29"/>
      <c r="KQC3" s="29"/>
      <c r="KQD3" s="29"/>
      <c r="KQE3" s="29"/>
      <c r="KQF3" s="29"/>
      <c r="KQG3" s="29"/>
      <c r="KQH3" s="29"/>
      <c r="KQI3" s="29"/>
      <c r="KQJ3" s="29"/>
      <c r="KQK3" s="29"/>
      <c r="KQL3" s="29"/>
      <c r="KQM3" s="29"/>
      <c r="KQN3" s="29"/>
      <c r="KQO3" s="29"/>
      <c r="KQP3" s="29"/>
      <c r="KQQ3" s="29"/>
      <c r="KQR3" s="29"/>
      <c r="KQS3" s="29"/>
      <c r="KQT3" s="29"/>
      <c r="KQU3" s="29"/>
      <c r="KQV3" s="29"/>
      <c r="KQW3" s="29"/>
      <c r="KQX3" s="29"/>
      <c r="KQY3" s="29"/>
      <c r="KQZ3" s="29"/>
      <c r="KRA3" s="29"/>
      <c r="KRB3" s="29"/>
      <c r="KRC3" s="29"/>
      <c r="KRD3" s="29"/>
      <c r="KRE3" s="29"/>
      <c r="KRF3" s="29"/>
      <c r="KRG3" s="29"/>
      <c r="KRH3" s="29"/>
      <c r="KRI3" s="29"/>
      <c r="KRJ3" s="29"/>
      <c r="KRK3" s="29"/>
      <c r="KRL3" s="29"/>
      <c r="KRM3" s="29"/>
      <c r="KRN3" s="29"/>
      <c r="KRO3" s="29"/>
      <c r="KRP3" s="29"/>
      <c r="KRQ3" s="29"/>
      <c r="KRR3" s="29"/>
      <c r="KRS3" s="29"/>
      <c r="KRT3" s="29"/>
      <c r="KRU3" s="29"/>
      <c r="KRV3" s="29"/>
      <c r="KRW3" s="29"/>
      <c r="KRX3" s="29"/>
      <c r="KRY3" s="29"/>
      <c r="KRZ3" s="29"/>
      <c r="KSA3" s="29"/>
      <c r="KSB3" s="29"/>
      <c r="KSC3" s="29"/>
      <c r="KSD3" s="29"/>
      <c r="KSE3" s="29"/>
      <c r="KSF3" s="29"/>
      <c r="KSG3" s="29"/>
      <c r="KSH3" s="29"/>
      <c r="KSI3" s="29"/>
      <c r="KSJ3" s="29"/>
      <c r="KSK3" s="29"/>
      <c r="KSL3" s="29"/>
      <c r="KSM3" s="29"/>
      <c r="KSN3" s="29"/>
      <c r="KSO3" s="29"/>
      <c r="KSP3" s="29"/>
      <c r="KSQ3" s="29"/>
      <c r="KSR3" s="29"/>
      <c r="KSS3" s="29"/>
      <c r="KST3" s="29"/>
      <c r="KSU3" s="29"/>
      <c r="KSV3" s="29"/>
      <c r="KSW3" s="29"/>
      <c r="KSX3" s="29"/>
      <c r="KSY3" s="29"/>
      <c r="KSZ3" s="29"/>
      <c r="KTA3" s="29"/>
      <c r="KTB3" s="29"/>
      <c r="KTC3" s="29"/>
      <c r="KTD3" s="29"/>
      <c r="KTE3" s="29"/>
      <c r="KTF3" s="29"/>
      <c r="KTG3" s="29"/>
      <c r="KTH3" s="29"/>
      <c r="KTI3" s="29"/>
      <c r="KTJ3" s="29"/>
      <c r="KTK3" s="29"/>
      <c r="KTL3" s="29"/>
      <c r="KTM3" s="29"/>
      <c r="KTN3" s="29"/>
      <c r="KTO3" s="29"/>
      <c r="KTP3" s="29"/>
      <c r="KTQ3" s="29"/>
      <c r="KTR3" s="29"/>
      <c r="KTS3" s="29"/>
      <c r="KTT3" s="29"/>
      <c r="KTU3" s="29"/>
      <c r="KTV3" s="29"/>
      <c r="KTW3" s="29"/>
      <c r="KTX3" s="29"/>
      <c r="KTY3" s="29"/>
      <c r="KTZ3" s="29"/>
      <c r="KUA3" s="29"/>
      <c r="KUB3" s="29"/>
      <c r="KUC3" s="29"/>
      <c r="KUD3" s="29"/>
      <c r="KUE3" s="29"/>
      <c r="KUF3" s="29"/>
      <c r="KUG3" s="29"/>
      <c r="KUH3" s="29"/>
      <c r="KUI3" s="29"/>
      <c r="KUJ3" s="29"/>
      <c r="KUK3" s="29"/>
      <c r="KUL3" s="29"/>
      <c r="KUM3" s="29"/>
      <c r="KUN3" s="29"/>
      <c r="KUO3" s="29"/>
      <c r="KUP3" s="29"/>
      <c r="KUQ3" s="29"/>
      <c r="KUR3" s="29"/>
      <c r="KUS3" s="29"/>
      <c r="KUT3" s="29"/>
      <c r="KUU3" s="29"/>
      <c r="KUV3" s="29"/>
      <c r="KUW3" s="29"/>
      <c r="KUX3" s="29"/>
      <c r="KUY3" s="29"/>
      <c r="KUZ3" s="29"/>
      <c r="KVA3" s="29"/>
      <c r="KVB3" s="29"/>
      <c r="KVC3" s="29"/>
      <c r="KVD3" s="29"/>
      <c r="KVE3" s="29"/>
      <c r="KVF3" s="29"/>
      <c r="KVG3" s="29"/>
      <c r="KVH3" s="29"/>
      <c r="KVI3" s="29"/>
      <c r="KVJ3" s="29"/>
      <c r="KVK3" s="29"/>
      <c r="KVL3" s="29"/>
      <c r="KVM3" s="29"/>
      <c r="KVN3" s="29"/>
      <c r="KVO3" s="29"/>
      <c r="KVP3" s="29"/>
      <c r="KVQ3" s="29"/>
      <c r="KVR3" s="29"/>
      <c r="KVS3" s="29"/>
      <c r="KVT3" s="29"/>
      <c r="KVU3" s="29"/>
      <c r="KVV3" s="29"/>
      <c r="KVW3" s="29"/>
      <c r="KVX3" s="29"/>
      <c r="KVY3" s="29"/>
      <c r="KVZ3" s="29"/>
      <c r="KWA3" s="29"/>
      <c r="KWB3" s="29"/>
      <c r="KWC3" s="29"/>
      <c r="KWD3" s="29"/>
      <c r="KWE3" s="29"/>
      <c r="KWF3" s="29"/>
      <c r="KWG3" s="29"/>
      <c r="KWH3" s="29"/>
      <c r="KWI3" s="29"/>
      <c r="KWJ3" s="29"/>
      <c r="KWK3" s="29"/>
      <c r="KWL3" s="29"/>
      <c r="KWM3" s="29"/>
      <c r="KWN3" s="29"/>
      <c r="KWO3" s="29"/>
      <c r="KWP3" s="29"/>
      <c r="KWQ3" s="29"/>
      <c r="KWR3" s="29"/>
      <c r="KWS3" s="29"/>
      <c r="KWT3" s="29"/>
      <c r="KWU3" s="29"/>
      <c r="KWV3" s="29"/>
      <c r="KWW3" s="29"/>
      <c r="KWX3" s="29"/>
      <c r="KWY3" s="29"/>
      <c r="KWZ3" s="29"/>
      <c r="KXA3" s="29"/>
      <c r="KXB3" s="29"/>
      <c r="KXC3" s="29"/>
      <c r="KXD3" s="29"/>
      <c r="KXE3" s="29"/>
      <c r="KXF3" s="29"/>
      <c r="KXG3" s="29"/>
      <c r="KXH3" s="29"/>
      <c r="KXI3" s="29"/>
      <c r="KXJ3" s="29"/>
      <c r="KXK3" s="29"/>
      <c r="KXL3" s="29"/>
      <c r="KXM3" s="29"/>
      <c r="KXN3" s="29"/>
      <c r="KXO3" s="29"/>
      <c r="KXP3" s="29"/>
      <c r="KXQ3" s="29"/>
      <c r="KXR3" s="29"/>
      <c r="KXS3" s="29"/>
      <c r="KXT3" s="29"/>
      <c r="KXU3" s="29"/>
      <c r="KXV3" s="29"/>
      <c r="KXW3" s="29"/>
      <c r="KXX3" s="29"/>
      <c r="KXY3" s="29"/>
      <c r="KXZ3" s="29"/>
      <c r="KYA3" s="29"/>
      <c r="KYB3" s="29"/>
      <c r="KYC3" s="29"/>
      <c r="KYD3" s="29"/>
      <c r="KYE3" s="29"/>
      <c r="KYF3" s="29"/>
      <c r="KYG3" s="29"/>
      <c r="KYH3" s="29"/>
      <c r="KYI3" s="29"/>
      <c r="KYJ3" s="29"/>
      <c r="KYK3" s="29"/>
      <c r="KYL3" s="29"/>
      <c r="KYM3" s="29"/>
      <c r="KYN3" s="29"/>
      <c r="KYO3" s="29"/>
      <c r="KYP3" s="29"/>
      <c r="KYQ3" s="29"/>
      <c r="KYR3" s="29"/>
      <c r="KYS3" s="29"/>
      <c r="KYT3" s="29"/>
      <c r="KYU3" s="29"/>
      <c r="KYV3" s="29"/>
      <c r="KYW3" s="29"/>
      <c r="KYX3" s="29"/>
      <c r="KYY3" s="29"/>
      <c r="KYZ3" s="29"/>
      <c r="KZA3" s="29"/>
      <c r="KZB3" s="29"/>
      <c r="KZC3" s="29"/>
      <c r="KZD3" s="29"/>
      <c r="KZE3" s="29"/>
      <c r="KZF3" s="29"/>
      <c r="KZG3" s="29"/>
      <c r="KZH3" s="29"/>
      <c r="KZI3" s="29"/>
      <c r="KZJ3" s="29"/>
      <c r="KZK3" s="29"/>
      <c r="KZL3" s="29"/>
      <c r="KZM3" s="29"/>
      <c r="KZN3" s="29"/>
      <c r="KZO3" s="29"/>
      <c r="KZP3" s="29"/>
      <c r="KZQ3" s="29"/>
      <c r="KZR3" s="29"/>
      <c r="KZS3" s="29"/>
      <c r="KZT3" s="29"/>
      <c r="KZU3" s="29"/>
      <c r="KZV3" s="29"/>
      <c r="KZW3" s="29"/>
      <c r="KZX3" s="29"/>
      <c r="KZY3" s="29"/>
      <c r="KZZ3" s="29"/>
      <c r="LAA3" s="29"/>
      <c r="LAB3" s="29"/>
      <c r="LAC3" s="29"/>
      <c r="LAD3" s="29"/>
      <c r="LAE3" s="29"/>
      <c r="LAF3" s="29"/>
      <c r="LAG3" s="29"/>
      <c r="LAH3" s="29"/>
      <c r="LAI3" s="29"/>
      <c r="LAJ3" s="29"/>
      <c r="LAK3" s="29"/>
      <c r="LAL3" s="29"/>
      <c r="LAM3" s="29"/>
      <c r="LAN3" s="29"/>
      <c r="LAO3" s="29"/>
      <c r="LAP3" s="29"/>
      <c r="LAQ3" s="29"/>
      <c r="LAR3" s="29"/>
      <c r="LAS3" s="29"/>
      <c r="LAT3" s="29"/>
      <c r="LAU3" s="29"/>
      <c r="LAV3" s="29"/>
      <c r="LAW3" s="29"/>
      <c r="LAX3" s="29"/>
      <c r="LAY3" s="29"/>
      <c r="LAZ3" s="29"/>
      <c r="LBA3" s="29"/>
      <c r="LBB3" s="29"/>
      <c r="LBC3" s="29"/>
      <c r="LBD3" s="29"/>
      <c r="LBE3" s="29"/>
      <c r="LBF3" s="29"/>
      <c r="LBG3" s="29"/>
      <c r="LBH3" s="29"/>
      <c r="LBI3" s="29"/>
      <c r="LBJ3" s="29"/>
      <c r="LBK3" s="29"/>
      <c r="LBL3" s="29"/>
      <c r="LBM3" s="29"/>
      <c r="LBN3" s="29"/>
      <c r="LBO3" s="29"/>
      <c r="LBP3" s="29"/>
      <c r="LBQ3" s="29"/>
      <c r="LBR3" s="29"/>
      <c r="LBS3" s="29"/>
      <c r="LBT3" s="29"/>
      <c r="LBU3" s="29"/>
      <c r="LBV3" s="29"/>
      <c r="LBW3" s="29"/>
      <c r="LBX3" s="29"/>
      <c r="LBY3" s="29"/>
      <c r="LBZ3" s="29"/>
      <c r="LCA3" s="29"/>
      <c r="LCB3" s="29"/>
      <c r="LCC3" s="29"/>
      <c r="LCD3" s="29"/>
      <c r="LCE3" s="29"/>
      <c r="LCF3" s="29"/>
      <c r="LCG3" s="29"/>
      <c r="LCH3" s="29"/>
      <c r="LCI3" s="29"/>
      <c r="LCJ3" s="29"/>
      <c r="LCK3" s="29"/>
      <c r="LCL3" s="29"/>
      <c r="LCM3" s="29"/>
      <c r="LCN3" s="29"/>
      <c r="LCO3" s="29"/>
      <c r="LCP3" s="29"/>
      <c r="LCQ3" s="29"/>
      <c r="LCR3" s="29"/>
      <c r="LCS3" s="29"/>
      <c r="LCT3" s="29"/>
      <c r="LCU3" s="29"/>
      <c r="LCV3" s="29"/>
      <c r="LCW3" s="29"/>
      <c r="LCX3" s="29"/>
      <c r="LCY3" s="29"/>
      <c r="LCZ3" s="29"/>
      <c r="LDA3" s="29"/>
      <c r="LDB3" s="29"/>
      <c r="LDC3" s="29"/>
      <c r="LDD3" s="29"/>
      <c r="LDE3" s="29"/>
      <c r="LDF3" s="29"/>
      <c r="LDG3" s="29"/>
      <c r="LDH3" s="29"/>
      <c r="LDI3" s="29"/>
      <c r="LDJ3" s="29"/>
      <c r="LDK3" s="29"/>
      <c r="LDL3" s="29"/>
      <c r="LDM3" s="29"/>
      <c r="LDN3" s="29"/>
      <c r="LDO3" s="29"/>
      <c r="LDP3" s="29"/>
      <c r="LDQ3" s="29"/>
      <c r="LDR3" s="29"/>
      <c r="LDS3" s="29"/>
      <c r="LDT3" s="29"/>
      <c r="LDU3" s="29"/>
      <c r="LDV3" s="29"/>
      <c r="LDW3" s="29"/>
      <c r="LDX3" s="29"/>
      <c r="LDY3" s="29"/>
      <c r="LDZ3" s="29"/>
      <c r="LEA3" s="29"/>
      <c r="LEB3" s="29"/>
      <c r="LEC3" s="29"/>
      <c r="LED3" s="29"/>
      <c r="LEE3" s="29"/>
      <c r="LEF3" s="29"/>
      <c r="LEG3" s="29"/>
      <c r="LEH3" s="29"/>
      <c r="LEI3" s="29"/>
      <c r="LEJ3" s="29"/>
      <c r="LEK3" s="29"/>
      <c r="LEL3" s="29"/>
      <c r="LEM3" s="29"/>
      <c r="LEN3" s="29"/>
      <c r="LEO3" s="29"/>
      <c r="LEP3" s="29"/>
      <c r="LEQ3" s="29"/>
      <c r="LER3" s="29"/>
      <c r="LES3" s="29"/>
      <c r="LET3" s="29"/>
      <c r="LEU3" s="29"/>
      <c r="LEV3" s="29"/>
      <c r="LEW3" s="29"/>
      <c r="LEX3" s="29"/>
      <c r="LEY3" s="29"/>
      <c r="LEZ3" s="29"/>
      <c r="LFA3" s="29"/>
      <c r="LFB3" s="29"/>
      <c r="LFC3" s="29"/>
      <c r="LFD3" s="29"/>
      <c r="LFE3" s="29"/>
      <c r="LFF3" s="29"/>
      <c r="LFG3" s="29"/>
      <c r="LFH3" s="29"/>
      <c r="LFI3" s="29"/>
      <c r="LFJ3" s="29"/>
      <c r="LFK3" s="29"/>
      <c r="LFL3" s="29"/>
      <c r="LFM3" s="29"/>
      <c r="LFN3" s="29"/>
      <c r="LFO3" s="29"/>
      <c r="LFP3" s="29"/>
      <c r="LFQ3" s="29"/>
      <c r="LFR3" s="29"/>
      <c r="LFS3" s="29"/>
      <c r="LFT3" s="29"/>
      <c r="LFU3" s="29"/>
      <c r="LFV3" s="29"/>
      <c r="LFW3" s="29"/>
      <c r="LFX3" s="29"/>
      <c r="LFY3" s="29"/>
      <c r="LFZ3" s="29"/>
      <c r="LGA3" s="29"/>
      <c r="LGB3" s="29"/>
      <c r="LGC3" s="29"/>
      <c r="LGD3" s="29"/>
      <c r="LGE3" s="29"/>
      <c r="LGF3" s="29"/>
      <c r="LGG3" s="29"/>
      <c r="LGH3" s="29"/>
      <c r="LGI3" s="29"/>
      <c r="LGJ3" s="29"/>
      <c r="LGK3" s="29"/>
      <c r="LGL3" s="29"/>
      <c r="LGM3" s="29"/>
      <c r="LGN3" s="29"/>
      <c r="LGO3" s="29"/>
      <c r="LGP3" s="29"/>
      <c r="LGQ3" s="29"/>
      <c r="LGR3" s="29"/>
      <c r="LGS3" s="29"/>
      <c r="LGT3" s="29"/>
      <c r="LGU3" s="29"/>
      <c r="LGV3" s="29"/>
      <c r="LGW3" s="29"/>
      <c r="LGX3" s="29"/>
      <c r="LGY3" s="29"/>
      <c r="LGZ3" s="29"/>
      <c r="LHA3" s="29"/>
      <c r="LHB3" s="29"/>
      <c r="LHC3" s="29"/>
      <c r="LHD3" s="29"/>
      <c r="LHE3" s="29"/>
      <c r="LHF3" s="29"/>
      <c r="LHG3" s="29"/>
      <c r="LHH3" s="29"/>
      <c r="LHI3" s="29"/>
      <c r="LHJ3" s="29"/>
      <c r="LHK3" s="29"/>
      <c r="LHL3" s="29"/>
      <c r="LHM3" s="29"/>
      <c r="LHN3" s="29"/>
      <c r="LHO3" s="29"/>
      <c r="LHP3" s="29"/>
      <c r="LHQ3" s="29"/>
      <c r="LHR3" s="29"/>
      <c r="LHS3" s="29"/>
      <c r="LHT3" s="29"/>
      <c r="LHU3" s="29"/>
      <c r="LHV3" s="29"/>
      <c r="LHW3" s="29"/>
      <c r="LHX3" s="29"/>
      <c r="LHY3" s="29"/>
      <c r="LHZ3" s="29"/>
      <c r="LIA3" s="29"/>
      <c r="LIB3" s="29"/>
      <c r="LIC3" s="29"/>
      <c r="LID3" s="29"/>
      <c r="LIE3" s="29"/>
      <c r="LIF3" s="29"/>
      <c r="LIG3" s="29"/>
      <c r="LIH3" s="29"/>
      <c r="LII3" s="29"/>
      <c r="LIJ3" s="29"/>
      <c r="LIK3" s="29"/>
      <c r="LIL3" s="29"/>
      <c r="LIM3" s="29"/>
      <c r="LIN3" s="29"/>
      <c r="LIO3" s="29"/>
      <c r="LIP3" s="29"/>
      <c r="LIQ3" s="29"/>
      <c r="LIR3" s="29"/>
      <c r="LIS3" s="29"/>
      <c r="LIT3" s="29"/>
      <c r="LIU3" s="29"/>
      <c r="LIV3" s="29"/>
      <c r="LIW3" s="29"/>
      <c r="LIX3" s="29"/>
      <c r="LIY3" s="29"/>
      <c r="LIZ3" s="29"/>
      <c r="LJA3" s="29"/>
      <c r="LJB3" s="29"/>
      <c r="LJC3" s="29"/>
      <c r="LJD3" s="29"/>
      <c r="LJE3" s="29"/>
      <c r="LJF3" s="29"/>
      <c r="LJG3" s="29"/>
      <c r="LJH3" s="29"/>
      <c r="LJI3" s="29"/>
      <c r="LJJ3" s="29"/>
      <c r="LJK3" s="29"/>
      <c r="LJL3" s="29"/>
      <c r="LJM3" s="29"/>
      <c r="LJN3" s="29"/>
      <c r="LJO3" s="29"/>
      <c r="LJP3" s="29"/>
      <c r="LJQ3" s="29"/>
      <c r="LJR3" s="29"/>
      <c r="LJS3" s="29"/>
      <c r="LJT3" s="29"/>
      <c r="LJU3" s="29"/>
      <c r="LJV3" s="29"/>
      <c r="LJW3" s="29"/>
      <c r="LJX3" s="29"/>
      <c r="LJY3" s="29"/>
      <c r="LJZ3" s="29"/>
      <c r="LKA3" s="29"/>
      <c r="LKB3" s="29"/>
      <c r="LKC3" s="29"/>
      <c r="LKD3" s="29"/>
      <c r="LKE3" s="29"/>
      <c r="LKF3" s="29"/>
      <c r="LKG3" s="29"/>
      <c r="LKH3" s="29"/>
      <c r="LKI3" s="29"/>
      <c r="LKJ3" s="29"/>
      <c r="LKK3" s="29"/>
      <c r="LKL3" s="29"/>
      <c r="LKM3" s="29"/>
      <c r="LKN3" s="29"/>
      <c r="LKO3" s="29"/>
      <c r="LKP3" s="29"/>
      <c r="LKQ3" s="29"/>
      <c r="LKR3" s="29"/>
      <c r="LKS3" s="29"/>
      <c r="LKT3" s="29"/>
      <c r="LKU3" s="29"/>
      <c r="LKV3" s="29"/>
      <c r="LKW3" s="29"/>
      <c r="LKX3" s="29"/>
      <c r="LKY3" s="29"/>
      <c r="LKZ3" s="29"/>
      <c r="LLA3" s="29"/>
      <c r="LLB3" s="29"/>
      <c r="LLC3" s="29"/>
      <c r="LLD3" s="29"/>
      <c r="LLE3" s="29"/>
      <c r="LLF3" s="29"/>
      <c r="LLG3" s="29"/>
      <c r="LLH3" s="29"/>
      <c r="LLI3" s="29"/>
      <c r="LLJ3" s="29"/>
      <c r="LLK3" s="29"/>
      <c r="LLL3" s="29"/>
      <c r="LLM3" s="29"/>
      <c r="LLN3" s="29"/>
      <c r="LLO3" s="29"/>
      <c r="LLP3" s="29"/>
      <c r="LLQ3" s="29"/>
      <c r="LLR3" s="29"/>
      <c r="LLS3" s="29"/>
      <c r="LLT3" s="29"/>
      <c r="LLU3" s="29"/>
      <c r="LLV3" s="29"/>
      <c r="LLW3" s="29"/>
      <c r="LLX3" s="29"/>
      <c r="LLY3" s="29"/>
      <c r="LLZ3" s="29"/>
      <c r="LMA3" s="29"/>
      <c r="LMB3" s="29"/>
      <c r="LMC3" s="29"/>
      <c r="LMD3" s="29"/>
      <c r="LME3" s="29"/>
      <c r="LMF3" s="29"/>
      <c r="LMG3" s="29"/>
      <c r="LMH3" s="29"/>
      <c r="LMI3" s="29"/>
      <c r="LMJ3" s="29"/>
      <c r="LMK3" s="29"/>
      <c r="LML3" s="29"/>
      <c r="LMM3" s="29"/>
      <c r="LMN3" s="29"/>
      <c r="LMO3" s="29"/>
      <c r="LMP3" s="29"/>
      <c r="LMQ3" s="29"/>
      <c r="LMR3" s="29"/>
      <c r="LMS3" s="29"/>
      <c r="LMT3" s="29"/>
      <c r="LMU3" s="29"/>
      <c r="LMV3" s="29"/>
      <c r="LMW3" s="29"/>
      <c r="LMX3" s="29"/>
      <c r="LMY3" s="29"/>
      <c r="LMZ3" s="29"/>
      <c r="LNA3" s="29"/>
      <c r="LNB3" s="29"/>
      <c r="LNC3" s="29"/>
      <c r="LND3" s="29"/>
      <c r="LNE3" s="29"/>
      <c r="LNF3" s="29"/>
      <c r="LNG3" s="29"/>
      <c r="LNH3" s="29"/>
      <c r="LNI3" s="29"/>
      <c r="LNJ3" s="29"/>
      <c r="LNK3" s="29"/>
      <c r="LNL3" s="29"/>
      <c r="LNM3" s="29"/>
      <c r="LNN3" s="29"/>
      <c r="LNO3" s="29"/>
      <c r="LNP3" s="29"/>
      <c r="LNQ3" s="29"/>
      <c r="LNR3" s="29"/>
      <c r="LNS3" s="29"/>
      <c r="LNT3" s="29"/>
      <c r="LNU3" s="29"/>
      <c r="LNV3" s="29"/>
      <c r="LNW3" s="29"/>
      <c r="LNX3" s="29"/>
      <c r="LNY3" s="29"/>
      <c r="LNZ3" s="29"/>
      <c r="LOA3" s="29"/>
      <c r="LOB3" s="29"/>
      <c r="LOC3" s="29"/>
      <c r="LOD3" s="29"/>
      <c r="LOE3" s="29"/>
      <c r="LOF3" s="29"/>
      <c r="LOG3" s="29"/>
      <c r="LOH3" s="29"/>
      <c r="LOI3" s="29"/>
      <c r="LOJ3" s="29"/>
      <c r="LOK3" s="29"/>
      <c r="LOL3" s="29"/>
      <c r="LOM3" s="29"/>
      <c r="LON3" s="29"/>
      <c r="LOO3" s="29"/>
      <c r="LOP3" s="29"/>
      <c r="LOQ3" s="29"/>
      <c r="LOR3" s="29"/>
      <c r="LOS3" s="29"/>
      <c r="LOT3" s="29"/>
      <c r="LOU3" s="29"/>
      <c r="LOV3" s="29"/>
      <c r="LOW3" s="29"/>
      <c r="LOX3" s="29"/>
      <c r="LOY3" s="29"/>
      <c r="LOZ3" s="29"/>
      <c r="LPA3" s="29"/>
      <c r="LPB3" s="29"/>
      <c r="LPC3" s="29"/>
      <c r="LPD3" s="29"/>
      <c r="LPE3" s="29"/>
      <c r="LPF3" s="29"/>
      <c r="LPG3" s="29"/>
      <c r="LPH3" s="29"/>
      <c r="LPI3" s="29"/>
      <c r="LPJ3" s="29"/>
      <c r="LPK3" s="29"/>
      <c r="LPL3" s="29"/>
      <c r="LPM3" s="29"/>
      <c r="LPN3" s="29"/>
      <c r="LPO3" s="29"/>
      <c r="LPP3" s="29"/>
      <c r="LPQ3" s="29"/>
      <c r="LPR3" s="29"/>
      <c r="LPS3" s="29"/>
      <c r="LPT3" s="29"/>
      <c r="LPU3" s="29"/>
      <c r="LPV3" s="29"/>
      <c r="LPW3" s="29"/>
      <c r="LPX3" s="29"/>
      <c r="LPY3" s="29"/>
      <c r="LPZ3" s="29"/>
      <c r="LQA3" s="29"/>
      <c r="LQB3" s="29"/>
      <c r="LQC3" s="29"/>
      <c r="LQD3" s="29"/>
      <c r="LQE3" s="29"/>
      <c r="LQF3" s="29"/>
      <c r="LQG3" s="29"/>
      <c r="LQH3" s="29"/>
      <c r="LQI3" s="29"/>
      <c r="LQJ3" s="29"/>
      <c r="LQK3" s="29"/>
      <c r="LQL3" s="29"/>
      <c r="LQM3" s="29"/>
      <c r="LQN3" s="29"/>
      <c r="LQO3" s="29"/>
      <c r="LQP3" s="29"/>
      <c r="LQQ3" s="29"/>
      <c r="LQR3" s="29"/>
      <c r="LQS3" s="29"/>
      <c r="LQT3" s="29"/>
      <c r="LQU3" s="29"/>
      <c r="LQV3" s="29"/>
      <c r="LQW3" s="29"/>
      <c r="LQX3" s="29"/>
      <c r="LQY3" s="29"/>
      <c r="LQZ3" s="29"/>
      <c r="LRA3" s="29"/>
      <c r="LRB3" s="29"/>
      <c r="LRC3" s="29"/>
      <c r="LRD3" s="29"/>
      <c r="LRE3" s="29"/>
      <c r="LRF3" s="29"/>
      <c r="LRG3" s="29"/>
      <c r="LRH3" s="29"/>
      <c r="LRI3" s="29"/>
      <c r="LRJ3" s="29"/>
      <c r="LRK3" s="29"/>
      <c r="LRL3" s="29"/>
      <c r="LRM3" s="29"/>
      <c r="LRN3" s="29"/>
      <c r="LRO3" s="29"/>
      <c r="LRP3" s="29"/>
      <c r="LRQ3" s="29"/>
      <c r="LRR3" s="29"/>
      <c r="LRS3" s="29"/>
      <c r="LRT3" s="29"/>
      <c r="LRU3" s="29"/>
      <c r="LRV3" s="29"/>
      <c r="LRW3" s="29"/>
      <c r="LRX3" s="29"/>
      <c r="LRY3" s="29"/>
      <c r="LRZ3" s="29"/>
      <c r="LSA3" s="29"/>
      <c r="LSB3" s="29"/>
      <c r="LSC3" s="29"/>
      <c r="LSD3" s="29"/>
      <c r="LSE3" s="29"/>
      <c r="LSF3" s="29"/>
      <c r="LSG3" s="29"/>
      <c r="LSH3" s="29"/>
      <c r="LSI3" s="29"/>
      <c r="LSJ3" s="29"/>
      <c r="LSK3" s="29"/>
      <c r="LSL3" s="29"/>
      <c r="LSM3" s="29"/>
      <c r="LSN3" s="29"/>
      <c r="LSO3" s="29"/>
      <c r="LSP3" s="29"/>
      <c r="LSQ3" s="29"/>
      <c r="LSR3" s="29"/>
      <c r="LSS3" s="29"/>
      <c r="LST3" s="29"/>
      <c r="LSU3" s="29"/>
      <c r="LSV3" s="29"/>
      <c r="LSW3" s="29"/>
      <c r="LSX3" s="29"/>
      <c r="LSY3" s="29"/>
      <c r="LSZ3" s="29"/>
      <c r="LTA3" s="29"/>
      <c r="LTB3" s="29"/>
      <c r="LTC3" s="29"/>
      <c r="LTD3" s="29"/>
      <c r="LTE3" s="29"/>
      <c r="LTF3" s="29"/>
      <c r="LTG3" s="29"/>
      <c r="LTH3" s="29"/>
      <c r="LTI3" s="29"/>
      <c r="LTJ3" s="29"/>
      <c r="LTK3" s="29"/>
      <c r="LTL3" s="29"/>
      <c r="LTM3" s="29"/>
      <c r="LTN3" s="29"/>
      <c r="LTO3" s="29"/>
      <c r="LTP3" s="29"/>
      <c r="LTQ3" s="29"/>
      <c r="LTR3" s="29"/>
      <c r="LTS3" s="29"/>
      <c r="LTT3" s="29"/>
      <c r="LTU3" s="29"/>
      <c r="LTV3" s="29"/>
      <c r="LTW3" s="29"/>
      <c r="LTX3" s="29"/>
      <c r="LTY3" s="29"/>
      <c r="LTZ3" s="29"/>
      <c r="LUA3" s="29"/>
      <c r="LUB3" s="29"/>
      <c r="LUC3" s="29"/>
      <c r="LUD3" s="29"/>
      <c r="LUE3" s="29"/>
      <c r="LUF3" s="29"/>
      <c r="LUG3" s="29"/>
      <c r="LUH3" s="29"/>
      <c r="LUI3" s="29"/>
      <c r="LUJ3" s="29"/>
      <c r="LUK3" s="29"/>
      <c r="LUL3" s="29"/>
      <c r="LUM3" s="29"/>
      <c r="LUN3" s="29"/>
      <c r="LUO3" s="29"/>
      <c r="LUP3" s="29"/>
      <c r="LUQ3" s="29"/>
      <c r="LUR3" s="29"/>
      <c r="LUS3" s="29"/>
      <c r="LUT3" s="29"/>
      <c r="LUU3" s="29"/>
      <c r="LUV3" s="29"/>
      <c r="LUW3" s="29"/>
      <c r="LUX3" s="29"/>
      <c r="LUY3" s="29"/>
      <c r="LUZ3" s="29"/>
      <c r="LVA3" s="29"/>
      <c r="LVB3" s="29"/>
      <c r="LVC3" s="29"/>
      <c r="LVD3" s="29"/>
      <c r="LVE3" s="29"/>
      <c r="LVF3" s="29"/>
      <c r="LVG3" s="29"/>
      <c r="LVH3" s="29"/>
      <c r="LVI3" s="29"/>
      <c r="LVJ3" s="29"/>
      <c r="LVK3" s="29"/>
      <c r="LVL3" s="29"/>
      <c r="LVM3" s="29"/>
      <c r="LVN3" s="29"/>
      <c r="LVO3" s="29"/>
      <c r="LVP3" s="29"/>
      <c r="LVQ3" s="29"/>
      <c r="LVR3" s="29"/>
      <c r="LVS3" s="29"/>
      <c r="LVT3" s="29"/>
      <c r="LVU3" s="29"/>
      <c r="LVV3" s="29"/>
      <c r="LVW3" s="29"/>
      <c r="LVX3" s="29"/>
      <c r="LVY3" s="29"/>
      <c r="LVZ3" s="29"/>
      <c r="LWA3" s="29"/>
      <c r="LWB3" s="29"/>
      <c r="LWC3" s="29"/>
      <c r="LWD3" s="29"/>
      <c r="LWE3" s="29"/>
      <c r="LWF3" s="29"/>
      <c r="LWG3" s="29"/>
      <c r="LWH3" s="29"/>
      <c r="LWI3" s="29"/>
      <c r="LWJ3" s="29"/>
      <c r="LWK3" s="29"/>
      <c r="LWL3" s="29"/>
      <c r="LWM3" s="29"/>
      <c r="LWN3" s="29"/>
      <c r="LWO3" s="29"/>
      <c r="LWP3" s="29"/>
      <c r="LWQ3" s="29"/>
      <c r="LWR3" s="29"/>
      <c r="LWS3" s="29"/>
      <c r="LWT3" s="29"/>
      <c r="LWU3" s="29"/>
      <c r="LWV3" s="29"/>
      <c r="LWW3" s="29"/>
      <c r="LWX3" s="29"/>
      <c r="LWY3" s="29"/>
      <c r="LWZ3" s="29"/>
      <c r="LXA3" s="29"/>
      <c r="LXB3" s="29"/>
      <c r="LXC3" s="29"/>
      <c r="LXD3" s="29"/>
      <c r="LXE3" s="29"/>
      <c r="LXF3" s="29"/>
      <c r="LXG3" s="29"/>
      <c r="LXH3" s="29"/>
      <c r="LXI3" s="29"/>
      <c r="LXJ3" s="29"/>
      <c r="LXK3" s="29"/>
      <c r="LXL3" s="29"/>
      <c r="LXM3" s="29"/>
      <c r="LXN3" s="29"/>
      <c r="LXO3" s="29"/>
      <c r="LXP3" s="29"/>
      <c r="LXQ3" s="29"/>
      <c r="LXR3" s="29"/>
      <c r="LXS3" s="29"/>
      <c r="LXT3" s="29"/>
      <c r="LXU3" s="29"/>
      <c r="LXV3" s="29"/>
      <c r="LXW3" s="29"/>
      <c r="LXX3" s="29"/>
      <c r="LXY3" s="29"/>
      <c r="LXZ3" s="29"/>
      <c r="LYA3" s="29"/>
      <c r="LYB3" s="29"/>
      <c r="LYC3" s="29"/>
      <c r="LYD3" s="29"/>
      <c r="LYE3" s="29"/>
      <c r="LYF3" s="29"/>
      <c r="LYG3" s="29"/>
      <c r="LYH3" s="29"/>
      <c r="LYI3" s="29"/>
      <c r="LYJ3" s="29"/>
      <c r="LYK3" s="29"/>
      <c r="LYL3" s="29"/>
      <c r="LYM3" s="29"/>
      <c r="LYN3" s="29"/>
      <c r="LYO3" s="29"/>
      <c r="LYP3" s="29"/>
      <c r="LYQ3" s="29"/>
      <c r="LYR3" s="29"/>
      <c r="LYS3" s="29"/>
      <c r="LYT3" s="29"/>
      <c r="LYU3" s="29"/>
      <c r="LYV3" s="29"/>
      <c r="LYW3" s="29"/>
      <c r="LYX3" s="29"/>
      <c r="LYY3" s="29"/>
      <c r="LYZ3" s="29"/>
      <c r="LZA3" s="29"/>
      <c r="LZB3" s="29"/>
      <c r="LZC3" s="29"/>
      <c r="LZD3" s="29"/>
      <c r="LZE3" s="29"/>
      <c r="LZF3" s="29"/>
      <c r="LZG3" s="29"/>
      <c r="LZH3" s="29"/>
      <c r="LZI3" s="29"/>
      <c r="LZJ3" s="29"/>
      <c r="LZK3" s="29"/>
      <c r="LZL3" s="29"/>
      <c r="LZM3" s="29"/>
      <c r="LZN3" s="29"/>
      <c r="LZO3" s="29"/>
      <c r="LZP3" s="29"/>
      <c r="LZQ3" s="29"/>
      <c r="LZR3" s="29"/>
      <c r="LZS3" s="29"/>
      <c r="LZT3" s="29"/>
      <c r="LZU3" s="29"/>
      <c r="LZV3" s="29"/>
      <c r="LZW3" s="29"/>
      <c r="LZX3" s="29"/>
      <c r="LZY3" s="29"/>
      <c r="LZZ3" s="29"/>
      <c r="MAA3" s="29"/>
      <c r="MAB3" s="29"/>
      <c r="MAC3" s="29"/>
      <c r="MAD3" s="29"/>
      <c r="MAE3" s="29"/>
      <c r="MAF3" s="29"/>
      <c r="MAG3" s="29"/>
      <c r="MAH3" s="29"/>
      <c r="MAI3" s="29"/>
      <c r="MAJ3" s="29"/>
      <c r="MAK3" s="29"/>
      <c r="MAL3" s="29"/>
      <c r="MAM3" s="29"/>
      <c r="MAN3" s="29"/>
      <c r="MAO3" s="29"/>
      <c r="MAP3" s="29"/>
      <c r="MAQ3" s="29"/>
      <c r="MAR3" s="29"/>
      <c r="MAS3" s="29"/>
      <c r="MAT3" s="29"/>
      <c r="MAU3" s="29"/>
      <c r="MAV3" s="29"/>
      <c r="MAW3" s="29"/>
      <c r="MAX3" s="29"/>
      <c r="MAY3" s="29"/>
      <c r="MAZ3" s="29"/>
      <c r="MBA3" s="29"/>
      <c r="MBB3" s="29"/>
      <c r="MBC3" s="29"/>
      <c r="MBD3" s="29"/>
      <c r="MBE3" s="29"/>
      <c r="MBF3" s="29"/>
      <c r="MBG3" s="29"/>
      <c r="MBH3" s="29"/>
      <c r="MBI3" s="29"/>
      <c r="MBJ3" s="29"/>
      <c r="MBK3" s="29"/>
      <c r="MBL3" s="29"/>
      <c r="MBM3" s="29"/>
      <c r="MBN3" s="29"/>
      <c r="MBO3" s="29"/>
      <c r="MBP3" s="29"/>
      <c r="MBQ3" s="29"/>
      <c r="MBR3" s="29"/>
      <c r="MBS3" s="29"/>
      <c r="MBT3" s="29"/>
      <c r="MBU3" s="29"/>
      <c r="MBV3" s="29"/>
      <c r="MBW3" s="29"/>
      <c r="MBX3" s="29"/>
      <c r="MBY3" s="29"/>
      <c r="MBZ3" s="29"/>
      <c r="MCA3" s="29"/>
      <c r="MCB3" s="29"/>
      <c r="MCC3" s="29"/>
      <c r="MCD3" s="29"/>
      <c r="MCE3" s="29"/>
      <c r="MCF3" s="29"/>
      <c r="MCG3" s="29"/>
      <c r="MCH3" s="29"/>
      <c r="MCI3" s="29"/>
      <c r="MCJ3" s="29"/>
      <c r="MCK3" s="29"/>
      <c r="MCL3" s="29"/>
      <c r="MCM3" s="29"/>
      <c r="MCN3" s="29"/>
      <c r="MCO3" s="29"/>
      <c r="MCP3" s="29"/>
      <c r="MCQ3" s="29"/>
      <c r="MCR3" s="29"/>
      <c r="MCS3" s="29"/>
      <c r="MCT3" s="29"/>
      <c r="MCU3" s="29"/>
      <c r="MCV3" s="29"/>
      <c r="MCW3" s="29"/>
      <c r="MCX3" s="29"/>
      <c r="MCY3" s="29"/>
      <c r="MCZ3" s="29"/>
      <c r="MDA3" s="29"/>
      <c r="MDB3" s="29"/>
      <c r="MDC3" s="29"/>
      <c r="MDD3" s="29"/>
      <c r="MDE3" s="29"/>
      <c r="MDF3" s="29"/>
      <c r="MDG3" s="29"/>
      <c r="MDH3" s="29"/>
      <c r="MDI3" s="29"/>
      <c r="MDJ3" s="29"/>
      <c r="MDK3" s="29"/>
      <c r="MDL3" s="29"/>
      <c r="MDM3" s="29"/>
      <c r="MDN3" s="29"/>
      <c r="MDO3" s="29"/>
      <c r="MDP3" s="29"/>
      <c r="MDQ3" s="29"/>
      <c r="MDR3" s="29"/>
      <c r="MDS3" s="29"/>
      <c r="MDT3" s="29"/>
      <c r="MDU3" s="29"/>
      <c r="MDV3" s="29"/>
      <c r="MDW3" s="29"/>
      <c r="MDX3" s="29"/>
      <c r="MDY3" s="29"/>
      <c r="MDZ3" s="29"/>
      <c r="MEA3" s="29"/>
      <c r="MEB3" s="29"/>
      <c r="MEC3" s="29"/>
      <c r="MED3" s="29"/>
      <c r="MEE3" s="29"/>
      <c r="MEF3" s="29"/>
      <c r="MEG3" s="29"/>
      <c r="MEH3" s="29"/>
      <c r="MEI3" s="29"/>
      <c r="MEJ3" s="29"/>
      <c r="MEK3" s="29"/>
      <c r="MEL3" s="29"/>
      <c r="MEM3" s="29"/>
      <c r="MEN3" s="29"/>
      <c r="MEO3" s="29"/>
      <c r="MEP3" s="29"/>
      <c r="MEQ3" s="29"/>
      <c r="MER3" s="29"/>
      <c r="MES3" s="29"/>
      <c r="MET3" s="29"/>
      <c r="MEU3" s="29"/>
      <c r="MEV3" s="29"/>
      <c r="MEW3" s="29"/>
      <c r="MEX3" s="29"/>
      <c r="MEY3" s="29"/>
      <c r="MEZ3" s="29"/>
      <c r="MFA3" s="29"/>
      <c r="MFB3" s="29"/>
      <c r="MFC3" s="29"/>
      <c r="MFD3" s="29"/>
      <c r="MFE3" s="29"/>
      <c r="MFF3" s="29"/>
      <c r="MFG3" s="29"/>
      <c r="MFH3" s="29"/>
      <c r="MFI3" s="29"/>
      <c r="MFJ3" s="29"/>
      <c r="MFK3" s="29"/>
      <c r="MFL3" s="29"/>
      <c r="MFM3" s="29"/>
      <c r="MFN3" s="29"/>
      <c r="MFO3" s="29"/>
      <c r="MFP3" s="29"/>
      <c r="MFQ3" s="29"/>
      <c r="MFR3" s="29"/>
      <c r="MFS3" s="29"/>
      <c r="MFT3" s="29"/>
      <c r="MFU3" s="29"/>
      <c r="MFV3" s="29"/>
      <c r="MFW3" s="29"/>
      <c r="MFX3" s="29"/>
      <c r="MFY3" s="29"/>
      <c r="MFZ3" s="29"/>
      <c r="MGA3" s="29"/>
      <c r="MGB3" s="29"/>
      <c r="MGC3" s="29"/>
      <c r="MGD3" s="29"/>
      <c r="MGE3" s="29"/>
      <c r="MGF3" s="29"/>
      <c r="MGG3" s="29"/>
      <c r="MGH3" s="29"/>
      <c r="MGI3" s="29"/>
      <c r="MGJ3" s="29"/>
      <c r="MGK3" s="29"/>
      <c r="MGL3" s="29"/>
      <c r="MGM3" s="29"/>
      <c r="MGN3" s="29"/>
      <c r="MGO3" s="29"/>
      <c r="MGP3" s="29"/>
      <c r="MGQ3" s="29"/>
      <c r="MGR3" s="29"/>
      <c r="MGS3" s="29"/>
      <c r="MGT3" s="29"/>
      <c r="MGU3" s="29"/>
      <c r="MGV3" s="29"/>
      <c r="MGW3" s="29"/>
      <c r="MGX3" s="29"/>
      <c r="MGY3" s="29"/>
      <c r="MGZ3" s="29"/>
      <c r="MHA3" s="29"/>
      <c r="MHB3" s="29"/>
      <c r="MHC3" s="29"/>
      <c r="MHD3" s="29"/>
      <c r="MHE3" s="29"/>
      <c r="MHF3" s="29"/>
      <c r="MHG3" s="29"/>
      <c r="MHH3" s="29"/>
      <c r="MHI3" s="29"/>
      <c r="MHJ3" s="29"/>
      <c r="MHK3" s="29"/>
      <c r="MHL3" s="29"/>
      <c r="MHM3" s="29"/>
      <c r="MHN3" s="29"/>
      <c r="MHO3" s="29"/>
      <c r="MHP3" s="29"/>
      <c r="MHQ3" s="29"/>
      <c r="MHR3" s="29"/>
      <c r="MHS3" s="29"/>
      <c r="MHT3" s="29"/>
      <c r="MHU3" s="29"/>
      <c r="MHV3" s="29"/>
      <c r="MHW3" s="29"/>
      <c r="MHX3" s="29"/>
      <c r="MHY3" s="29"/>
      <c r="MHZ3" s="29"/>
      <c r="MIA3" s="29"/>
      <c r="MIB3" s="29"/>
      <c r="MIC3" s="29"/>
      <c r="MID3" s="29"/>
      <c r="MIE3" s="29"/>
      <c r="MIF3" s="29"/>
      <c r="MIG3" s="29"/>
      <c r="MIH3" s="29"/>
      <c r="MII3" s="29"/>
      <c r="MIJ3" s="29"/>
      <c r="MIK3" s="29"/>
      <c r="MIL3" s="29"/>
      <c r="MIM3" s="29"/>
      <c r="MIN3" s="29"/>
      <c r="MIO3" s="29"/>
      <c r="MIP3" s="29"/>
      <c r="MIQ3" s="29"/>
      <c r="MIR3" s="29"/>
      <c r="MIS3" s="29"/>
      <c r="MIT3" s="29"/>
      <c r="MIU3" s="29"/>
      <c r="MIV3" s="29"/>
      <c r="MIW3" s="29"/>
      <c r="MIX3" s="29"/>
      <c r="MIY3" s="29"/>
      <c r="MIZ3" s="29"/>
      <c r="MJA3" s="29"/>
      <c r="MJB3" s="29"/>
      <c r="MJC3" s="29"/>
      <c r="MJD3" s="29"/>
      <c r="MJE3" s="29"/>
      <c r="MJF3" s="29"/>
      <c r="MJG3" s="29"/>
      <c r="MJH3" s="29"/>
      <c r="MJI3" s="29"/>
      <c r="MJJ3" s="29"/>
      <c r="MJK3" s="29"/>
      <c r="MJL3" s="29"/>
      <c r="MJM3" s="29"/>
      <c r="MJN3" s="29"/>
      <c r="MJO3" s="29"/>
      <c r="MJP3" s="29"/>
      <c r="MJQ3" s="29"/>
      <c r="MJR3" s="29"/>
      <c r="MJS3" s="29"/>
      <c r="MJT3" s="29"/>
      <c r="MJU3" s="29"/>
      <c r="MJV3" s="29"/>
      <c r="MJW3" s="29"/>
      <c r="MJX3" s="29"/>
      <c r="MJY3" s="29"/>
      <c r="MJZ3" s="29"/>
      <c r="MKA3" s="29"/>
      <c r="MKB3" s="29"/>
      <c r="MKC3" s="29"/>
      <c r="MKD3" s="29"/>
      <c r="MKE3" s="29"/>
      <c r="MKF3" s="29"/>
      <c r="MKG3" s="29"/>
      <c r="MKH3" s="29"/>
      <c r="MKI3" s="29"/>
      <c r="MKJ3" s="29"/>
      <c r="MKK3" s="29"/>
      <c r="MKL3" s="29"/>
      <c r="MKM3" s="29"/>
      <c r="MKN3" s="29"/>
      <c r="MKO3" s="29"/>
      <c r="MKP3" s="29"/>
      <c r="MKQ3" s="29"/>
      <c r="MKR3" s="29"/>
      <c r="MKS3" s="29"/>
      <c r="MKT3" s="29"/>
      <c r="MKU3" s="29"/>
      <c r="MKV3" s="29"/>
      <c r="MKW3" s="29"/>
      <c r="MKX3" s="29"/>
      <c r="MKY3" s="29"/>
      <c r="MKZ3" s="29"/>
      <c r="MLA3" s="29"/>
      <c r="MLB3" s="29"/>
      <c r="MLC3" s="29"/>
      <c r="MLD3" s="29"/>
      <c r="MLE3" s="29"/>
      <c r="MLF3" s="29"/>
      <c r="MLG3" s="29"/>
      <c r="MLH3" s="29"/>
      <c r="MLI3" s="29"/>
      <c r="MLJ3" s="29"/>
      <c r="MLK3" s="29"/>
      <c r="MLL3" s="29"/>
      <c r="MLM3" s="29"/>
      <c r="MLN3" s="29"/>
      <c r="MLO3" s="29"/>
      <c r="MLP3" s="29"/>
      <c r="MLQ3" s="29"/>
      <c r="MLR3" s="29"/>
      <c r="MLS3" s="29"/>
      <c r="MLT3" s="29"/>
      <c r="MLU3" s="29"/>
      <c r="MLV3" s="29"/>
      <c r="MLW3" s="29"/>
      <c r="MLX3" s="29"/>
      <c r="MLY3" s="29"/>
      <c r="MLZ3" s="29"/>
      <c r="MMA3" s="29"/>
      <c r="MMB3" s="29"/>
      <c r="MMC3" s="29"/>
      <c r="MMD3" s="29"/>
      <c r="MME3" s="29"/>
      <c r="MMF3" s="29"/>
      <c r="MMG3" s="29"/>
      <c r="MMH3" s="29"/>
      <c r="MMI3" s="29"/>
      <c r="MMJ3" s="29"/>
      <c r="MMK3" s="29"/>
      <c r="MML3" s="29"/>
      <c r="MMM3" s="29"/>
      <c r="MMN3" s="29"/>
      <c r="MMO3" s="29"/>
      <c r="MMP3" s="29"/>
      <c r="MMQ3" s="29"/>
      <c r="MMR3" s="29"/>
      <c r="MMS3" s="29"/>
      <c r="MMT3" s="29"/>
      <c r="MMU3" s="29"/>
      <c r="MMV3" s="29"/>
      <c r="MMW3" s="29"/>
      <c r="MMX3" s="29"/>
      <c r="MMY3" s="29"/>
      <c r="MMZ3" s="29"/>
      <c r="MNA3" s="29"/>
      <c r="MNB3" s="29"/>
      <c r="MNC3" s="29"/>
      <c r="MND3" s="29"/>
      <c r="MNE3" s="29"/>
      <c r="MNF3" s="29"/>
      <c r="MNG3" s="29"/>
      <c r="MNH3" s="29"/>
      <c r="MNI3" s="29"/>
      <c r="MNJ3" s="29"/>
      <c r="MNK3" s="29"/>
      <c r="MNL3" s="29"/>
      <c r="MNM3" s="29"/>
      <c r="MNN3" s="29"/>
      <c r="MNO3" s="29"/>
      <c r="MNP3" s="29"/>
      <c r="MNQ3" s="29"/>
      <c r="MNR3" s="29"/>
      <c r="MNS3" s="29"/>
      <c r="MNT3" s="29"/>
      <c r="MNU3" s="29"/>
      <c r="MNV3" s="29"/>
      <c r="MNW3" s="29"/>
      <c r="MNX3" s="29"/>
      <c r="MNY3" s="29"/>
      <c r="MNZ3" s="29"/>
      <c r="MOA3" s="29"/>
      <c r="MOB3" s="29"/>
      <c r="MOC3" s="29"/>
      <c r="MOD3" s="29"/>
      <c r="MOE3" s="29"/>
      <c r="MOF3" s="29"/>
      <c r="MOG3" s="29"/>
      <c r="MOH3" s="29"/>
      <c r="MOI3" s="29"/>
      <c r="MOJ3" s="29"/>
      <c r="MOK3" s="29"/>
      <c r="MOL3" s="29"/>
      <c r="MOM3" s="29"/>
      <c r="MON3" s="29"/>
      <c r="MOO3" s="29"/>
      <c r="MOP3" s="29"/>
      <c r="MOQ3" s="29"/>
      <c r="MOR3" s="29"/>
      <c r="MOS3" s="29"/>
      <c r="MOT3" s="29"/>
      <c r="MOU3" s="29"/>
      <c r="MOV3" s="29"/>
      <c r="MOW3" s="29"/>
      <c r="MOX3" s="29"/>
      <c r="MOY3" s="29"/>
      <c r="MOZ3" s="29"/>
      <c r="MPA3" s="29"/>
      <c r="MPB3" s="29"/>
      <c r="MPC3" s="29"/>
      <c r="MPD3" s="29"/>
      <c r="MPE3" s="29"/>
      <c r="MPF3" s="29"/>
      <c r="MPG3" s="29"/>
      <c r="MPH3" s="29"/>
      <c r="MPI3" s="29"/>
      <c r="MPJ3" s="29"/>
      <c r="MPK3" s="29"/>
      <c r="MPL3" s="29"/>
      <c r="MPM3" s="29"/>
      <c r="MPN3" s="29"/>
      <c r="MPO3" s="29"/>
      <c r="MPP3" s="29"/>
      <c r="MPQ3" s="29"/>
      <c r="MPR3" s="29"/>
      <c r="MPS3" s="29"/>
      <c r="MPT3" s="29"/>
      <c r="MPU3" s="29"/>
      <c r="MPV3" s="29"/>
      <c r="MPW3" s="29"/>
      <c r="MPX3" s="29"/>
      <c r="MPY3" s="29"/>
      <c r="MPZ3" s="29"/>
      <c r="MQA3" s="29"/>
      <c r="MQB3" s="29"/>
      <c r="MQC3" s="29"/>
      <c r="MQD3" s="29"/>
      <c r="MQE3" s="29"/>
      <c r="MQF3" s="29"/>
      <c r="MQG3" s="29"/>
      <c r="MQH3" s="29"/>
      <c r="MQI3" s="29"/>
      <c r="MQJ3" s="29"/>
      <c r="MQK3" s="29"/>
      <c r="MQL3" s="29"/>
      <c r="MQM3" s="29"/>
      <c r="MQN3" s="29"/>
      <c r="MQO3" s="29"/>
      <c r="MQP3" s="29"/>
      <c r="MQQ3" s="29"/>
      <c r="MQR3" s="29"/>
      <c r="MQS3" s="29"/>
      <c r="MQT3" s="29"/>
      <c r="MQU3" s="29"/>
      <c r="MQV3" s="29"/>
      <c r="MQW3" s="29"/>
      <c r="MQX3" s="29"/>
      <c r="MQY3" s="29"/>
      <c r="MQZ3" s="29"/>
      <c r="MRA3" s="29"/>
      <c r="MRB3" s="29"/>
      <c r="MRC3" s="29"/>
      <c r="MRD3" s="29"/>
      <c r="MRE3" s="29"/>
      <c r="MRF3" s="29"/>
      <c r="MRG3" s="29"/>
      <c r="MRH3" s="29"/>
      <c r="MRI3" s="29"/>
      <c r="MRJ3" s="29"/>
      <c r="MRK3" s="29"/>
      <c r="MRL3" s="29"/>
      <c r="MRM3" s="29"/>
      <c r="MRN3" s="29"/>
      <c r="MRO3" s="29"/>
      <c r="MRP3" s="29"/>
      <c r="MRQ3" s="29"/>
      <c r="MRR3" s="29"/>
      <c r="MRS3" s="29"/>
      <c r="MRT3" s="29"/>
      <c r="MRU3" s="29"/>
      <c r="MRV3" s="29"/>
      <c r="MRW3" s="29"/>
      <c r="MRX3" s="29"/>
      <c r="MRY3" s="29"/>
      <c r="MRZ3" s="29"/>
      <c r="MSA3" s="29"/>
      <c r="MSB3" s="29"/>
      <c r="MSC3" s="29"/>
      <c r="MSD3" s="29"/>
      <c r="MSE3" s="29"/>
      <c r="MSF3" s="29"/>
      <c r="MSG3" s="29"/>
      <c r="MSH3" s="29"/>
      <c r="MSI3" s="29"/>
      <c r="MSJ3" s="29"/>
      <c r="MSK3" s="29"/>
      <c r="MSL3" s="29"/>
      <c r="MSM3" s="29"/>
      <c r="MSN3" s="29"/>
      <c r="MSO3" s="29"/>
      <c r="MSP3" s="29"/>
      <c r="MSQ3" s="29"/>
      <c r="MSR3" s="29"/>
      <c r="MSS3" s="29"/>
      <c r="MST3" s="29"/>
      <c r="MSU3" s="29"/>
      <c r="MSV3" s="29"/>
      <c r="MSW3" s="29"/>
      <c r="MSX3" s="29"/>
      <c r="MSY3" s="29"/>
      <c r="MSZ3" s="29"/>
      <c r="MTA3" s="29"/>
      <c r="MTB3" s="29"/>
      <c r="MTC3" s="29"/>
      <c r="MTD3" s="29"/>
      <c r="MTE3" s="29"/>
      <c r="MTF3" s="29"/>
      <c r="MTG3" s="29"/>
      <c r="MTH3" s="29"/>
      <c r="MTI3" s="29"/>
      <c r="MTJ3" s="29"/>
      <c r="MTK3" s="29"/>
      <c r="MTL3" s="29"/>
      <c r="MTM3" s="29"/>
      <c r="MTN3" s="29"/>
      <c r="MTO3" s="29"/>
      <c r="MTP3" s="29"/>
      <c r="MTQ3" s="29"/>
      <c r="MTR3" s="29"/>
      <c r="MTS3" s="29"/>
      <c r="MTT3" s="29"/>
      <c r="MTU3" s="29"/>
      <c r="MTV3" s="29"/>
      <c r="MTW3" s="29"/>
      <c r="MTX3" s="29"/>
      <c r="MTY3" s="29"/>
      <c r="MTZ3" s="29"/>
      <c r="MUA3" s="29"/>
      <c r="MUB3" s="29"/>
      <c r="MUC3" s="29"/>
      <c r="MUD3" s="29"/>
      <c r="MUE3" s="29"/>
      <c r="MUF3" s="29"/>
      <c r="MUG3" s="29"/>
      <c r="MUH3" s="29"/>
      <c r="MUI3" s="29"/>
      <c r="MUJ3" s="29"/>
      <c r="MUK3" s="29"/>
      <c r="MUL3" s="29"/>
      <c r="MUM3" s="29"/>
      <c r="MUN3" s="29"/>
      <c r="MUO3" s="29"/>
      <c r="MUP3" s="29"/>
      <c r="MUQ3" s="29"/>
      <c r="MUR3" s="29"/>
      <c r="MUS3" s="29"/>
      <c r="MUT3" s="29"/>
      <c r="MUU3" s="29"/>
      <c r="MUV3" s="29"/>
      <c r="MUW3" s="29"/>
      <c r="MUX3" s="29"/>
      <c r="MUY3" s="29"/>
      <c r="MUZ3" s="29"/>
      <c r="MVA3" s="29"/>
      <c r="MVB3" s="29"/>
      <c r="MVC3" s="29"/>
      <c r="MVD3" s="29"/>
      <c r="MVE3" s="29"/>
      <c r="MVF3" s="29"/>
      <c r="MVG3" s="29"/>
      <c r="MVH3" s="29"/>
      <c r="MVI3" s="29"/>
      <c r="MVJ3" s="29"/>
      <c r="MVK3" s="29"/>
      <c r="MVL3" s="29"/>
      <c r="MVM3" s="29"/>
      <c r="MVN3" s="29"/>
      <c r="MVO3" s="29"/>
      <c r="MVP3" s="29"/>
      <c r="MVQ3" s="29"/>
      <c r="MVR3" s="29"/>
      <c r="MVS3" s="29"/>
      <c r="MVT3" s="29"/>
      <c r="MVU3" s="29"/>
      <c r="MVV3" s="29"/>
      <c r="MVW3" s="29"/>
      <c r="MVX3" s="29"/>
      <c r="MVY3" s="29"/>
      <c r="MVZ3" s="29"/>
      <c r="MWA3" s="29"/>
      <c r="MWB3" s="29"/>
      <c r="MWC3" s="29"/>
      <c r="MWD3" s="29"/>
      <c r="MWE3" s="29"/>
      <c r="MWF3" s="29"/>
      <c r="MWG3" s="29"/>
      <c r="MWH3" s="29"/>
      <c r="MWI3" s="29"/>
      <c r="MWJ3" s="29"/>
      <c r="MWK3" s="29"/>
      <c r="MWL3" s="29"/>
      <c r="MWM3" s="29"/>
      <c r="MWN3" s="29"/>
      <c r="MWO3" s="29"/>
      <c r="MWP3" s="29"/>
      <c r="MWQ3" s="29"/>
      <c r="MWR3" s="29"/>
      <c r="MWS3" s="29"/>
      <c r="MWT3" s="29"/>
      <c r="MWU3" s="29"/>
      <c r="MWV3" s="29"/>
      <c r="MWW3" s="29"/>
      <c r="MWX3" s="29"/>
      <c r="MWY3" s="29"/>
      <c r="MWZ3" s="29"/>
      <c r="MXA3" s="29"/>
      <c r="MXB3" s="29"/>
      <c r="MXC3" s="29"/>
      <c r="MXD3" s="29"/>
      <c r="MXE3" s="29"/>
      <c r="MXF3" s="29"/>
      <c r="MXG3" s="29"/>
      <c r="MXH3" s="29"/>
      <c r="MXI3" s="29"/>
      <c r="MXJ3" s="29"/>
      <c r="MXK3" s="29"/>
      <c r="MXL3" s="29"/>
      <c r="MXM3" s="29"/>
      <c r="MXN3" s="29"/>
      <c r="MXO3" s="29"/>
      <c r="MXP3" s="29"/>
      <c r="MXQ3" s="29"/>
      <c r="MXR3" s="29"/>
      <c r="MXS3" s="29"/>
      <c r="MXT3" s="29"/>
      <c r="MXU3" s="29"/>
      <c r="MXV3" s="29"/>
      <c r="MXW3" s="29"/>
      <c r="MXX3" s="29"/>
      <c r="MXY3" s="29"/>
      <c r="MXZ3" s="29"/>
      <c r="MYA3" s="29"/>
      <c r="MYB3" s="29"/>
      <c r="MYC3" s="29"/>
      <c r="MYD3" s="29"/>
      <c r="MYE3" s="29"/>
      <c r="MYF3" s="29"/>
      <c r="MYG3" s="29"/>
      <c r="MYH3" s="29"/>
      <c r="MYI3" s="29"/>
      <c r="MYJ3" s="29"/>
      <c r="MYK3" s="29"/>
      <c r="MYL3" s="29"/>
      <c r="MYM3" s="29"/>
      <c r="MYN3" s="29"/>
      <c r="MYO3" s="29"/>
      <c r="MYP3" s="29"/>
      <c r="MYQ3" s="29"/>
      <c r="MYR3" s="29"/>
      <c r="MYS3" s="29"/>
      <c r="MYT3" s="29"/>
      <c r="MYU3" s="29"/>
      <c r="MYV3" s="29"/>
      <c r="MYW3" s="29"/>
      <c r="MYX3" s="29"/>
      <c r="MYY3" s="29"/>
      <c r="MYZ3" s="29"/>
      <c r="MZA3" s="29"/>
      <c r="MZB3" s="29"/>
      <c r="MZC3" s="29"/>
      <c r="MZD3" s="29"/>
      <c r="MZE3" s="29"/>
      <c r="MZF3" s="29"/>
      <c r="MZG3" s="29"/>
      <c r="MZH3" s="29"/>
      <c r="MZI3" s="29"/>
      <c r="MZJ3" s="29"/>
      <c r="MZK3" s="29"/>
      <c r="MZL3" s="29"/>
      <c r="MZM3" s="29"/>
      <c r="MZN3" s="29"/>
      <c r="MZO3" s="29"/>
      <c r="MZP3" s="29"/>
      <c r="MZQ3" s="29"/>
      <c r="MZR3" s="29"/>
      <c r="MZS3" s="29"/>
      <c r="MZT3" s="29"/>
      <c r="MZU3" s="29"/>
      <c r="MZV3" s="29"/>
      <c r="MZW3" s="29"/>
      <c r="MZX3" s="29"/>
      <c r="MZY3" s="29"/>
      <c r="MZZ3" s="29"/>
      <c r="NAA3" s="29"/>
      <c r="NAB3" s="29"/>
      <c r="NAC3" s="29"/>
      <c r="NAD3" s="29"/>
      <c r="NAE3" s="29"/>
      <c r="NAF3" s="29"/>
      <c r="NAG3" s="29"/>
      <c r="NAH3" s="29"/>
      <c r="NAI3" s="29"/>
      <c r="NAJ3" s="29"/>
      <c r="NAK3" s="29"/>
      <c r="NAL3" s="29"/>
      <c r="NAM3" s="29"/>
      <c r="NAN3" s="29"/>
      <c r="NAO3" s="29"/>
      <c r="NAP3" s="29"/>
      <c r="NAQ3" s="29"/>
      <c r="NAR3" s="29"/>
      <c r="NAS3" s="29"/>
      <c r="NAT3" s="29"/>
      <c r="NAU3" s="29"/>
      <c r="NAV3" s="29"/>
      <c r="NAW3" s="29"/>
      <c r="NAX3" s="29"/>
      <c r="NAY3" s="29"/>
      <c r="NAZ3" s="29"/>
      <c r="NBA3" s="29"/>
      <c r="NBB3" s="29"/>
      <c r="NBC3" s="29"/>
      <c r="NBD3" s="29"/>
      <c r="NBE3" s="29"/>
      <c r="NBF3" s="29"/>
      <c r="NBG3" s="29"/>
      <c r="NBH3" s="29"/>
      <c r="NBI3" s="29"/>
      <c r="NBJ3" s="29"/>
      <c r="NBK3" s="29"/>
      <c r="NBL3" s="29"/>
      <c r="NBM3" s="29"/>
      <c r="NBN3" s="29"/>
      <c r="NBO3" s="29"/>
      <c r="NBP3" s="29"/>
      <c r="NBQ3" s="29"/>
      <c r="NBR3" s="29"/>
      <c r="NBS3" s="29"/>
      <c r="NBT3" s="29"/>
      <c r="NBU3" s="29"/>
      <c r="NBV3" s="29"/>
      <c r="NBW3" s="29"/>
      <c r="NBX3" s="29"/>
      <c r="NBY3" s="29"/>
      <c r="NBZ3" s="29"/>
      <c r="NCA3" s="29"/>
      <c r="NCB3" s="29"/>
      <c r="NCC3" s="29"/>
      <c r="NCD3" s="29"/>
      <c r="NCE3" s="29"/>
      <c r="NCF3" s="29"/>
      <c r="NCG3" s="29"/>
      <c r="NCH3" s="29"/>
      <c r="NCI3" s="29"/>
      <c r="NCJ3" s="29"/>
      <c r="NCK3" s="29"/>
      <c r="NCL3" s="29"/>
      <c r="NCM3" s="29"/>
      <c r="NCN3" s="29"/>
      <c r="NCO3" s="29"/>
      <c r="NCP3" s="29"/>
      <c r="NCQ3" s="29"/>
      <c r="NCR3" s="29"/>
      <c r="NCS3" s="29"/>
      <c r="NCT3" s="29"/>
      <c r="NCU3" s="29"/>
      <c r="NCV3" s="29"/>
      <c r="NCW3" s="29"/>
      <c r="NCX3" s="29"/>
      <c r="NCY3" s="29"/>
      <c r="NCZ3" s="29"/>
      <c r="NDA3" s="29"/>
      <c r="NDB3" s="29"/>
      <c r="NDC3" s="29"/>
      <c r="NDD3" s="29"/>
      <c r="NDE3" s="29"/>
      <c r="NDF3" s="29"/>
      <c r="NDG3" s="29"/>
      <c r="NDH3" s="29"/>
      <c r="NDI3" s="29"/>
      <c r="NDJ3" s="29"/>
      <c r="NDK3" s="29"/>
      <c r="NDL3" s="29"/>
      <c r="NDM3" s="29"/>
      <c r="NDN3" s="29"/>
      <c r="NDO3" s="29"/>
      <c r="NDP3" s="29"/>
      <c r="NDQ3" s="29"/>
      <c r="NDR3" s="29"/>
      <c r="NDS3" s="29"/>
      <c r="NDT3" s="29"/>
      <c r="NDU3" s="29"/>
      <c r="NDV3" s="29"/>
      <c r="NDW3" s="29"/>
      <c r="NDX3" s="29"/>
      <c r="NDY3" s="29"/>
      <c r="NDZ3" s="29"/>
      <c r="NEA3" s="29"/>
      <c r="NEB3" s="29"/>
      <c r="NEC3" s="29"/>
      <c r="NED3" s="29"/>
      <c r="NEE3" s="29"/>
      <c r="NEF3" s="29"/>
      <c r="NEG3" s="29"/>
      <c r="NEH3" s="29"/>
      <c r="NEI3" s="29"/>
      <c r="NEJ3" s="29"/>
      <c r="NEK3" s="29"/>
      <c r="NEL3" s="29"/>
      <c r="NEM3" s="29"/>
      <c r="NEN3" s="29"/>
      <c r="NEO3" s="29"/>
      <c r="NEP3" s="29"/>
      <c r="NEQ3" s="29"/>
      <c r="NER3" s="29"/>
      <c r="NES3" s="29"/>
      <c r="NET3" s="29"/>
      <c r="NEU3" s="29"/>
      <c r="NEV3" s="29"/>
      <c r="NEW3" s="29"/>
      <c r="NEX3" s="29"/>
      <c r="NEY3" s="29"/>
      <c r="NEZ3" s="29"/>
      <c r="NFA3" s="29"/>
      <c r="NFB3" s="29"/>
      <c r="NFC3" s="29"/>
      <c r="NFD3" s="29"/>
      <c r="NFE3" s="29"/>
      <c r="NFF3" s="29"/>
      <c r="NFG3" s="29"/>
      <c r="NFH3" s="29"/>
      <c r="NFI3" s="29"/>
      <c r="NFJ3" s="29"/>
      <c r="NFK3" s="29"/>
      <c r="NFL3" s="29"/>
      <c r="NFM3" s="29"/>
      <c r="NFN3" s="29"/>
      <c r="NFO3" s="29"/>
      <c r="NFP3" s="29"/>
      <c r="NFQ3" s="29"/>
      <c r="NFR3" s="29"/>
      <c r="NFS3" s="29"/>
      <c r="NFT3" s="29"/>
      <c r="NFU3" s="29"/>
      <c r="NFV3" s="29"/>
      <c r="NFW3" s="29"/>
      <c r="NFX3" s="29"/>
      <c r="NFY3" s="29"/>
      <c r="NFZ3" s="29"/>
      <c r="NGA3" s="29"/>
      <c r="NGB3" s="29"/>
      <c r="NGC3" s="29"/>
      <c r="NGD3" s="29"/>
      <c r="NGE3" s="29"/>
      <c r="NGF3" s="29"/>
      <c r="NGG3" s="29"/>
      <c r="NGH3" s="29"/>
      <c r="NGI3" s="29"/>
      <c r="NGJ3" s="29"/>
      <c r="NGK3" s="29"/>
      <c r="NGL3" s="29"/>
      <c r="NGM3" s="29"/>
      <c r="NGN3" s="29"/>
      <c r="NGO3" s="29"/>
      <c r="NGP3" s="29"/>
      <c r="NGQ3" s="29"/>
      <c r="NGR3" s="29"/>
      <c r="NGS3" s="29"/>
      <c r="NGT3" s="29"/>
      <c r="NGU3" s="29"/>
      <c r="NGV3" s="29"/>
      <c r="NGW3" s="29"/>
      <c r="NGX3" s="29"/>
      <c r="NGY3" s="29"/>
      <c r="NGZ3" s="29"/>
      <c r="NHA3" s="29"/>
      <c r="NHB3" s="29"/>
      <c r="NHC3" s="29"/>
      <c r="NHD3" s="29"/>
      <c r="NHE3" s="29"/>
      <c r="NHF3" s="29"/>
      <c r="NHG3" s="29"/>
      <c r="NHH3" s="29"/>
      <c r="NHI3" s="29"/>
      <c r="NHJ3" s="29"/>
      <c r="NHK3" s="29"/>
      <c r="NHL3" s="29"/>
      <c r="NHM3" s="29"/>
      <c r="NHN3" s="29"/>
      <c r="NHO3" s="29"/>
      <c r="NHP3" s="29"/>
      <c r="NHQ3" s="29"/>
      <c r="NHR3" s="29"/>
      <c r="NHS3" s="29"/>
      <c r="NHT3" s="29"/>
      <c r="NHU3" s="29"/>
      <c r="NHV3" s="29"/>
      <c r="NHW3" s="29"/>
      <c r="NHX3" s="29"/>
      <c r="NHY3" s="29"/>
      <c r="NHZ3" s="29"/>
      <c r="NIA3" s="29"/>
      <c r="NIB3" s="29"/>
      <c r="NIC3" s="29"/>
      <c r="NID3" s="29"/>
      <c r="NIE3" s="29"/>
      <c r="NIF3" s="29"/>
      <c r="NIG3" s="29"/>
      <c r="NIH3" s="29"/>
      <c r="NII3" s="29"/>
      <c r="NIJ3" s="29"/>
      <c r="NIK3" s="29"/>
      <c r="NIL3" s="29"/>
      <c r="NIM3" s="29"/>
      <c r="NIN3" s="29"/>
      <c r="NIO3" s="29"/>
      <c r="NIP3" s="29"/>
      <c r="NIQ3" s="29"/>
      <c r="NIR3" s="29"/>
      <c r="NIS3" s="29"/>
      <c r="NIT3" s="29"/>
      <c r="NIU3" s="29"/>
      <c r="NIV3" s="29"/>
      <c r="NIW3" s="29"/>
      <c r="NIX3" s="29"/>
      <c r="NIY3" s="29"/>
      <c r="NIZ3" s="29"/>
      <c r="NJA3" s="29"/>
      <c r="NJB3" s="29"/>
      <c r="NJC3" s="29"/>
      <c r="NJD3" s="29"/>
      <c r="NJE3" s="29"/>
      <c r="NJF3" s="29"/>
      <c r="NJG3" s="29"/>
      <c r="NJH3" s="29"/>
      <c r="NJI3" s="29"/>
      <c r="NJJ3" s="29"/>
      <c r="NJK3" s="29"/>
      <c r="NJL3" s="29"/>
      <c r="NJM3" s="29"/>
      <c r="NJN3" s="29"/>
      <c r="NJO3" s="29"/>
      <c r="NJP3" s="29"/>
      <c r="NJQ3" s="29"/>
      <c r="NJR3" s="29"/>
      <c r="NJS3" s="29"/>
      <c r="NJT3" s="29"/>
      <c r="NJU3" s="29"/>
      <c r="NJV3" s="29"/>
      <c r="NJW3" s="29"/>
      <c r="NJX3" s="29"/>
      <c r="NJY3" s="29"/>
      <c r="NJZ3" s="29"/>
      <c r="NKA3" s="29"/>
      <c r="NKB3" s="29"/>
      <c r="NKC3" s="29"/>
      <c r="NKD3" s="29"/>
      <c r="NKE3" s="29"/>
      <c r="NKF3" s="29"/>
      <c r="NKG3" s="29"/>
      <c r="NKH3" s="29"/>
      <c r="NKI3" s="29"/>
      <c r="NKJ3" s="29"/>
      <c r="NKK3" s="29"/>
      <c r="NKL3" s="29"/>
      <c r="NKM3" s="29"/>
      <c r="NKN3" s="29"/>
      <c r="NKO3" s="29"/>
      <c r="NKP3" s="29"/>
      <c r="NKQ3" s="29"/>
      <c r="NKR3" s="29"/>
      <c r="NKS3" s="29"/>
      <c r="NKT3" s="29"/>
      <c r="NKU3" s="29"/>
      <c r="NKV3" s="29"/>
      <c r="NKW3" s="29"/>
      <c r="NKX3" s="29"/>
      <c r="NKY3" s="29"/>
      <c r="NKZ3" s="29"/>
      <c r="NLA3" s="29"/>
      <c r="NLB3" s="29"/>
      <c r="NLC3" s="29"/>
      <c r="NLD3" s="29"/>
      <c r="NLE3" s="29"/>
      <c r="NLF3" s="29"/>
      <c r="NLG3" s="29"/>
      <c r="NLH3" s="29"/>
      <c r="NLI3" s="29"/>
      <c r="NLJ3" s="29"/>
      <c r="NLK3" s="29"/>
      <c r="NLL3" s="29"/>
      <c r="NLM3" s="29"/>
      <c r="NLN3" s="29"/>
      <c r="NLO3" s="29"/>
      <c r="NLP3" s="29"/>
      <c r="NLQ3" s="29"/>
      <c r="NLR3" s="29"/>
      <c r="NLS3" s="29"/>
      <c r="NLT3" s="29"/>
      <c r="NLU3" s="29"/>
      <c r="NLV3" s="29"/>
      <c r="NLW3" s="29"/>
      <c r="NLX3" s="29"/>
      <c r="NLY3" s="29"/>
      <c r="NLZ3" s="29"/>
      <c r="NMA3" s="29"/>
      <c r="NMB3" s="29"/>
      <c r="NMC3" s="29"/>
      <c r="NMD3" s="29"/>
      <c r="NME3" s="29"/>
      <c r="NMF3" s="29"/>
      <c r="NMG3" s="29"/>
      <c r="NMH3" s="29"/>
      <c r="NMI3" s="29"/>
      <c r="NMJ3" s="29"/>
      <c r="NMK3" s="29"/>
      <c r="NML3" s="29"/>
      <c r="NMM3" s="29"/>
      <c r="NMN3" s="29"/>
      <c r="NMO3" s="29"/>
      <c r="NMP3" s="29"/>
      <c r="NMQ3" s="29"/>
      <c r="NMR3" s="29"/>
      <c r="NMS3" s="29"/>
      <c r="NMT3" s="29"/>
      <c r="NMU3" s="29"/>
      <c r="NMV3" s="29"/>
      <c r="NMW3" s="29"/>
      <c r="NMX3" s="29"/>
      <c r="NMY3" s="29"/>
      <c r="NMZ3" s="29"/>
      <c r="NNA3" s="29"/>
      <c r="NNB3" s="29"/>
      <c r="NNC3" s="29"/>
      <c r="NND3" s="29"/>
      <c r="NNE3" s="29"/>
      <c r="NNF3" s="29"/>
      <c r="NNG3" s="29"/>
      <c r="NNH3" s="29"/>
      <c r="NNI3" s="29"/>
      <c r="NNJ3" s="29"/>
      <c r="NNK3" s="29"/>
      <c r="NNL3" s="29"/>
      <c r="NNM3" s="29"/>
      <c r="NNN3" s="29"/>
      <c r="NNO3" s="29"/>
      <c r="NNP3" s="29"/>
      <c r="NNQ3" s="29"/>
      <c r="NNR3" s="29"/>
      <c r="NNS3" s="29"/>
      <c r="NNT3" s="29"/>
      <c r="NNU3" s="29"/>
      <c r="NNV3" s="29"/>
      <c r="NNW3" s="29"/>
      <c r="NNX3" s="29"/>
      <c r="NNY3" s="29"/>
      <c r="NNZ3" s="29"/>
      <c r="NOA3" s="29"/>
      <c r="NOB3" s="29"/>
      <c r="NOC3" s="29"/>
      <c r="NOD3" s="29"/>
      <c r="NOE3" s="29"/>
      <c r="NOF3" s="29"/>
      <c r="NOG3" s="29"/>
      <c r="NOH3" s="29"/>
      <c r="NOI3" s="29"/>
      <c r="NOJ3" s="29"/>
      <c r="NOK3" s="29"/>
      <c r="NOL3" s="29"/>
      <c r="NOM3" s="29"/>
      <c r="NON3" s="29"/>
      <c r="NOO3" s="29"/>
      <c r="NOP3" s="29"/>
      <c r="NOQ3" s="29"/>
      <c r="NOR3" s="29"/>
      <c r="NOS3" s="29"/>
      <c r="NOT3" s="29"/>
      <c r="NOU3" s="29"/>
      <c r="NOV3" s="29"/>
      <c r="NOW3" s="29"/>
      <c r="NOX3" s="29"/>
      <c r="NOY3" s="29"/>
      <c r="NOZ3" s="29"/>
      <c r="NPA3" s="29"/>
      <c r="NPB3" s="29"/>
      <c r="NPC3" s="29"/>
      <c r="NPD3" s="29"/>
      <c r="NPE3" s="29"/>
      <c r="NPF3" s="29"/>
      <c r="NPG3" s="29"/>
      <c r="NPH3" s="29"/>
      <c r="NPI3" s="29"/>
      <c r="NPJ3" s="29"/>
      <c r="NPK3" s="29"/>
      <c r="NPL3" s="29"/>
      <c r="NPM3" s="29"/>
      <c r="NPN3" s="29"/>
      <c r="NPO3" s="29"/>
      <c r="NPP3" s="29"/>
      <c r="NPQ3" s="29"/>
      <c r="NPR3" s="29"/>
      <c r="NPS3" s="29"/>
      <c r="NPT3" s="29"/>
      <c r="NPU3" s="29"/>
      <c r="NPV3" s="29"/>
      <c r="NPW3" s="29"/>
      <c r="NPX3" s="29"/>
      <c r="NPY3" s="29"/>
      <c r="NPZ3" s="29"/>
      <c r="NQA3" s="29"/>
      <c r="NQB3" s="29"/>
      <c r="NQC3" s="29"/>
      <c r="NQD3" s="29"/>
      <c r="NQE3" s="29"/>
      <c r="NQF3" s="29"/>
      <c r="NQG3" s="29"/>
      <c r="NQH3" s="29"/>
      <c r="NQI3" s="29"/>
      <c r="NQJ3" s="29"/>
      <c r="NQK3" s="29"/>
      <c r="NQL3" s="29"/>
      <c r="NQM3" s="29"/>
      <c r="NQN3" s="29"/>
      <c r="NQO3" s="29"/>
      <c r="NQP3" s="29"/>
      <c r="NQQ3" s="29"/>
      <c r="NQR3" s="29"/>
      <c r="NQS3" s="29"/>
      <c r="NQT3" s="29"/>
      <c r="NQU3" s="29"/>
      <c r="NQV3" s="29"/>
      <c r="NQW3" s="29"/>
      <c r="NQX3" s="29"/>
      <c r="NQY3" s="29"/>
      <c r="NQZ3" s="29"/>
      <c r="NRA3" s="29"/>
      <c r="NRB3" s="29"/>
      <c r="NRC3" s="29"/>
      <c r="NRD3" s="29"/>
      <c r="NRE3" s="29"/>
      <c r="NRF3" s="29"/>
      <c r="NRG3" s="29"/>
      <c r="NRH3" s="29"/>
      <c r="NRI3" s="29"/>
      <c r="NRJ3" s="29"/>
      <c r="NRK3" s="29"/>
      <c r="NRL3" s="29"/>
      <c r="NRM3" s="29"/>
      <c r="NRN3" s="29"/>
      <c r="NRO3" s="29"/>
      <c r="NRP3" s="29"/>
      <c r="NRQ3" s="29"/>
      <c r="NRR3" s="29"/>
      <c r="NRS3" s="29"/>
      <c r="NRT3" s="29"/>
      <c r="NRU3" s="29"/>
      <c r="NRV3" s="29"/>
      <c r="NRW3" s="29"/>
      <c r="NRX3" s="29"/>
      <c r="NRY3" s="29"/>
      <c r="NRZ3" s="29"/>
      <c r="NSA3" s="29"/>
      <c r="NSB3" s="29"/>
      <c r="NSC3" s="29"/>
      <c r="NSD3" s="29"/>
      <c r="NSE3" s="29"/>
      <c r="NSF3" s="29"/>
      <c r="NSG3" s="29"/>
      <c r="NSH3" s="29"/>
      <c r="NSI3" s="29"/>
      <c r="NSJ3" s="29"/>
      <c r="NSK3" s="29"/>
      <c r="NSL3" s="29"/>
      <c r="NSM3" s="29"/>
      <c r="NSN3" s="29"/>
      <c r="NSO3" s="29"/>
      <c r="NSP3" s="29"/>
      <c r="NSQ3" s="29"/>
      <c r="NSR3" s="29"/>
      <c r="NSS3" s="29"/>
      <c r="NST3" s="29"/>
      <c r="NSU3" s="29"/>
      <c r="NSV3" s="29"/>
      <c r="NSW3" s="29"/>
      <c r="NSX3" s="29"/>
      <c r="NSY3" s="29"/>
      <c r="NSZ3" s="29"/>
      <c r="NTA3" s="29"/>
      <c r="NTB3" s="29"/>
      <c r="NTC3" s="29"/>
      <c r="NTD3" s="29"/>
      <c r="NTE3" s="29"/>
      <c r="NTF3" s="29"/>
      <c r="NTG3" s="29"/>
      <c r="NTH3" s="29"/>
      <c r="NTI3" s="29"/>
      <c r="NTJ3" s="29"/>
      <c r="NTK3" s="29"/>
      <c r="NTL3" s="29"/>
      <c r="NTM3" s="29"/>
      <c r="NTN3" s="29"/>
      <c r="NTO3" s="29"/>
      <c r="NTP3" s="29"/>
      <c r="NTQ3" s="29"/>
      <c r="NTR3" s="29"/>
      <c r="NTS3" s="29"/>
      <c r="NTT3" s="29"/>
      <c r="NTU3" s="29"/>
      <c r="NTV3" s="29"/>
      <c r="NTW3" s="29"/>
      <c r="NTX3" s="29"/>
      <c r="NTY3" s="29"/>
      <c r="NTZ3" s="29"/>
      <c r="NUA3" s="29"/>
      <c r="NUB3" s="29"/>
      <c r="NUC3" s="29"/>
      <c r="NUD3" s="29"/>
      <c r="NUE3" s="29"/>
      <c r="NUF3" s="29"/>
      <c r="NUG3" s="29"/>
      <c r="NUH3" s="29"/>
      <c r="NUI3" s="29"/>
      <c r="NUJ3" s="29"/>
      <c r="NUK3" s="29"/>
      <c r="NUL3" s="29"/>
      <c r="NUM3" s="29"/>
      <c r="NUN3" s="29"/>
      <c r="NUO3" s="29"/>
      <c r="NUP3" s="29"/>
      <c r="NUQ3" s="29"/>
      <c r="NUR3" s="29"/>
      <c r="NUS3" s="29"/>
      <c r="NUT3" s="29"/>
      <c r="NUU3" s="29"/>
      <c r="NUV3" s="29"/>
      <c r="NUW3" s="29"/>
      <c r="NUX3" s="29"/>
      <c r="NUY3" s="29"/>
      <c r="NUZ3" s="29"/>
      <c r="NVA3" s="29"/>
      <c r="NVB3" s="29"/>
      <c r="NVC3" s="29"/>
      <c r="NVD3" s="29"/>
      <c r="NVE3" s="29"/>
      <c r="NVF3" s="29"/>
      <c r="NVG3" s="29"/>
      <c r="NVH3" s="29"/>
      <c r="NVI3" s="29"/>
      <c r="NVJ3" s="29"/>
      <c r="NVK3" s="29"/>
      <c r="NVL3" s="29"/>
      <c r="NVM3" s="29"/>
      <c r="NVN3" s="29"/>
      <c r="NVO3" s="29"/>
      <c r="NVP3" s="29"/>
      <c r="NVQ3" s="29"/>
      <c r="NVR3" s="29"/>
      <c r="NVS3" s="29"/>
      <c r="NVT3" s="29"/>
      <c r="NVU3" s="29"/>
      <c r="NVV3" s="29"/>
      <c r="NVW3" s="29"/>
      <c r="NVX3" s="29"/>
      <c r="NVY3" s="29"/>
      <c r="NVZ3" s="29"/>
      <c r="NWA3" s="29"/>
      <c r="NWB3" s="29"/>
      <c r="NWC3" s="29"/>
      <c r="NWD3" s="29"/>
      <c r="NWE3" s="29"/>
      <c r="NWF3" s="29"/>
      <c r="NWG3" s="29"/>
      <c r="NWH3" s="29"/>
      <c r="NWI3" s="29"/>
      <c r="NWJ3" s="29"/>
      <c r="NWK3" s="29"/>
      <c r="NWL3" s="29"/>
      <c r="NWM3" s="29"/>
      <c r="NWN3" s="29"/>
      <c r="NWO3" s="29"/>
      <c r="NWP3" s="29"/>
      <c r="NWQ3" s="29"/>
      <c r="NWR3" s="29"/>
      <c r="NWS3" s="29"/>
      <c r="NWT3" s="29"/>
      <c r="NWU3" s="29"/>
      <c r="NWV3" s="29"/>
      <c r="NWW3" s="29"/>
      <c r="NWX3" s="29"/>
      <c r="NWY3" s="29"/>
      <c r="NWZ3" s="29"/>
      <c r="NXA3" s="29"/>
      <c r="NXB3" s="29"/>
      <c r="NXC3" s="29"/>
      <c r="NXD3" s="29"/>
      <c r="NXE3" s="29"/>
      <c r="NXF3" s="29"/>
      <c r="NXG3" s="29"/>
      <c r="NXH3" s="29"/>
      <c r="NXI3" s="29"/>
      <c r="NXJ3" s="29"/>
      <c r="NXK3" s="29"/>
      <c r="NXL3" s="29"/>
      <c r="NXM3" s="29"/>
      <c r="NXN3" s="29"/>
      <c r="NXO3" s="29"/>
      <c r="NXP3" s="29"/>
      <c r="NXQ3" s="29"/>
      <c r="NXR3" s="29"/>
      <c r="NXS3" s="29"/>
      <c r="NXT3" s="29"/>
      <c r="NXU3" s="29"/>
      <c r="NXV3" s="29"/>
      <c r="NXW3" s="29"/>
      <c r="NXX3" s="29"/>
      <c r="NXY3" s="29"/>
      <c r="NXZ3" s="29"/>
      <c r="NYA3" s="29"/>
      <c r="NYB3" s="29"/>
      <c r="NYC3" s="29"/>
      <c r="NYD3" s="29"/>
      <c r="NYE3" s="29"/>
      <c r="NYF3" s="29"/>
      <c r="NYG3" s="29"/>
      <c r="NYH3" s="29"/>
      <c r="NYI3" s="29"/>
      <c r="NYJ3" s="29"/>
      <c r="NYK3" s="29"/>
      <c r="NYL3" s="29"/>
      <c r="NYM3" s="29"/>
      <c r="NYN3" s="29"/>
      <c r="NYO3" s="29"/>
      <c r="NYP3" s="29"/>
      <c r="NYQ3" s="29"/>
      <c r="NYR3" s="29"/>
      <c r="NYS3" s="29"/>
      <c r="NYT3" s="29"/>
      <c r="NYU3" s="29"/>
      <c r="NYV3" s="29"/>
      <c r="NYW3" s="29"/>
      <c r="NYX3" s="29"/>
      <c r="NYY3" s="29"/>
      <c r="NYZ3" s="29"/>
      <c r="NZA3" s="29"/>
      <c r="NZB3" s="29"/>
      <c r="NZC3" s="29"/>
      <c r="NZD3" s="29"/>
      <c r="NZE3" s="29"/>
      <c r="NZF3" s="29"/>
      <c r="NZG3" s="29"/>
      <c r="NZH3" s="29"/>
      <c r="NZI3" s="29"/>
      <c r="NZJ3" s="29"/>
      <c r="NZK3" s="29"/>
      <c r="NZL3" s="29"/>
      <c r="NZM3" s="29"/>
      <c r="NZN3" s="29"/>
      <c r="NZO3" s="29"/>
      <c r="NZP3" s="29"/>
      <c r="NZQ3" s="29"/>
      <c r="NZR3" s="29"/>
      <c r="NZS3" s="29"/>
      <c r="NZT3" s="29"/>
      <c r="NZU3" s="29"/>
      <c r="NZV3" s="29"/>
      <c r="NZW3" s="29"/>
      <c r="NZX3" s="29"/>
      <c r="NZY3" s="29"/>
      <c r="NZZ3" s="29"/>
      <c r="OAA3" s="29"/>
      <c r="OAB3" s="29"/>
      <c r="OAC3" s="29"/>
      <c r="OAD3" s="29"/>
      <c r="OAE3" s="29"/>
      <c r="OAF3" s="29"/>
      <c r="OAG3" s="29"/>
      <c r="OAH3" s="29"/>
      <c r="OAI3" s="29"/>
      <c r="OAJ3" s="29"/>
      <c r="OAK3" s="29"/>
      <c r="OAL3" s="29"/>
      <c r="OAM3" s="29"/>
      <c r="OAN3" s="29"/>
      <c r="OAO3" s="29"/>
      <c r="OAP3" s="29"/>
      <c r="OAQ3" s="29"/>
      <c r="OAR3" s="29"/>
      <c r="OAS3" s="29"/>
      <c r="OAT3" s="29"/>
      <c r="OAU3" s="29"/>
      <c r="OAV3" s="29"/>
      <c r="OAW3" s="29"/>
      <c r="OAX3" s="29"/>
      <c r="OAY3" s="29"/>
      <c r="OAZ3" s="29"/>
      <c r="OBA3" s="29"/>
      <c r="OBB3" s="29"/>
      <c r="OBC3" s="29"/>
      <c r="OBD3" s="29"/>
      <c r="OBE3" s="29"/>
      <c r="OBF3" s="29"/>
      <c r="OBG3" s="29"/>
      <c r="OBH3" s="29"/>
      <c r="OBI3" s="29"/>
      <c r="OBJ3" s="29"/>
      <c r="OBK3" s="29"/>
      <c r="OBL3" s="29"/>
      <c r="OBM3" s="29"/>
      <c r="OBN3" s="29"/>
      <c r="OBO3" s="29"/>
      <c r="OBP3" s="29"/>
      <c r="OBQ3" s="29"/>
      <c r="OBR3" s="29"/>
      <c r="OBS3" s="29"/>
      <c r="OBT3" s="29"/>
      <c r="OBU3" s="29"/>
      <c r="OBV3" s="29"/>
      <c r="OBW3" s="29"/>
      <c r="OBX3" s="29"/>
      <c r="OBY3" s="29"/>
      <c r="OBZ3" s="29"/>
      <c r="OCA3" s="29"/>
      <c r="OCB3" s="29"/>
      <c r="OCC3" s="29"/>
      <c r="OCD3" s="29"/>
      <c r="OCE3" s="29"/>
      <c r="OCF3" s="29"/>
      <c r="OCG3" s="29"/>
      <c r="OCH3" s="29"/>
      <c r="OCI3" s="29"/>
      <c r="OCJ3" s="29"/>
      <c r="OCK3" s="29"/>
      <c r="OCL3" s="29"/>
      <c r="OCM3" s="29"/>
      <c r="OCN3" s="29"/>
      <c r="OCO3" s="29"/>
      <c r="OCP3" s="29"/>
      <c r="OCQ3" s="29"/>
      <c r="OCR3" s="29"/>
      <c r="OCS3" s="29"/>
      <c r="OCT3" s="29"/>
      <c r="OCU3" s="29"/>
      <c r="OCV3" s="29"/>
      <c r="OCW3" s="29"/>
      <c r="OCX3" s="29"/>
      <c r="OCY3" s="29"/>
      <c r="OCZ3" s="29"/>
      <c r="ODA3" s="29"/>
      <c r="ODB3" s="29"/>
      <c r="ODC3" s="29"/>
      <c r="ODD3" s="29"/>
      <c r="ODE3" s="29"/>
      <c r="ODF3" s="29"/>
      <c r="ODG3" s="29"/>
      <c r="ODH3" s="29"/>
      <c r="ODI3" s="29"/>
      <c r="ODJ3" s="29"/>
      <c r="ODK3" s="29"/>
      <c r="ODL3" s="29"/>
      <c r="ODM3" s="29"/>
      <c r="ODN3" s="29"/>
      <c r="ODO3" s="29"/>
      <c r="ODP3" s="29"/>
      <c r="ODQ3" s="29"/>
      <c r="ODR3" s="29"/>
      <c r="ODS3" s="29"/>
      <c r="ODT3" s="29"/>
      <c r="ODU3" s="29"/>
      <c r="ODV3" s="29"/>
      <c r="ODW3" s="29"/>
      <c r="ODX3" s="29"/>
      <c r="ODY3" s="29"/>
      <c r="ODZ3" s="29"/>
      <c r="OEA3" s="29"/>
      <c r="OEB3" s="29"/>
      <c r="OEC3" s="29"/>
      <c r="OED3" s="29"/>
      <c r="OEE3" s="29"/>
      <c r="OEF3" s="29"/>
      <c r="OEG3" s="29"/>
      <c r="OEH3" s="29"/>
      <c r="OEI3" s="29"/>
      <c r="OEJ3" s="29"/>
      <c r="OEK3" s="29"/>
      <c r="OEL3" s="29"/>
      <c r="OEM3" s="29"/>
      <c r="OEN3" s="29"/>
      <c r="OEO3" s="29"/>
      <c r="OEP3" s="29"/>
      <c r="OEQ3" s="29"/>
      <c r="OER3" s="29"/>
      <c r="OES3" s="29"/>
      <c r="OET3" s="29"/>
      <c r="OEU3" s="29"/>
      <c r="OEV3" s="29"/>
      <c r="OEW3" s="29"/>
      <c r="OEX3" s="29"/>
      <c r="OEY3" s="29"/>
      <c r="OEZ3" s="29"/>
      <c r="OFA3" s="29"/>
      <c r="OFB3" s="29"/>
      <c r="OFC3" s="29"/>
      <c r="OFD3" s="29"/>
      <c r="OFE3" s="29"/>
      <c r="OFF3" s="29"/>
      <c r="OFG3" s="29"/>
      <c r="OFH3" s="29"/>
      <c r="OFI3" s="29"/>
      <c r="OFJ3" s="29"/>
      <c r="OFK3" s="29"/>
      <c r="OFL3" s="29"/>
      <c r="OFM3" s="29"/>
      <c r="OFN3" s="29"/>
      <c r="OFO3" s="29"/>
      <c r="OFP3" s="29"/>
      <c r="OFQ3" s="29"/>
      <c r="OFR3" s="29"/>
      <c r="OFS3" s="29"/>
      <c r="OFT3" s="29"/>
      <c r="OFU3" s="29"/>
      <c r="OFV3" s="29"/>
      <c r="OFW3" s="29"/>
      <c r="OFX3" s="29"/>
      <c r="OFY3" s="29"/>
      <c r="OFZ3" s="29"/>
      <c r="OGA3" s="29"/>
      <c r="OGB3" s="29"/>
      <c r="OGC3" s="29"/>
      <c r="OGD3" s="29"/>
      <c r="OGE3" s="29"/>
      <c r="OGF3" s="29"/>
      <c r="OGG3" s="29"/>
      <c r="OGH3" s="29"/>
      <c r="OGI3" s="29"/>
      <c r="OGJ3" s="29"/>
      <c r="OGK3" s="29"/>
      <c r="OGL3" s="29"/>
      <c r="OGM3" s="29"/>
      <c r="OGN3" s="29"/>
      <c r="OGO3" s="29"/>
      <c r="OGP3" s="29"/>
      <c r="OGQ3" s="29"/>
      <c r="OGR3" s="29"/>
      <c r="OGS3" s="29"/>
      <c r="OGT3" s="29"/>
      <c r="OGU3" s="29"/>
      <c r="OGV3" s="29"/>
      <c r="OGW3" s="29"/>
      <c r="OGX3" s="29"/>
      <c r="OGY3" s="29"/>
      <c r="OGZ3" s="29"/>
      <c r="OHA3" s="29"/>
      <c r="OHB3" s="29"/>
      <c r="OHC3" s="29"/>
      <c r="OHD3" s="29"/>
      <c r="OHE3" s="29"/>
      <c r="OHF3" s="29"/>
      <c r="OHG3" s="29"/>
      <c r="OHH3" s="29"/>
      <c r="OHI3" s="29"/>
      <c r="OHJ3" s="29"/>
      <c r="OHK3" s="29"/>
      <c r="OHL3" s="29"/>
      <c r="OHM3" s="29"/>
      <c r="OHN3" s="29"/>
      <c r="OHO3" s="29"/>
      <c r="OHP3" s="29"/>
      <c r="OHQ3" s="29"/>
      <c r="OHR3" s="29"/>
      <c r="OHS3" s="29"/>
      <c r="OHT3" s="29"/>
      <c r="OHU3" s="29"/>
      <c r="OHV3" s="29"/>
      <c r="OHW3" s="29"/>
      <c r="OHX3" s="29"/>
      <c r="OHY3" s="29"/>
      <c r="OHZ3" s="29"/>
      <c r="OIA3" s="29"/>
      <c r="OIB3" s="29"/>
      <c r="OIC3" s="29"/>
      <c r="OID3" s="29"/>
      <c r="OIE3" s="29"/>
      <c r="OIF3" s="29"/>
      <c r="OIG3" s="29"/>
      <c r="OIH3" s="29"/>
      <c r="OII3" s="29"/>
      <c r="OIJ3" s="29"/>
      <c r="OIK3" s="29"/>
      <c r="OIL3" s="29"/>
      <c r="OIM3" s="29"/>
      <c r="OIN3" s="29"/>
      <c r="OIO3" s="29"/>
      <c r="OIP3" s="29"/>
      <c r="OIQ3" s="29"/>
      <c r="OIR3" s="29"/>
      <c r="OIS3" s="29"/>
      <c r="OIT3" s="29"/>
      <c r="OIU3" s="29"/>
      <c r="OIV3" s="29"/>
      <c r="OIW3" s="29"/>
      <c r="OIX3" s="29"/>
      <c r="OIY3" s="29"/>
      <c r="OIZ3" s="29"/>
      <c r="OJA3" s="29"/>
      <c r="OJB3" s="29"/>
      <c r="OJC3" s="29"/>
      <c r="OJD3" s="29"/>
      <c r="OJE3" s="29"/>
      <c r="OJF3" s="29"/>
      <c r="OJG3" s="29"/>
      <c r="OJH3" s="29"/>
      <c r="OJI3" s="29"/>
      <c r="OJJ3" s="29"/>
      <c r="OJK3" s="29"/>
      <c r="OJL3" s="29"/>
      <c r="OJM3" s="29"/>
      <c r="OJN3" s="29"/>
      <c r="OJO3" s="29"/>
      <c r="OJP3" s="29"/>
      <c r="OJQ3" s="29"/>
      <c r="OJR3" s="29"/>
      <c r="OJS3" s="29"/>
      <c r="OJT3" s="29"/>
      <c r="OJU3" s="29"/>
      <c r="OJV3" s="29"/>
      <c r="OJW3" s="29"/>
      <c r="OJX3" s="29"/>
      <c r="OJY3" s="29"/>
      <c r="OJZ3" s="29"/>
      <c r="OKA3" s="29"/>
      <c r="OKB3" s="29"/>
      <c r="OKC3" s="29"/>
      <c r="OKD3" s="29"/>
      <c r="OKE3" s="29"/>
      <c r="OKF3" s="29"/>
      <c r="OKG3" s="29"/>
      <c r="OKH3" s="29"/>
      <c r="OKI3" s="29"/>
      <c r="OKJ3" s="29"/>
      <c r="OKK3" s="29"/>
      <c r="OKL3" s="29"/>
      <c r="OKM3" s="29"/>
      <c r="OKN3" s="29"/>
      <c r="OKO3" s="29"/>
      <c r="OKP3" s="29"/>
      <c r="OKQ3" s="29"/>
      <c r="OKR3" s="29"/>
      <c r="OKS3" s="29"/>
      <c r="OKT3" s="29"/>
      <c r="OKU3" s="29"/>
      <c r="OKV3" s="29"/>
      <c r="OKW3" s="29"/>
      <c r="OKX3" s="29"/>
      <c r="OKY3" s="29"/>
      <c r="OKZ3" s="29"/>
      <c r="OLA3" s="29"/>
      <c r="OLB3" s="29"/>
      <c r="OLC3" s="29"/>
      <c r="OLD3" s="29"/>
      <c r="OLE3" s="29"/>
      <c r="OLF3" s="29"/>
      <c r="OLG3" s="29"/>
      <c r="OLH3" s="29"/>
      <c r="OLI3" s="29"/>
      <c r="OLJ3" s="29"/>
      <c r="OLK3" s="29"/>
      <c r="OLL3" s="29"/>
      <c r="OLM3" s="29"/>
      <c r="OLN3" s="29"/>
      <c r="OLO3" s="29"/>
      <c r="OLP3" s="29"/>
      <c r="OLQ3" s="29"/>
      <c r="OLR3" s="29"/>
      <c r="OLS3" s="29"/>
      <c r="OLT3" s="29"/>
      <c r="OLU3" s="29"/>
      <c r="OLV3" s="29"/>
      <c r="OLW3" s="29"/>
      <c r="OLX3" s="29"/>
      <c r="OLY3" s="29"/>
      <c r="OLZ3" s="29"/>
      <c r="OMA3" s="29"/>
      <c r="OMB3" s="29"/>
      <c r="OMC3" s="29"/>
      <c r="OMD3" s="29"/>
      <c r="OME3" s="29"/>
      <c r="OMF3" s="29"/>
      <c r="OMG3" s="29"/>
      <c r="OMH3" s="29"/>
      <c r="OMI3" s="29"/>
      <c r="OMJ3" s="29"/>
      <c r="OMK3" s="29"/>
      <c r="OML3" s="29"/>
      <c r="OMM3" s="29"/>
      <c r="OMN3" s="29"/>
      <c r="OMO3" s="29"/>
      <c r="OMP3" s="29"/>
      <c r="OMQ3" s="29"/>
      <c r="OMR3" s="29"/>
      <c r="OMS3" s="29"/>
      <c r="OMT3" s="29"/>
      <c r="OMU3" s="29"/>
      <c r="OMV3" s="29"/>
      <c r="OMW3" s="29"/>
      <c r="OMX3" s="29"/>
      <c r="OMY3" s="29"/>
      <c r="OMZ3" s="29"/>
      <c r="ONA3" s="29"/>
      <c r="ONB3" s="29"/>
      <c r="ONC3" s="29"/>
      <c r="OND3" s="29"/>
      <c r="ONE3" s="29"/>
      <c r="ONF3" s="29"/>
      <c r="ONG3" s="29"/>
      <c r="ONH3" s="29"/>
      <c r="ONI3" s="29"/>
      <c r="ONJ3" s="29"/>
      <c r="ONK3" s="29"/>
      <c r="ONL3" s="29"/>
      <c r="ONM3" s="29"/>
      <c r="ONN3" s="29"/>
      <c r="ONO3" s="29"/>
      <c r="ONP3" s="29"/>
      <c r="ONQ3" s="29"/>
      <c r="ONR3" s="29"/>
      <c r="ONS3" s="29"/>
      <c r="ONT3" s="29"/>
      <c r="ONU3" s="29"/>
      <c r="ONV3" s="29"/>
      <c r="ONW3" s="29"/>
      <c r="ONX3" s="29"/>
      <c r="ONY3" s="29"/>
      <c r="ONZ3" s="29"/>
      <c r="OOA3" s="29"/>
      <c r="OOB3" s="29"/>
      <c r="OOC3" s="29"/>
      <c r="OOD3" s="29"/>
      <c r="OOE3" s="29"/>
      <c r="OOF3" s="29"/>
      <c r="OOG3" s="29"/>
      <c r="OOH3" s="29"/>
      <c r="OOI3" s="29"/>
      <c r="OOJ3" s="29"/>
      <c r="OOK3" s="29"/>
      <c r="OOL3" s="29"/>
      <c r="OOM3" s="29"/>
      <c r="OON3" s="29"/>
      <c r="OOO3" s="29"/>
      <c r="OOP3" s="29"/>
      <c r="OOQ3" s="29"/>
      <c r="OOR3" s="29"/>
      <c r="OOS3" s="29"/>
      <c r="OOT3" s="29"/>
      <c r="OOU3" s="29"/>
      <c r="OOV3" s="29"/>
      <c r="OOW3" s="29"/>
      <c r="OOX3" s="29"/>
      <c r="OOY3" s="29"/>
      <c r="OOZ3" s="29"/>
      <c r="OPA3" s="29"/>
      <c r="OPB3" s="29"/>
      <c r="OPC3" s="29"/>
      <c r="OPD3" s="29"/>
      <c r="OPE3" s="29"/>
      <c r="OPF3" s="29"/>
      <c r="OPG3" s="29"/>
      <c r="OPH3" s="29"/>
      <c r="OPI3" s="29"/>
      <c r="OPJ3" s="29"/>
      <c r="OPK3" s="29"/>
      <c r="OPL3" s="29"/>
      <c r="OPM3" s="29"/>
      <c r="OPN3" s="29"/>
      <c r="OPO3" s="29"/>
      <c r="OPP3" s="29"/>
      <c r="OPQ3" s="29"/>
      <c r="OPR3" s="29"/>
      <c r="OPS3" s="29"/>
      <c r="OPT3" s="29"/>
      <c r="OPU3" s="29"/>
      <c r="OPV3" s="29"/>
      <c r="OPW3" s="29"/>
      <c r="OPX3" s="29"/>
      <c r="OPY3" s="29"/>
      <c r="OPZ3" s="29"/>
      <c r="OQA3" s="29"/>
      <c r="OQB3" s="29"/>
      <c r="OQC3" s="29"/>
      <c r="OQD3" s="29"/>
      <c r="OQE3" s="29"/>
      <c r="OQF3" s="29"/>
      <c r="OQG3" s="29"/>
      <c r="OQH3" s="29"/>
      <c r="OQI3" s="29"/>
      <c r="OQJ3" s="29"/>
      <c r="OQK3" s="29"/>
      <c r="OQL3" s="29"/>
      <c r="OQM3" s="29"/>
      <c r="OQN3" s="29"/>
      <c r="OQO3" s="29"/>
      <c r="OQP3" s="29"/>
      <c r="OQQ3" s="29"/>
      <c r="OQR3" s="29"/>
      <c r="OQS3" s="29"/>
      <c r="OQT3" s="29"/>
      <c r="OQU3" s="29"/>
      <c r="OQV3" s="29"/>
      <c r="OQW3" s="29"/>
      <c r="OQX3" s="29"/>
      <c r="OQY3" s="29"/>
      <c r="OQZ3" s="29"/>
      <c r="ORA3" s="29"/>
      <c r="ORB3" s="29"/>
      <c r="ORC3" s="29"/>
      <c r="ORD3" s="29"/>
      <c r="ORE3" s="29"/>
      <c r="ORF3" s="29"/>
      <c r="ORG3" s="29"/>
      <c r="ORH3" s="29"/>
      <c r="ORI3" s="29"/>
      <c r="ORJ3" s="29"/>
      <c r="ORK3" s="29"/>
      <c r="ORL3" s="29"/>
      <c r="ORM3" s="29"/>
      <c r="ORN3" s="29"/>
      <c r="ORO3" s="29"/>
      <c r="ORP3" s="29"/>
      <c r="ORQ3" s="29"/>
      <c r="ORR3" s="29"/>
      <c r="ORS3" s="29"/>
      <c r="ORT3" s="29"/>
      <c r="ORU3" s="29"/>
      <c r="ORV3" s="29"/>
      <c r="ORW3" s="29"/>
      <c r="ORX3" s="29"/>
      <c r="ORY3" s="29"/>
      <c r="ORZ3" s="29"/>
      <c r="OSA3" s="29"/>
      <c r="OSB3" s="29"/>
      <c r="OSC3" s="29"/>
      <c r="OSD3" s="29"/>
      <c r="OSE3" s="29"/>
      <c r="OSF3" s="29"/>
      <c r="OSG3" s="29"/>
      <c r="OSH3" s="29"/>
      <c r="OSI3" s="29"/>
      <c r="OSJ3" s="29"/>
      <c r="OSK3" s="29"/>
      <c r="OSL3" s="29"/>
      <c r="OSM3" s="29"/>
      <c r="OSN3" s="29"/>
      <c r="OSO3" s="29"/>
      <c r="OSP3" s="29"/>
      <c r="OSQ3" s="29"/>
      <c r="OSR3" s="29"/>
      <c r="OSS3" s="29"/>
      <c r="OST3" s="29"/>
      <c r="OSU3" s="29"/>
      <c r="OSV3" s="29"/>
      <c r="OSW3" s="29"/>
      <c r="OSX3" s="29"/>
      <c r="OSY3" s="29"/>
      <c r="OSZ3" s="29"/>
      <c r="OTA3" s="29"/>
      <c r="OTB3" s="29"/>
      <c r="OTC3" s="29"/>
      <c r="OTD3" s="29"/>
      <c r="OTE3" s="29"/>
      <c r="OTF3" s="29"/>
      <c r="OTG3" s="29"/>
      <c r="OTH3" s="29"/>
      <c r="OTI3" s="29"/>
      <c r="OTJ3" s="29"/>
      <c r="OTK3" s="29"/>
      <c r="OTL3" s="29"/>
      <c r="OTM3" s="29"/>
      <c r="OTN3" s="29"/>
      <c r="OTO3" s="29"/>
      <c r="OTP3" s="29"/>
      <c r="OTQ3" s="29"/>
      <c r="OTR3" s="29"/>
      <c r="OTS3" s="29"/>
      <c r="OTT3" s="29"/>
      <c r="OTU3" s="29"/>
      <c r="OTV3" s="29"/>
      <c r="OTW3" s="29"/>
      <c r="OTX3" s="29"/>
      <c r="OTY3" s="29"/>
      <c r="OTZ3" s="29"/>
      <c r="OUA3" s="29"/>
      <c r="OUB3" s="29"/>
      <c r="OUC3" s="29"/>
      <c r="OUD3" s="29"/>
      <c r="OUE3" s="29"/>
      <c r="OUF3" s="29"/>
      <c r="OUG3" s="29"/>
      <c r="OUH3" s="29"/>
      <c r="OUI3" s="29"/>
      <c r="OUJ3" s="29"/>
      <c r="OUK3" s="29"/>
      <c r="OUL3" s="29"/>
      <c r="OUM3" s="29"/>
      <c r="OUN3" s="29"/>
      <c r="OUO3" s="29"/>
      <c r="OUP3" s="29"/>
      <c r="OUQ3" s="29"/>
      <c r="OUR3" s="29"/>
      <c r="OUS3" s="29"/>
      <c r="OUT3" s="29"/>
      <c r="OUU3" s="29"/>
      <c r="OUV3" s="29"/>
      <c r="OUW3" s="29"/>
      <c r="OUX3" s="29"/>
      <c r="OUY3" s="29"/>
      <c r="OUZ3" s="29"/>
      <c r="OVA3" s="29"/>
      <c r="OVB3" s="29"/>
      <c r="OVC3" s="29"/>
      <c r="OVD3" s="29"/>
      <c r="OVE3" s="29"/>
      <c r="OVF3" s="29"/>
      <c r="OVG3" s="29"/>
      <c r="OVH3" s="29"/>
      <c r="OVI3" s="29"/>
      <c r="OVJ3" s="29"/>
      <c r="OVK3" s="29"/>
      <c r="OVL3" s="29"/>
      <c r="OVM3" s="29"/>
      <c r="OVN3" s="29"/>
      <c r="OVO3" s="29"/>
      <c r="OVP3" s="29"/>
      <c r="OVQ3" s="29"/>
      <c r="OVR3" s="29"/>
      <c r="OVS3" s="29"/>
      <c r="OVT3" s="29"/>
      <c r="OVU3" s="29"/>
      <c r="OVV3" s="29"/>
      <c r="OVW3" s="29"/>
      <c r="OVX3" s="29"/>
      <c r="OVY3" s="29"/>
      <c r="OVZ3" s="29"/>
      <c r="OWA3" s="29"/>
      <c r="OWB3" s="29"/>
      <c r="OWC3" s="29"/>
      <c r="OWD3" s="29"/>
      <c r="OWE3" s="29"/>
      <c r="OWF3" s="29"/>
      <c r="OWG3" s="29"/>
      <c r="OWH3" s="29"/>
      <c r="OWI3" s="29"/>
      <c r="OWJ3" s="29"/>
      <c r="OWK3" s="29"/>
      <c r="OWL3" s="29"/>
      <c r="OWM3" s="29"/>
      <c r="OWN3" s="29"/>
      <c r="OWO3" s="29"/>
      <c r="OWP3" s="29"/>
      <c r="OWQ3" s="29"/>
      <c r="OWR3" s="29"/>
      <c r="OWS3" s="29"/>
      <c r="OWT3" s="29"/>
      <c r="OWU3" s="29"/>
      <c r="OWV3" s="29"/>
      <c r="OWW3" s="29"/>
      <c r="OWX3" s="29"/>
      <c r="OWY3" s="29"/>
      <c r="OWZ3" s="29"/>
      <c r="OXA3" s="29"/>
      <c r="OXB3" s="29"/>
      <c r="OXC3" s="29"/>
      <c r="OXD3" s="29"/>
      <c r="OXE3" s="29"/>
      <c r="OXF3" s="29"/>
      <c r="OXG3" s="29"/>
      <c r="OXH3" s="29"/>
      <c r="OXI3" s="29"/>
      <c r="OXJ3" s="29"/>
      <c r="OXK3" s="29"/>
      <c r="OXL3" s="29"/>
      <c r="OXM3" s="29"/>
      <c r="OXN3" s="29"/>
      <c r="OXO3" s="29"/>
      <c r="OXP3" s="29"/>
      <c r="OXQ3" s="29"/>
      <c r="OXR3" s="29"/>
      <c r="OXS3" s="29"/>
      <c r="OXT3" s="29"/>
      <c r="OXU3" s="29"/>
      <c r="OXV3" s="29"/>
      <c r="OXW3" s="29"/>
      <c r="OXX3" s="29"/>
      <c r="OXY3" s="29"/>
      <c r="OXZ3" s="29"/>
      <c r="OYA3" s="29"/>
      <c r="OYB3" s="29"/>
      <c r="OYC3" s="29"/>
      <c r="OYD3" s="29"/>
      <c r="OYE3" s="29"/>
      <c r="OYF3" s="29"/>
      <c r="OYG3" s="29"/>
      <c r="OYH3" s="29"/>
      <c r="OYI3" s="29"/>
      <c r="OYJ3" s="29"/>
      <c r="OYK3" s="29"/>
      <c r="OYL3" s="29"/>
      <c r="OYM3" s="29"/>
      <c r="OYN3" s="29"/>
      <c r="OYO3" s="29"/>
      <c r="OYP3" s="29"/>
      <c r="OYQ3" s="29"/>
      <c r="OYR3" s="29"/>
      <c r="OYS3" s="29"/>
      <c r="OYT3" s="29"/>
      <c r="OYU3" s="29"/>
      <c r="OYV3" s="29"/>
      <c r="OYW3" s="29"/>
      <c r="OYX3" s="29"/>
      <c r="OYY3" s="29"/>
      <c r="OYZ3" s="29"/>
      <c r="OZA3" s="29"/>
      <c r="OZB3" s="29"/>
      <c r="OZC3" s="29"/>
      <c r="OZD3" s="29"/>
      <c r="OZE3" s="29"/>
      <c r="OZF3" s="29"/>
      <c r="OZG3" s="29"/>
      <c r="OZH3" s="29"/>
      <c r="OZI3" s="29"/>
      <c r="OZJ3" s="29"/>
      <c r="OZK3" s="29"/>
      <c r="OZL3" s="29"/>
      <c r="OZM3" s="29"/>
      <c r="OZN3" s="29"/>
      <c r="OZO3" s="29"/>
      <c r="OZP3" s="29"/>
      <c r="OZQ3" s="29"/>
      <c r="OZR3" s="29"/>
      <c r="OZS3" s="29"/>
      <c r="OZT3" s="29"/>
      <c r="OZU3" s="29"/>
      <c r="OZV3" s="29"/>
      <c r="OZW3" s="29"/>
      <c r="OZX3" s="29"/>
      <c r="OZY3" s="29"/>
      <c r="OZZ3" s="29"/>
      <c r="PAA3" s="29"/>
      <c r="PAB3" s="29"/>
      <c r="PAC3" s="29"/>
      <c r="PAD3" s="29"/>
      <c r="PAE3" s="29"/>
      <c r="PAF3" s="29"/>
      <c r="PAG3" s="29"/>
      <c r="PAH3" s="29"/>
      <c r="PAI3" s="29"/>
      <c r="PAJ3" s="29"/>
      <c r="PAK3" s="29"/>
      <c r="PAL3" s="29"/>
      <c r="PAM3" s="29"/>
      <c r="PAN3" s="29"/>
      <c r="PAO3" s="29"/>
      <c r="PAP3" s="29"/>
      <c r="PAQ3" s="29"/>
      <c r="PAR3" s="29"/>
      <c r="PAS3" s="29"/>
      <c r="PAT3" s="29"/>
      <c r="PAU3" s="29"/>
      <c r="PAV3" s="29"/>
      <c r="PAW3" s="29"/>
      <c r="PAX3" s="29"/>
      <c r="PAY3" s="29"/>
      <c r="PAZ3" s="29"/>
      <c r="PBA3" s="29"/>
      <c r="PBB3" s="29"/>
      <c r="PBC3" s="29"/>
      <c r="PBD3" s="29"/>
      <c r="PBE3" s="29"/>
      <c r="PBF3" s="29"/>
      <c r="PBG3" s="29"/>
      <c r="PBH3" s="29"/>
      <c r="PBI3" s="29"/>
      <c r="PBJ3" s="29"/>
      <c r="PBK3" s="29"/>
      <c r="PBL3" s="29"/>
      <c r="PBM3" s="29"/>
      <c r="PBN3" s="29"/>
      <c r="PBO3" s="29"/>
      <c r="PBP3" s="29"/>
      <c r="PBQ3" s="29"/>
      <c r="PBR3" s="29"/>
      <c r="PBS3" s="29"/>
      <c r="PBT3" s="29"/>
      <c r="PBU3" s="29"/>
      <c r="PBV3" s="29"/>
      <c r="PBW3" s="29"/>
      <c r="PBX3" s="29"/>
      <c r="PBY3" s="29"/>
      <c r="PBZ3" s="29"/>
      <c r="PCA3" s="29"/>
      <c r="PCB3" s="29"/>
      <c r="PCC3" s="29"/>
      <c r="PCD3" s="29"/>
      <c r="PCE3" s="29"/>
      <c r="PCF3" s="29"/>
      <c r="PCG3" s="29"/>
      <c r="PCH3" s="29"/>
      <c r="PCI3" s="29"/>
      <c r="PCJ3" s="29"/>
      <c r="PCK3" s="29"/>
      <c r="PCL3" s="29"/>
      <c r="PCM3" s="29"/>
      <c r="PCN3" s="29"/>
      <c r="PCO3" s="29"/>
      <c r="PCP3" s="29"/>
      <c r="PCQ3" s="29"/>
      <c r="PCR3" s="29"/>
      <c r="PCS3" s="29"/>
      <c r="PCT3" s="29"/>
      <c r="PCU3" s="29"/>
      <c r="PCV3" s="29"/>
      <c r="PCW3" s="29"/>
      <c r="PCX3" s="29"/>
      <c r="PCY3" s="29"/>
      <c r="PCZ3" s="29"/>
      <c r="PDA3" s="29"/>
      <c r="PDB3" s="29"/>
      <c r="PDC3" s="29"/>
      <c r="PDD3" s="29"/>
      <c r="PDE3" s="29"/>
      <c r="PDF3" s="29"/>
      <c r="PDG3" s="29"/>
      <c r="PDH3" s="29"/>
      <c r="PDI3" s="29"/>
      <c r="PDJ3" s="29"/>
      <c r="PDK3" s="29"/>
      <c r="PDL3" s="29"/>
      <c r="PDM3" s="29"/>
      <c r="PDN3" s="29"/>
      <c r="PDO3" s="29"/>
      <c r="PDP3" s="29"/>
      <c r="PDQ3" s="29"/>
      <c r="PDR3" s="29"/>
      <c r="PDS3" s="29"/>
      <c r="PDT3" s="29"/>
      <c r="PDU3" s="29"/>
      <c r="PDV3" s="29"/>
      <c r="PDW3" s="29"/>
      <c r="PDX3" s="29"/>
      <c r="PDY3" s="29"/>
      <c r="PDZ3" s="29"/>
      <c r="PEA3" s="29"/>
      <c r="PEB3" s="29"/>
      <c r="PEC3" s="29"/>
      <c r="PED3" s="29"/>
      <c r="PEE3" s="29"/>
      <c r="PEF3" s="29"/>
      <c r="PEG3" s="29"/>
      <c r="PEH3" s="29"/>
      <c r="PEI3" s="29"/>
      <c r="PEJ3" s="29"/>
      <c r="PEK3" s="29"/>
      <c r="PEL3" s="29"/>
      <c r="PEM3" s="29"/>
      <c r="PEN3" s="29"/>
      <c r="PEO3" s="29"/>
      <c r="PEP3" s="29"/>
      <c r="PEQ3" s="29"/>
      <c r="PER3" s="29"/>
      <c r="PES3" s="29"/>
      <c r="PET3" s="29"/>
      <c r="PEU3" s="29"/>
      <c r="PEV3" s="29"/>
      <c r="PEW3" s="29"/>
      <c r="PEX3" s="29"/>
      <c r="PEY3" s="29"/>
      <c r="PEZ3" s="29"/>
      <c r="PFA3" s="29"/>
      <c r="PFB3" s="29"/>
      <c r="PFC3" s="29"/>
      <c r="PFD3" s="29"/>
      <c r="PFE3" s="29"/>
      <c r="PFF3" s="29"/>
      <c r="PFG3" s="29"/>
      <c r="PFH3" s="29"/>
      <c r="PFI3" s="29"/>
      <c r="PFJ3" s="29"/>
      <c r="PFK3" s="29"/>
      <c r="PFL3" s="29"/>
      <c r="PFM3" s="29"/>
      <c r="PFN3" s="29"/>
      <c r="PFO3" s="29"/>
      <c r="PFP3" s="29"/>
      <c r="PFQ3" s="29"/>
      <c r="PFR3" s="29"/>
      <c r="PFS3" s="29"/>
      <c r="PFT3" s="29"/>
      <c r="PFU3" s="29"/>
      <c r="PFV3" s="29"/>
      <c r="PFW3" s="29"/>
      <c r="PFX3" s="29"/>
      <c r="PFY3" s="29"/>
      <c r="PFZ3" s="29"/>
      <c r="PGA3" s="29"/>
      <c r="PGB3" s="29"/>
      <c r="PGC3" s="29"/>
      <c r="PGD3" s="29"/>
      <c r="PGE3" s="29"/>
      <c r="PGF3" s="29"/>
      <c r="PGG3" s="29"/>
      <c r="PGH3" s="29"/>
      <c r="PGI3" s="29"/>
      <c r="PGJ3" s="29"/>
      <c r="PGK3" s="29"/>
      <c r="PGL3" s="29"/>
      <c r="PGM3" s="29"/>
      <c r="PGN3" s="29"/>
      <c r="PGO3" s="29"/>
      <c r="PGP3" s="29"/>
      <c r="PGQ3" s="29"/>
      <c r="PGR3" s="29"/>
      <c r="PGS3" s="29"/>
      <c r="PGT3" s="29"/>
      <c r="PGU3" s="29"/>
      <c r="PGV3" s="29"/>
      <c r="PGW3" s="29"/>
      <c r="PGX3" s="29"/>
      <c r="PGY3" s="29"/>
      <c r="PGZ3" s="29"/>
      <c r="PHA3" s="29"/>
      <c r="PHB3" s="29"/>
      <c r="PHC3" s="29"/>
      <c r="PHD3" s="29"/>
      <c r="PHE3" s="29"/>
      <c r="PHF3" s="29"/>
      <c r="PHG3" s="29"/>
      <c r="PHH3" s="29"/>
      <c r="PHI3" s="29"/>
      <c r="PHJ3" s="29"/>
      <c r="PHK3" s="29"/>
      <c r="PHL3" s="29"/>
      <c r="PHM3" s="29"/>
      <c r="PHN3" s="29"/>
      <c r="PHO3" s="29"/>
      <c r="PHP3" s="29"/>
      <c r="PHQ3" s="29"/>
      <c r="PHR3" s="29"/>
      <c r="PHS3" s="29"/>
      <c r="PHT3" s="29"/>
      <c r="PHU3" s="29"/>
      <c r="PHV3" s="29"/>
      <c r="PHW3" s="29"/>
      <c r="PHX3" s="29"/>
      <c r="PHY3" s="29"/>
      <c r="PHZ3" s="29"/>
      <c r="PIA3" s="29"/>
      <c r="PIB3" s="29"/>
      <c r="PIC3" s="29"/>
      <c r="PID3" s="29"/>
      <c r="PIE3" s="29"/>
      <c r="PIF3" s="29"/>
      <c r="PIG3" s="29"/>
      <c r="PIH3" s="29"/>
      <c r="PII3" s="29"/>
      <c r="PIJ3" s="29"/>
      <c r="PIK3" s="29"/>
      <c r="PIL3" s="29"/>
      <c r="PIM3" s="29"/>
      <c r="PIN3" s="29"/>
      <c r="PIO3" s="29"/>
      <c r="PIP3" s="29"/>
      <c r="PIQ3" s="29"/>
      <c r="PIR3" s="29"/>
      <c r="PIS3" s="29"/>
      <c r="PIT3" s="29"/>
      <c r="PIU3" s="29"/>
      <c r="PIV3" s="29"/>
      <c r="PIW3" s="29"/>
      <c r="PIX3" s="29"/>
      <c r="PIY3" s="29"/>
      <c r="PIZ3" s="29"/>
      <c r="PJA3" s="29"/>
      <c r="PJB3" s="29"/>
      <c r="PJC3" s="29"/>
      <c r="PJD3" s="29"/>
      <c r="PJE3" s="29"/>
      <c r="PJF3" s="29"/>
      <c r="PJG3" s="29"/>
      <c r="PJH3" s="29"/>
      <c r="PJI3" s="29"/>
      <c r="PJJ3" s="29"/>
      <c r="PJK3" s="29"/>
      <c r="PJL3" s="29"/>
      <c r="PJM3" s="29"/>
      <c r="PJN3" s="29"/>
      <c r="PJO3" s="29"/>
      <c r="PJP3" s="29"/>
      <c r="PJQ3" s="29"/>
      <c r="PJR3" s="29"/>
      <c r="PJS3" s="29"/>
      <c r="PJT3" s="29"/>
      <c r="PJU3" s="29"/>
      <c r="PJV3" s="29"/>
      <c r="PJW3" s="29"/>
      <c r="PJX3" s="29"/>
      <c r="PJY3" s="29"/>
      <c r="PJZ3" s="29"/>
      <c r="PKA3" s="29"/>
      <c r="PKB3" s="29"/>
      <c r="PKC3" s="29"/>
      <c r="PKD3" s="29"/>
      <c r="PKE3" s="29"/>
      <c r="PKF3" s="29"/>
      <c r="PKG3" s="29"/>
      <c r="PKH3" s="29"/>
      <c r="PKI3" s="29"/>
      <c r="PKJ3" s="29"/>
      <c r="PKK3" s="29"/>
      <c r="PKL3" s="29"/>
      <c r="PKM3" s="29"/>
      <c r="PKN3" s="29"/>
      <c r="PKO3" s="29"/>
      <c r="PKP3" s="29"/>
      <c r="PKQ3" s="29"/>
      <c r="PKR3" s="29"/>
      <c r="PKS3" s="29"/>
      <c r="PKT3" s="29"/>
      <c r="PKU3" s="29"/>
      <c r="PKV3" s="29"/>
      <c r="PKW3" s="29"/>
      <c r="PKX3" s="29"/>
      <c r="PKY3" s="29"/>
      <c r="PKZ3" s="29"/>
      <c r="PLA3" s="29"/>
      <c r="PLB3" s="29"/>
      <c r="PLC3" s="29"/>
      <c r="PLD3" s="29"/>
      <c r="PLE3" s="29"/>
      <c r="PLF3" s="29"/>
      <c r="PLG3" s="29"/>
      <c r="PLH3" s="29"/>
      <c r="PLI3" s="29"/>
      <c r="PLJ3" s="29"/>
      <c r="PLK3" s="29"/>
      <c r="PLL3" s="29"/>
      <c r="PLM3" s="29"/>
      <c r="PLN3" s="29"/>
      <c r="PLO3" s="29"/>
      <c r="PLP3" s="29"/>
      <c r="PLQ3" s="29"/>
      <c r="PLR3" s="29"/>
      <c r="PLS3" s="29"/>
      <c r="PLT3" s="29"/>
      <c r="PLU3" s="29"/>
      <c r="PLV3" s="29"/>
      <c r="PLW3" s="29"/>
      <c r="PLX3" s="29"/>
      <c r="PLY3" s="29"/>
      <c r="PLZ3" s="29"/>
      <c r="PMA3" s="29"/>
      <c r="PMB3" s="29"/>
      <c r="PMC3" s="29"/>
      <c r="PMD3" s="29"/>
      <c r="PME3" s="29"/>
      <c r="PMF3" s="29"/>
      <c r="PMG3" s="29"/>
      <c r="PMH3" s="29"/>
      <c r="PMI3" s="29"/>
      <c r="PMJ3" s="29"/>
      <c r="PMK3" s="29"/>
      <c r="PML3" s="29"/>
      <c r="PMM3" s="29"/>
      <c r="PMN3" s="29"/>
      <c r="PMO3" s="29"/>
      <c r="PMP3" s="29"/>
      <c r="PMQ3" s="29"/>
      <c r="PMR3" s="29"/>
      <c r="PMS3" s="29"/>
      <c r="PMT3" s="29"/>
      <c r="PMU3" s="29"/>
      <c r="PMV3" s="29"/>
      <c r="PMW3" s="29"/>
      <c r="PMX3" s="29"/>
      <c r="PMY3" s="29"/>
      <c r="PMZ3" s="29"/>
      <c r="PNA3" s="29"/>
      <c r="PNB3" s="29"/>
      <c r="PNC3" s="29"/>
      <c r="PND3" s="29"/>
      <c r="PNE3" s="29"/>
      <c r="PNF3" s="29"/>
      <c r="PNG3" s="29"/>
      <c r="PNH3" s="29"/>
      <c r="PNI3" s="29"/>
      <c r="PNJ3" s="29"/>
      <c r="PNK3" s="29"/>
      <c r="PNL3" s="29"/>
      <c r="PNM3" s="29"/>
      <c r="PNN3" s="29"/>
      <c r="PNO3" s="29"/>
      <c r="PNP3" s="29"/>
      <c r="PNQ3" s="29"/>
      <c r="PNR3" s="29"/>
      <c r="PNS3" s="29"/>
      <c r="PNT3" s="29"/>
      <c r="PNU3" s="29"/>
      <c r="PNV3" s="29"/>
      <c r="PNW3" s="29"/>
      <c r="PNX3" s="29"/>
      <c r="PNY3" s="29"/>
      <c r="PNZ3" s="29"/>
      <c r="POA3" s="29"/>
      <c r="POB3" s="29"/>
      <c r="POC3" s="29"/>
      <c r="POD3" s="29"/>
      <c r="POE3" s="29"/>
      <c r="POF3" s="29"/>
      <c r="POG3" s="29"/>
      <c r="POH3" s="29"/>
      <c r="POI3" s="29"/>
      <c r="POJ3" s="29"/>
      <c r="POK3" s="29"/>
      <c r="POL3" s="29"/>
      <c r="POM3" s="29"/>
      <c r="PON3" s="29"/>
      <c r="POO3" s="29"/>
      <c r="POP3" s="29"/>
      <c r="POQ3" s="29"/>
      <c r="POR3" s="29"/>
      <c r="POS3" s="29"/>
      <c r="POT3" s="29"/>
      <c r="POU3" s="29"/>
      <c r="POV3" s="29"/>
      <c r="POW3" s="29"/>
      <c r="POX3" s="29"/>
      <c r="POY3" s="29"/>
      <c r="POZ3" s="29"/>
      <c r="PPA3" s="29"/>
      <c r="PPB3" s="29"/>
      <c r="PPC3" s="29"/>
      <c r="PPD3" s="29"/>
      <c r="PPE3" s="29"/>
      <c r="PPF3" s="29"/>
      <c r="PPG3" s="29"/>
      <c r="PPH3" s="29"/>
      <c r="PPI3" s="29"/>
      <c r="PPJ3" s="29"/>
      <c r="PPK3" s="29"/>
      <c r="PPL3" s="29"/>
      <c r="PPM3" s="29"/>
      <c r="PPN3" s="29"/>
      <c r="PPO3" s="29"/>
      <c r="PPP3" s="29"/>
      <c r="PPQ3" s="29"/>
      <c r="PPR3" s="29"/>
      <c r="PPS3" s="29"/>
      <c r="PPT3" s="29"/>
      <c r="PPU3" s="29"/>
      <c r="PPV3" s="29"/>
      <c r="PPW3" s="29"/>
      <c r="PPX3" s="29"/>
      <c r="PPY3" s="29"/>
      <c r="PPZ3" s="29"/>
      <c r="PQA3" s="29"/>
      <c r="PQB3" s="29"/>
      <c r="PQC3" s="29"/>
      <c r="PQD3" s="29"/>
      <c r="PQE3" s="29"/>
      <c r="PQF3" s="29"/>
      <c r="PQG3" s="29"/>
      <c r="PQH3" s="29"/>
      <c r="PQI3" s="29"/>
      <c r="PQJ3" s="29"/>
      <c r="PQK3" s="29"/>
      <c r="PQL3" s="29"/>
      <c r="PQM3" s="29"/>
      <c r="PQN3" s="29"/>
      <c r="PQO3" s="29"/>
      <c r="PQP3" s="29"/>
      <c r="PQQ3" s="29"/>
      <c r="PQR3" s="29"/>
      <c r="PQS3" s="29"/>
      <c r="PQT3" s="29"/>
      <c r="PQU3" s="29"/>
      <c r="PQV3" s="29"/>
      <c r="PQW3" s="29"/>
      <c r="PQX3" s="29"/>
      <c r="PQY3" s="29"/>
      <c r="PQZ3" s="29"/>
      <c r="PRA3" s="29"/>
      <c r="PRB3" s="29"/>
      <c r="PRC3" s="29"/>
      <c r="PRD3" s="29"/>
      <c r="PRE3" s="29"/>
      <c r="PRF3" s="29"/>
      <c r="PRG3" s="29"/>
      <c r="PRH3" s="29"/>
      <c r="PRI3" s="29"/>
      <c r="PRJ3" s="29"/>
      <c r="PRK3" s="29"/>
      <c r="PRL3" s="29"/>
      <c r="PRM3" s="29"/>
      <c r="PRN3" s="29"/>
      <c r="PRO3" s="29"/>
      <c r="PRP3" s="29"/>
      <c r="PRQ3" s="29"/>
      <c r="PRR3" s="29"/>
      <c r="PRS3" s="29"/>
      <c r="PRT3" s="29"/>
      <c r="PRU3" s="29"/>
      <c r="PRV3" s="29"/>
      <c r="PRW3" s="29"/>
      <c r="PRX3" s="29"/>
      <c r="PRY3" s="29"/>
      <c r="PRZ3" s="29"/>
      <c r="PSA3" s="29"/>
      <c r="PSB3" s="29"/>
      <c r="PSC3" s="29"/>
      <c r="PSD3" s="29"/>
      <c r="PSE3" s="29"/>
      <c r="PSF3" s="29"/>
      <c r="PSG3" s="29"/>
      <c r="PSH3" s="29"/>
      <c r="PSI3" s="29"/>
      <c r="PSJ3" s="29"/>
      <c r="PSK3" s="29"/>
      <c r="PSL3" s="29"/>
      <c r="PSM3" s="29"/>
      <c r="PSN3" s="29"/>
      <c r="PSO3" s="29"/>
      <c r="PSP3" s="29"/>
      <c r="PSQ3" s="29"/>
      <c r="PSR3" s="29"/>
      <c r="PSS3" s="29"/>
      <c r="PST3" s="29"/>
      <c r="PSU3" s="29"/>
      <c r="PSV3" s="29"/>
      <c r="PSW3" s="29"/>
      <c r="PSX3" s="29"/>
      <c r="PSY3" s="29"/>
      <c r="PSZ3" s="29"/>
      <c r="PTA3" s="29"/>
      <c r="PTB3" s="29"/>
      <c r="PTC3" s="29"/>
      <c r="PTD3" s="29"/>
      <c r="PTE3" s="29"/>
      <c r="PTF3" s="29"/>
      <c r="PTG3" s="29"/>
      <c r="PTH3" s="29"/>
      <c r="PTI3" s="29"/>
      <c r="PTJ3" s="29"/>
      <c r="PTK3" s="29"/>
      <c r="PTL3" s="29"/>
      <c r="PTM3" s="29"/>
      <c r="PTN3" s="29"/>
      <c r="PTO3" s="29"/>
      <c r="PTP3" s="29"/>
      <c r="PTQ3" s="29"/>
      <c r="PTR3" s="29"/>
      <c r="PTS3" s="29"/>
      <c r="PTT3" s="29"/>
      <c r="PTU3" s="29"/>
      <c r="PTV3" s="29"/>
      <c r="PTW3" s="29"/>
      <c r="PTX3" s="29"/>
      <c r="PTY3" s="29"/>
      <c r="PTZ3" s="29"/>
      <c r="PUA3" s="29"/>
      <c r="PUB3" s="29"/>
      <c r="PUC3" s="29"/>
      <c r="PUD3" s="29"/>
      <c r="PUE3" s="29"/>
      <c r="PUF3" s="29"/>
      <c r="PUG3" s="29"/>
      <c r="PUH3" s="29"/>
      <c r="PUI3" s="29"/>
      <c r="PUJ3" s="29"/>
      <c r="PUK3" s="29"/>
      <c r="PUL3" s="29"/>
      <c r="PUM3" s="29"/>
      <c r="PUN3" s="29"/>
      <c r="PUO3" s="29"/>
      <c r="PUP3" s="29"/>
      <c r="PUQ3" s="29"/>
      <c r="PUR3" s="29"/>
      <c r="PUS3" s="29"/>
      <c r="PUT3" s="29"/>
      <c r="PUU3" s="29"/>
      <c r="PUV3" s="29"/>
      <c r="PUW3" s="29"/>
      <c r="PUX3" s="29"/>
      <c r="PUY3" s="29"/>
      <c r="PUZ3" s="29"/>
      <c r="PVA3" s="29"/>
      <c r="PVB3" s="29"/>
      <c r="PVC3" s="29"/>
      <c r="PVD3" s="29"/>
      <c r="PVE3" s="29"/>
      <c r="PVF3" s="29"/>
      <c r="PVG3" s="29"/>
      <c r="PVH3" s="29"/>
      <c r="PVI3" s="29"/>
      <c r="PVJ3" s="29"/>
      <c r="PVK3" s="29"/>
      <c r="PVL3" s="29"/>
      <c r="PVM3" s="29"/>
      <c r="PVN3" s="29"/>
      <c r="PVO3" s="29"/>
      <c r="PVP3" s="29"/>
      <c r="PVQ3" s="29"/>
      <c r="PVR3" s="29"/>
      <c r="PVS3" s="29"/>
      <c r="PVT3" s="29"/>
      <c r="PVU3" s="29"/>
      <c r="PVV3" s="29"/>
      <c r="PVW3" s="29"/>
      <c r="PVX3" s="29"/>
      <c r="PVY3" s="29"/>
      <c r="PVZ3" s="29"/>
      <c r="PWA3" s="29"/>
      <c r="PWB3" s="29"/>
      <c r="PWC3" s="29"/>
      <c r="PWD3" s="29"/>
      <c r="PWE3" s="29"/>
      <c r="PWF3" s="29"/>
      <c r="PWG3" s="29"/>
      <c r="PWH3" s="29"/>
      <c r="PWI3" s="29"/>
      <c r="PWJ3" s="29"/>
      <c r="PWK3" s="29"/>
      <c r="PWL3" s="29"/>
      <c r="PWM3" s="29"/>
      <c r="PWN3" s="29"/>
      <c r="PWO3" s="29"/>
      <c r="PWP3" s="29"/>
      <c r="PWQ3" s="29"/>
      <c r="PWR3" s="29"/>
      <c r="PWS3" s="29"/>
      <c r="PWT3" s="29"/>
      <c r="PWU3" s="29"/>
      <c r="PWV3" s="29"/>
      <c r="PWW3" s="29"/>
      <c r="PWX3" s="29"/>
      <c r="PWY3" s="29"/>
      <c r="PWZ3" s="29"/>
      <c r="PXA3" s="29"/>
      <c r="PXB3" s="29"/>
      <c r="PXC3" s="29"/>
      <c r="PXD3" s="29"/>
      <c r="PXE3" s="29"/>
      <c r="PXF3" s="29"/>
      <c r="PXG3" s="29"/>
      <c r="PXH3" s="29"/>
      <c r="PXI3" s="29"/>
      <c r="PXJ3" s="29"/>
      <c r="PXK3" s="29"/>
      <c r="PXL3" s="29"/>
      <c r="PXM3" s="29"/>
      <c r="PXN3" s="29"/>
      <c r="PXO3" s="29"/>
      <c r="PXP3" s="29"/>
      <c r="PXQ3" s="29"/>
      <c r="PXR3" s="29"/>
      <c r="PXS3" s="29"/>
      <c r="PXT3" s="29"/>
      <c r="PXU3" s="29"/>
      <c r="PXV3" s="29"/>
      <c r="PXW3" s="29"/>
      <c r="PXX3" s="29"/>
      <c r="PXY3" s="29"/>
      <c r="PXZ3" s="29"/>
      <c r="PYA3" s="29"/>
      <c r="PYB3" s="29"/>
      <c r="PYC3" s="29"/>
      <c r="PYD3" s="29"/>
      <c r="PYE3" s="29"/>
      <c r="PYF3" s="29"/>
      <c r="PYG3" s="29"/>
      <c r="PYH3" s="29"/>
      <c r="PYI3" s="29"/>
      <c r="PYJ3" s="29"/>
      <c r="PYK3" s="29"/>
      <c r="PYL3" s="29"/>
      <c r="PYM3" s="29"/>
      <c r="PYN3" s="29"/>
      <c r="PYO3" s="29"/>
      <c r="PYP3" s="29"/>
      <c r="PYQ3" s="29"/>
      <c r="PYR3" s="29"/>
      <c r="PYS3" s="29"/>
      <c r="PYT3" s="29"/>
      <c r="PYU3" s="29"/>
      <c r="PYV3" s="29"/>
      <c r="PYW3" s="29"/>
      <c r="PYX3" s="29"/>
      <c r="PYY3" s="29"/>
      <c r="PYZ3" s="29"/>
      <c r="PZA3" s="29"/>
      <c r="PZB3" s="29"/>
      <c r="PZC3" s="29"/>
      <c r="PZD3" s="29"/>
      <c r="PZE3" s="29"/>
      <c r="PZF3" s="29"/>
      <c r="PZG3" s="29"/>
      <c r="PZH3" s="29"/>
      <c r="PZI3" s="29"/>
      <c r="PZJ3" s="29"/>
      <c r="PZK3" s="29"/>
      <c r="PZL3" s="29"/>
      <c r="PZM3" s="29"/>
      <c r="PZN3" s="29"/>
      <c r="PZO3" s="29"/>
      <c r="PZP3" s="29"/>
      <c r="PZQ3" s="29"/>
      <c r="PZR3" s="29"/>
      <c r="PZS3" s="29"/>
      <c r="PZT3" s="29"/>
      <c r="PZU3" s="29"/>
      <c r="PZV3" s="29"/>
      <c r="PZW3" s="29"/>
      <c r="PZX3" s="29"/>
      <c r="PZY3" s="29"/>
      <c r="PZZ3" s="29"/>
      <c r="QAA3" s="29"/>
      <c r="QAB3" s="29"/>
      <c r="QAC3" s="29"/>
      <c r="QAD3" s="29"/>
      <c r="QAE3" s="29"/>
      <c r="QAF3" s="29"/>
      <c r="QAG3" s="29"/>
      <c r="QAH3" s="29"/>
      <c r="QAI3" s="29"/>
      <c r="QAJ3" s="29"/>
      <c r="QAK3" s="29"/>
      <c r="QAL3" s="29"/>
      <c r="QAM3" s="29"/>
      <c r="QAN3" s="29"/>
      <c r="QAO3" s="29"/>
      <c r="QAP3" s="29"/>
      <c r="QAQ3" s="29"/>
      <c r="QAR3" s="29"/>
      <c r="QAS3" s="29"/>
      <c r="QAT3" s="29"/>
      <c r="QAU3" s="29"/>
      <c r="QAV3" s="29"/>
      <c r="QAW3" s="29"/>
      <c r="QAX3" s="29"/>
      <c r="QAY3" s="29"/>
      <c r="QAZ3" s="29"/>
      <c r="QBA3" s="29"/>
      <c r="QBB3" s="29"/>
      <c r="QBC3" s="29"/>
      <c r="QBD3" s="29"/>
      <c r="QBE3" s="29"/>
      <c r="QBF3" s="29"/>
      <c r="QBG3" s="29"/>
      <c r="QBH3" s="29"/>
      <c r="QBI3" s="29"/>
      <c r="QBJ3" s="29"/>
      <c r="QBK3" s="29"/>
      <c r="QBL3" s="29"/>
      <c r="QBM3" s="29"/>
      <c r="QBN3" s="29"/>
      <c r="QBO3" s="29"/>
      <c r="QBP3" s="29"/>
      <c r="QBQ3" s="29"/>
      <c r="QBR3" s="29"/>
      <c r="QBS3" s="29"/>
      <c r="QBT3" s="29"/>
      <c r="QBU3" s="29"/>
      <c r="QBV3" s="29"/>
      <c r="QBW3" s="29"/>
      <c r="QBX3" s="29"/>
      <c r="QBY3" s="29"/>
      <c r="QBZ3" s="29"/>
      <c r="QCA3" s="29"/>
      <c r="QCB3" s="29"/>
      <c r="QCC3" s="29"/>
      <c r="QCD3" s="29"/>
      <c r="QCE3" s="29"/>
      <c r="QCF3" s="29"/>
      <c r="QCG3" s="29"/>
      <c r="QCH3" s="29"/>
      <c r="QCI3" s="29"/>
      <c r="QCJ3" s="29"/>
      <c r="QCK3" s="29"/>
      <c r="QCL3" s="29"/>
      <c r="QCM3" s="29"/>
      <c r="QCN3" s="29"/>
      <c r="QCO3" s="29"/>
      <c r="QCP3" s="29"/>
      <c r="QCQ3" s="29"/>
      <c r="QCR3" s="29"/>
      <c r="QCS3" s="29"/>
      <c r="QCT3" s="29"/>
      <c r="QCU3" s="29"/>
      <c r="QCV3" s="29"/>
      <c r="QCW3" s="29"/>
      <c r="QCX3" s="29"/>
      <c r="QCY3" s="29"/>
      <c r="QCZ3" s="29"/>
      <c r="QDA3" s="29"/>
      <c r="QDB3" s="29"/>
      <c r="QDC3" s="29"/>
      <c r="QDD3" s="29"/>
      <c r="QDE3" s="29"/>
      <c r="QDF3" s="29"/>
      <c r="QDG3" s="29"/>
      <c r="QDH3" s="29"/>
      <c r="QDI3" s="29"/>
      <c r="QDJ3" s="29"/>
      <c r="QDK3" s="29"/>
      <c r="QDL3" s="29"/>
      <c r="QDM3" s="29"/>
      <c r="QDN3" s="29"/>
      <c r="QDO3" s="29"/>
      <c r="QDP3" s="29"/>
      <c r="QDQ3" s="29"/>
      <c r="QDR3" s="29"/>
      <c r="QDS3" s="29"/>
      <c r="QDT3" s="29"/>
      <c r="QDU3" s="29"/>
      <c r="QDV3" s="29"/>
      <c r="QDW3" s="29"/>
      <c r="QDX3" s="29"/>
      <c r="QDY3" s="29"/>
      <c r="QDZ3" s="29"/>
      <c r="QEA3" s="29"/>
      <c r="QEB3" s="29"/>
      <c r="QEC3" s="29"/>
      <c r="QED3" s="29"/>
      <c r="QEE3" s="29"/>
      <c r="QEF3" s="29"/>
      <c r="QEG3" s="29"/>
      <c r="QEH3" s="29"/>
      <c r="QEI3" s="29"/>
      <c r="QEJ3" s="29"/>
      <c r="QEK3" s="29"/>
      <c r="QEL3" s="29"/>
      <c r="QEM3" s="29"/>
      <c r="QEN3" s="29"/>
      <c r="QEO3" s="29"/>
      <c r="QEP3" s="29"/>
      <c r="QEQ3" s="29"/>
      <c r="QER3" s="29"/>
      <c r="QES3" s="29"/>
      <c r="QET3" s="29"/>
      <c r="QEU3" s="29"/>
      <c r="QEV3" s="29"/>
      <c r="QEW3" s="29"/>
      <c r="QEX3" s="29"/>
      <c r="QEY3" s="29"/>
      <c r="QEZ3" s="29"/>
      <c r="QFA3" s="29"/>
      <c r="QFB3" s="29"/>
      <c r="QFC3" s="29"/>
      <c r="QFD3" s="29"/>
      <c r="QFE3" s="29"/>
      <c r="QFF3" s="29"/>
      <c r="QFG3" s="29"/>
      <c r="QFH3" s="29"/>
      <c r="QFI3" s="29"/>
      <c r="QFJ3" s="29"/>
      <c r="QFK3" s="29"/>
      <c r="QFL3" s="29"/>
      <c r="QFM3" s="29"/>
      <c r="QFN3" s="29"/>
      <c r="QFO3" s="29"/>
      <c r="QFP3" s="29"/>
      <c r="QFQ3" s="29"/>
      <c r="QFR3" s="29"/>
      <c r="QFS3" s="29"/>
      <c r="QFT3" s="29"/>
      <c r="QFU3" s="29"/>
      <c r="QFV3" s="29"/>
      <c r="QFW3" s="29"/>
      <c r="QFX3" s="29"/>
      <c r="QFY3" s="29"/>
      <c r="QFZ3" s="29"/>
      <c r="QGA3" s="29"/>
      <c r="QGB3" s="29"/>
      <c r="QGC3" s="29"/>
      <c r="QGD3" s="29"/>
      <c r="QGE3" s="29"/>
      <c r="QGF3" s="29"/>
      <c r="QGG3" s="29"/>
      <c r="QGH3" s="29"/>
      <c r="QGI3" s="29"/>
      <c r="QGJ3" s="29"/>
      <c r="QGK3" s="29"/>
      <c r="QGL3" s="29"/>
      <c r="QGM3" s="29"/>
      <c r="QGN3" s="29"/>
      <c r="QGO3" s="29"/>
      <c r="QGP3" s="29"/>
      <c r="QGQ3" s="29"/>
      <c r="QGR3" s="29"/>
      <c r="QGS3" s="29"/>
      <c r="QGT3" s="29"/>
      <c r="QGU3" s="29"/>
      <c r="QGV3" s="29"/>
      <c r="QGW3" s="29"/>
      <c r="QGX3" s="29"/>
      <c r="QGY3" s="29"/>
      <c r="QGZ3" s="29"/>
      <c r="QHA3" s="29"/>
      <c r="QHB3" s="29"/>
      <c r="QHC3" s="29"/>
      <c r="QHD3" s="29"/>
      <c r="QHE3" s="29"/>
      <c r="QHF3" s="29"/>
      <c r="QHG3" s="29"/>
      <c r="QHH3" s="29"/>
      <c r="QHI3" s="29"/>
      <c r="QHJ3" s="29"/>
      <c r="QHK3" s="29"/>
      <c r="QHL3" s="29"/>
      <c r="QHM3" s="29"/>
      <c r="QHN3" s="29"/>
      <c r="QHO3" s="29"/>
      <c r="QHP3" s="29"/>
      <c r="QHQ3" s="29"/>
      <c r="QHR3" s="29"/>
      <c r="QHS3" s="29"/>
      <c r="QHT3" s="29"/>
      <c r="QHU3" s="29"/>
      <c r="QHV3" s="29"/>
      <c r="QHW3" s="29"/>
      <c r="QHX3" s="29"/>
      <c r="QHY3" s="29"/>
      <c r="QHZ3" s="29"/>
      <c r="QIA3" s="29"/>
      <c r="QIB3" s="29"/>
      <c r="QIC3" s="29"/>
      <c r="QID3" s="29"/>
      <c r="QIE3" s="29"/>
      <c r="QIF3" s="29"/>
      <c r="QIG3" s="29"/>
      <c r="QIH3" s="29"/>
      <c r="QII3" s="29"/>
      <c r="QIJ3" s="29"/>
      <c r="QIK3" s="29"/>
      <c r="QIL3" s="29"/>
      <c r="QIM3" s="29"/>
      <c r="QIN3" s="29"/>
      <c r="QIO3" s="29"/>
      <c r="QIP3" s="29"/>
      <c r="QIQ3" s="29"/>
      <c r="QIR3" s="29"/>
      <c r="QIS3" s="29"/>
      <c r="QIT3" s="29"/>
      <c r="QIU3" s="29"/>
      <c r="QIV3" s="29"/>
      <c r="QIW3" s="29"/>
      <c r="QIX3" s="29"/>
      <c r="QIY3" s="29"/>
      <c r="QIZ3" s="29"/>
      <c r="QJA3" s="29"/>
      <c r="QJB3" s="29"/>
      <c r="QJC3" s="29"/>
      <c r="QJD3" s="29"/>
      <c r="QJE3" s="29"/>
      <c r="QJF3" s="29"/>
      <c r="QJG3" s="29"/>
      <c r="QJH3" s="29"/>
      <c r="QJI3" s="29"/>
      <c r="QJJ3" s="29"/>
      <c r="QJK3" s="29"/>
      <c r="QJL3" s="29"/>
      <c r="QJM3" s="29"/>
      <c r="QJN3" s="29"/>
      <c r="QJO3" s="29"/>
      <c r="QJP3" s="29"/>
      <c r="QJQ3" s="29"/>
      <c r="QJR3" s="29"/>
      <c r="QJS3" s="29"/>
      <c r="QJT3" s="29"/>
      <c r="QJU3" s="29"/>
      <c r="QJV3" s="29"/>
      <c r="QJW3" s="29"/>
      <c r="QJX3" s="29"/>
      <c r="QJY3" s="29"/>
      <c r="QJZ3" s="29"/>
      <c r="QKA3" s="29"/>
      <c r="QKB3" s="29"/>
      <c r="QKC3" s="29"/>
      <c r="QKD3" s="29"/>
      <c r="QKE3" s="29"/>
      <c r="QKF3" s="29"/>
      <c r="QKG3" s="29"/>
      <c r="QKH3" s="29"/>
      <c r="QKI3" s="29"/>
      <c r="QKJ3" s="29"/>
      <c r="QKK3" s="29"/>
      <c r="QKL3" s="29"/>
      <c r="QKM3" s="29"/>
      <c r="QKN3" s="29"/>
      <c r="QKO3" s="29"/>
      <c r="QKP3" s="29"/>
      <c r="QKQ3" s="29"/>
      <c r="QKR3" s="29"/>
      <c r="QKS3" s="29"/>
      <c r="QKT3" s="29"/>
      <c r="QKU3" s="29"/>
      <c r="QKV3" s="29"/>
      <c r="QKW3" s="29"/>
      <c r="QKX3" s="29"/>
      <c r="QKY3" s="29"/>
      <c r="QKZ3" s="29"/>
      <c r="QLA3" s="29"/>
      <c r="QLB3" s="29"/>
      <c r="QLC3" s="29"/>
      <c r="QLD3" s="29"/>
      <c r="QLE3" s="29"/>
      <c r="QLF3" s="29"/>
      <c r="QLG3" s="29"/>
      <c r="QLH3" s="29"/>
      <c r="QLI3" s="29"/>
      <c r="QLJ3" s="29"/>
      <c r="QLK3" s="29"/>
      <c r="QLL3" s="29"/>
      <c r="QLM3" s="29"/>
      <c r="QLN3" s="29"/>
      <c r="QLO3" s="29"/>
      <c r="QLP3" s="29"/>
      <c r="QLQ3" s="29"/>
      <c r="QLR3" s="29"/>
      <c r="QLS3" s="29"/>
      <c r="QLT3" s="29"/>
      <c r="QLU3" s="29"/>
      <c r="QLV3" s="29"/>
      <c r="QLW3" s="29"/>
      <c r="QLX3" s="29"/>
      <c r="QLY3" s="29"/>
      <c r="QLZ3" s="29"/>
      <c r="QMA3" s="29"/>
      <c r="QMB3" s="29"/>
      <c r="QMC3" s="29"/>
      <c r="QMD3" s="29"/>
      <c r="QME3" s="29"/>
      <c r="QMF3" s="29"/>
      <c r="QMG3" s="29"/>
      <c r="QMH3" s="29"/>
      <c r="QMI3" s="29"/>
      <c r="QMJ3" s="29"/>
      <c r="QMK3" s="29"/>
      <c r="QML3" s="29"/>
      <c r="QMM3" s="29"/>
      <c r="QMN3" s="29"/>
      <c r="QMO3" s="29"/>
      <c r="QMP3" s="29"/>
      <c r="QMQ3" s="29"/>
      <c r="QMR3" s="29"/>
      <c r="QMS3" s="29"/>
      <c r="QMT3" s="29"/>
      <c r="QMU3" s="29"/>
      <c r="QMV3" s="29"/>
      <c r="QMW3" s="29"/>
      <c r="QMX3" s="29"/>
      <c r="QMY3" s="29"/>
      <c r="QMZ3" s="29"/>
      <c r="QNA3" s="29"/>
      <c r="QNB3" s="29"/>
      <c r="QNC3" s="29"/>
      <c r="QND3" s="29"/>
      <c r="QNE3" s="29"/>
      <c r="QNF3" s="29"/>
      <c r="QNG3" s="29"/>
      <c r="QNH3" s="29"/>
      <c r="QNI3" s="29"/>
      <c r="QNJ3" s="29"/>
      <c r="QNK3" s="29"/>
      <c r="QNL3" s="29"/>
      <c r="QNM3" s="29"/>
      <c r="QNN3" s="29"/>
      <c r="QNO3" s="29"/>
      <c r="QNP3" s="29"/>
      <c r="QNQ3" s="29"/>
      <c r="QNR3" s="29"/>
      <c r="QNS3" s="29"/>
      <c r="QNT3" s="29"/>
      <c r="QNU3" s="29"/>
      <c r="QNV3" s="29"/>
      <c r="QNW3" s="29"/>
      <c r="QNX3" s="29"/>
      <c r="QNY3" s="29"/>
      <c r="QNZ3" s="29"/>
      <c r="QOA3" s="29"/>
      <c r="QOB3" s="29"/>
      <c r="QOC3" s="29"/>
      <c r="QOD3" s="29"/>
      <c r="QOE3" s="29"/>
      <c r="QOF3" s="29"/>
      <c r="QOG3" s="29"/>
      <c r="QOH3" s="29"/>
      <c r="QOI3" s="29"/>
      <c r="QOJ3" s="29"/>
      <c r="QOK3" s="29"/>
      <c r="QOL3" s="29"/>
      <c r="QOM3" s="29"/>
      <c r="QON3" s="29"/>
      <c r="QOO3" s="29"/>
      <c r="QOP3" s="29"/>
      <c r="QOQ3" s="29"/>
      <c r="QOR3" s="29"/>
      <c r="QOS3" s="29"/>
      <c r="QOT3" s="29"/>
      <c r="QOU3" s="29"/>
      <c r="QOV3" s="29"/>
      <c r="QOW3" s="29"/>
      <c r="QOX3" s="29"/>
      <c r="QOY3" s="29"/>
      <c r="QOZ3" s="29"/>
      <c r="QPA3" s="29"/>
      <c r="QPB3" s="29"/>
      <c r="QPC3" s="29"/>
      <c r="QPD3" s="29"/>
      <c r="QPE3" s="29"/>
      <c r="QPF3" s="29"/>
      <c r="QPG3" s="29"/>
      <c r="QPH3" s="29"/>
      <c r="QPI3" s="29"/>
      <c r="QPJ3" s="29"/>
      <c r="QPK3" s="29"/>
      <c r="QPL3" s="29"/>
      <c r="QPM3" s="29"/>
      <c r="QPN3" s="29"/>
      <c r="QPO3" s="29"/>
      <c r="QPP3" s="29"/>
      <c r="QPQ3" s="29"/>
      <c r="QPR3" s="29"/>
      <c r="QPS3" s="29"/>
      <c r="QPT3" s="29"/>
      <c r="QPU3" s="29"/>
      <c r="QPV3" s="29"/>
      <c r="QPW3" s="29"/>
      <c r="QPX3" s="29"/>
      <c r="QPY3" s="29"/>
      <c r="QPZ3" s="29"/>
      <c r="QQA3" s="29"/>
      <c r="QQB3" s="29"/>
      <c r="QQC3" s="29"/>
      <c r="QQD3" s="29"/>
      <c r="QQE3" s="29"/>
      <c r="QQF3" s="29"/>
      <c r="QQG3" s="29"/>
      <c r="QQH3" s="29"/>
      <c r="QQI3" s="29"/>
      <c r="QQJ3" s="29"/>
      <c r="QQK3" s="29"/>
      <c r="QQL3" s="29"/>
      <c r="QQM3" s="29"/>
      <c r="QQN3" s="29"/>
      <c r="QQO3" s="29"/>
      <c r="QQP3" s="29"/>
      <c r="QQQ3" s="29"/>
      <c r="QQR3" s="29"/>
      <c r="QQS3" s="29"/>
      <c r="QQT3" s="29"/>
      <c r="QQU3" s="29"/>
      <c r="QQV3" s="29"/>
      <c r="QQW3" s="29"/>
      <c r="QQX3" s="29"/>
      <c r="QQY3" s="29"/>
      <c r="QQZ3" s="29"/>
      <c r="QRA3" s="29"/>
      <c r="QRB3" s="29"/>
      <c r="QRC3" s="29"/>
      <c r="QRD3" s="29"/>
      <c r="QRE3" s="29"/>
      <c r="QRF3" s="29"/>
      <c r="QRG3" s="29"/>
      <c r="QRH3" s="29"/>
      <c r="QRI3" s="29"/>
      <c r="QRJ3" s="29"/>
      <c r="QRK3" s="29"/>
      <c r="QRL3" s="29"/>
      <c r="QRM3" s="29"/>
      <c r="QRN3" s="29"/>
      <c r="QRO3" s="29"/>
      <c r="QRP3" s="29"/>
      <c r="QRQ3" s="29"/>
      <c r="QRR3" s="29"/>
      <c r="QRS3" s="29"/>
      <c r="QRT3" s="29"/>
      <c r="QRU3" s="29"/>
      <c r="QRV3" s="29"/>
      <c r="QRW3" s="29"/>
      <c r="QRX3" s="29"/>
      <c r="QRY3" s="29"/>
      <c r="QRZ3" s="29"/>
      <c r="QSA3" s="29"/>
      <c r="QSB3" s="29"/>
      <c r="QSC3" s="29"/>
      <c r="QSD3" s="29"/>
      <c r="QSE3" s="29"/>
      <c r="QSF3" s="29"/>
      <c r="QSG3" s="29"/>
      <c r="QSH3" s="29"/>
      <c r="QSI3" s="29"/>
      <c r="QSJ3" s="29"/>
      <c r="QSK3" s="29"/>
      <c r="QSL3" s="29"/>
      <c r="QSM3" s="29"/>
      <c r="QSN3" s="29"/>
      <c r="QSO3" s="29"/>
      <c r="QSP3" s="29"/>
      <c r="QSQ3" s="29"/>
      <c r="QSR3" s="29"/>
      <c r="QSS3" s="29"/>
      <c r="QST3" s="29"/>
      <c r="QSU3" s="29"/>
      <c r="QSV3" s="29"/>
      <c r="QSW3" s="29"/>
      <c r="QSX3" s="29"/>
      <c r="QSY3" s="29"/>
      <c r="QSZ3" s="29"/>
      <c r="QTA3" s="29"/>
      <c r="QTB3" s="29"/>
      <c r="QTC3" s="29"/>
      <c r="QTD3" s="29"/>
      <c r="QTE3" s="29"/>
      <c r="QTF3" s="29"/>
      <c r="QTG3" s="29"/>
      <c r="QTH3" s="29"/>
      <c r="QTI3" s="29"/>
      <c r="QTJ3" s="29"/>
      <c r="QTK3" s="29"/>
      <c r="QTL3" s="29"/>
      <c r="QTM3" s="29"/>
      <c r="QTN3" s="29"/>
      <c r="QTO3" s="29"/>
      <c r="QTP3" s="29"/>
      <c r="QTQ3" s="29"/>
      <c r="QTR3" s="29"/>
      <c r="QTS3" s="29"/>
      <c r="QTT3" s="29"/>
      <c r="QTU3" s="29"/>
      <c r="QTV3" s="29"/>
      <c r="QTW3" s="29"/>
      <c r="QTX3" s="29"/>
      <c r="QTY3" s="29"/>
      <c r="QTZ3" s="29"/>
      <c r="QUA3" s="29"/>
      <c r="QUB3" s="29"/>
      <c r="QUC3" s="29"/>
      <c r="QUD3" s="29"/>
      <c r="QUE3" s="29"/>
      <c r="QUF3" s="29"/>
      <c r="QUG3" s="29"/>
      <c r="QUH3" s="29"/>
      <c r="QUI3" s="29"/>
      <c r="QUJ3" s="29"/>
      <c r="QUK3" s="29"/>
      <c r="QUL3" s="29"/>
      <c r="QUM3" s="29"/>
      <c r="QUN3" s="29"/>
      <c r="QUO3" s="29"/>
      <c r="QUP3" s="29"/>
      <c r="QUQ3" s="29"/>
      <c r="QUR3" s="29"/>
      <c r="QUS3" s="29"/>
      <c r="QUT3" s="29"/>
      <c r="QUU3" s="29"/>
      <c r="QUV3" s="29"/>
      <c r="QUW3" s="29"/>
      <c r="QUX3" s="29"/>
      <c r="QUY3" s="29"/>
      <c r="QUZ3" s="29"/>
      <c r="QVA3" s="29"/>
      <c r="QVB3" s="29"/>
      <c r="QVC3" s="29"/>
      <c r="QVD3" s="29"/>
      <c r="QVE3" s="29"/>
      <c r="QVF3" s="29"/>
      <c r="QVG3" s="29"/>
      <c r="QVH3" s="29"/>
      <c r="QVI3" s="29"/>
      <c r="QVJ3" s="29"/>
      <c r="QVK3" s="29"/>
      <c r="QVL3" s="29"/>
      <c r="QVM3" s="29"/>
      <c r="QVN3" s="29"/>
      <c r="QVO3" s="29"/>
      <c r="QVP3" s="29"/>
      <c r="QVQ3" s="29"/>
      <c r="QVR3" s="29"/>
      <c r="QVS3" s="29"/>
      <c r="QVT3" s="29"/>
      <c r="QVU3" s="29"/>
      <c r="QVV3" s="29"/>
      <c r="QVW3" s="29"/>
      <c r="QVX3" s="29"/>
      <c r="QVY3" s="29"/>
      <c r="QVZ3" s="29"/>
      <c r="QWA3" s="29"/>
      <c r="QWB3" s="29"/>
      <c r="QWC3" s="29"/>
      <c r="QWD3" s="29"/>
      <c r="QWE3" s="29"/>
      <c r="QWF3" s="29"/>
      <c r="QWG3" s="29"/>
      <c r="QWH3" s="29"/>
      <c r="QWI3" s="29"/>
      <c r="QWJ3" s="29"/>
      <c r="QWK3" s="29"/>
      <c r="QWL3" s="29"/>
      <c r="QWM3" s="29"/>
      <c r="QWN3" s="29"/>
      <c r="QWO3" s="29"/>
      <c r="QWP3" s="29"/>
      <c r="QWQ3" s="29"/>
      <c r="QWR3" s="29"/>
      <c r="QWS3" s="29"/>
      <c r="QWT3" s="29"/>
      <c r="QWU3" s="29"/>
      <c r="QWV3" s="29"/>
      <c r="QWW3" s="29"/>
      <c r="QWX3" s="29"/>
      <c r="QWY3" s="29"/>
      <c r="QWZ3" s="29"/>
      <c r="QXA3" s="29"/>
      <c r="QXB3" s="29"/>
      <c r="QXC3" s="29"/>
      <c r="QXD3" s="29"/>
      <c r="QXE3" s="29"/>
      <c r="QXF3" s="29"/>
      <c r="QXG3" s="29"/>
      <c r="QXH3" s="29"/>
      <c r="QXI3" s="29"/>
      <c r="QXJ3" s="29"/>
      <c r="QXK3" s="29"/>
      <c r="QXL3" s="29"/>
      <c r="QXM3" s="29"/>
      <c r="QXN3" s="29"/>
      <c r="QXO3" s="29"/>
      <c r="QXP3" s="29"/>
      <c r="QXQ3" s="29"/>
      <c r="QXR3" s="29"/>
      <c r="QXS3" s="29"/>
      <c r="QXT3" s="29"/>
      <c r="QXU3" s="29"/>
      <c r="QXV3" s="29"/>
      <c r="QXW3" s="29"/>
      <c r="QXX3" s="29"/>
      <c r="QXY3" s="29"/>
      <c r="QXZ3" s="29"/>
      <c r="QYA3" s="29"/>
      <c r="QYB3" s="29"/>
      <c r="QYC3" s="29"/>
      <c r="QYD3" s="29"/>
      <c r="QYE3" s="29"/>
      <c r="QYF3" s="29"/>
      <c r="QYG3" s="29"/>
      <c r="QYH3" s="29"/>
      <c r="QYI3" s="29"/>
      <c r="QYJ3" s="29"/>
      <c r="QYK3" s="29"/>
      <c r="QYL3" s="29"/>
      <c r="QYM3" s="29"/>
      <c r="QYN3" s="29"/>
      <c r="QYO3" s="29"/>
      <c r="QYP3" s="29"/>
      <c r="QYQ3" s="29"/>
      <c r="QYR3" s="29"/>
      <c r="QYS3" s="29"/>
      <c r="QYT3" s="29"/>
      <c r="QYU3" s="29"/>
      <c r="QYV3" s="29"/>
      <c r="QYW3" s="29"/>
      <c r="QYX3" s="29"/>
      <c r="QYY3" s="29"/>
      <c r="QYZ3" s="29"/>
      <c r="QZA3" s="29"/>
      <c r="QZB3" s="29"/>
      <c r="QZC3" s="29"/>
      <c r="QZD3" s="29"/>
      <c r="QZE3" s="29"/>
      <c r="QZF3" s="29"/>
      <c r="QZG3" s="29"/>
      <c r="QZH3" s="29"/>
      <c r="QZI3" s="29"/>
      <c r="QZJ3" s="29"/>
      <c r="QZK3" s="29"/>
      <c r="QZL3" s="29"/>
      <c r="QZM3" s="29"/>
      <c r="QZN3" s="29"/>
      <c r="QZO3" s="29"/>
      <c r="QZP3" s="29"/>
      <c r="QZQ3" s="29"/>
      <c r="QZR3" s="29"/>
      <c r="QZS3" s="29"/>
      <c r="QZT3" s="29"/>
      <c r="QZU3" s="29"/>
      <c r="QZV3" s="29"/>
      <c r="QZW3" s="29"/>
      <c r="QZX3" s="29"/>
      <c r="QZY3" s="29"/>
      <c r="QZZ3" s="29"/>
      <c r="RAA3" s="29"/>
      <c r="RAB3" s="29"/>
      <c r="RAC3" s="29"/>
      <c r="RAD3" s="29"/>
      <c r="RAE3" s="29"/>
      <c r="RAF3" s="29"/>
      <c r="RAG3" s="29"/>
      <c r="RAH3" s="29"/>
      <c r="RAI3" s="29"/>
      <c r="RAJ3" s="29"/>
      <c r="RAK3" s="29"/>
      <c r="RAL3" s="29"/>
      <c r="RAM3" s="29"/>
      <c r="RAN3" s="29"/>
      <c r="RAO3" s="29"/>
      <c r="RAP3" s="29"/>
      <c r="RAQ3" s="29"/>
      <c r="RAR3" s="29"/>
      <c r="RAS3" s="29"/>
      <c r="RAT3" s="29"/>
      <c r="RAU3" s="29"/>
      <c r="RAV3" s="29"/>
      <c r="RAW3" s="29"/>
      <c r="RAX3" s="29"/>
      <c r="RAY3" s="29"/>
      <c r="RAZ3" s="29"/>
      <c r="RBA3" s="29"/>
      <c r="RBB3" s="29"/>
      <c r="RBC3" s="29"/>
      <c r="RBD3" s="29"/>
      <c r="RBE3" s="29"/>
      <c r="RBF3" s="29"/>
      <c r="RBG3" s="29"/>
      <c r="RBH3" s="29"/>
      <c r="RBI3" s="29"/>
      <c r="RBJ3" s="29"/>
      <c r="RBK3" s="29"/>
      <c r="RBL3" s="29"/>
      <c r="RBM3" s="29"/>
      <c r="RBN3" s="29"/>
      <c r="RBO3" s="29"/>
      <c r="RBP3" s="29"/>
      <c r="RBQ3" s="29"/>
      <c r="RBR3" s="29"/>
      <c r="RBS3" s="29"/>
      <c r="RBT3" s="29"/>
      <c r="RBU3" s="29"/>
      <c r="RBV3" s="29"/>
      <c r="RBW3" s="29"/>
      <c r="RBX3" s="29"/>
      <c r="RBY3" s="29"/>
      <c r="RBZ3" s="29"/>
      <c r="RCA3" s="29"/>
      <c r="RCB3" s="29"/>
      <c r="RCC3" s="29"/>
      <c r="RCD3" s="29"/>
      <c r="RCE3" s="29"/>
      <c r="RCF3" s="29"/>
      <c r="RCG3" s="29"/>
      <c r="RCH3" s="29"/>
      <c r="RCI3" s="29"/>
      <c r="RCJ3" s="29"/>
      <c r="RCK3" s="29"/>
      <c r="RCL3" s="29"/>
      <c r="RCM3" s="29"/>
      <c r="RCN3" s="29"/>
      <c r="RCO3" s="29"/>
      <c r="RCP3" s="29"/>
      <c r="RCQ3" s="29"/>
      <c r="RCR3" s="29"/>
      <c r="RCS3" s="29"/>
      <c r="RCT3" s="29"/>
      <c r="RCU3" s="29"/>
      <c r="RCV3" s="29"/>
      <c r="RCW3" s="29"/>
      <c r="RCX3" s="29"/>
      <c r="RCY3" s="29"/>
      <c r="RCZ3" s="29"/>
      <c r="RDA3" s="29"/>
      <c r="RDB3" s="29"/>
      <c r="RDC3" s="29"/>
      <c r="RDD3" s="29"/>
      <c r="RDE3" s="29"/>
      <c r="RDF3" s="29"/>
      <c r="RDG3" s="29"/>
      <c r="RDH3" s="29"/>
      <c r="RDI3" s="29"/>
      <c r="RDJ3" s="29"/>
      <c r="RDK3" s="29"/>
      <c r="RDL3" s="29"/>
      <c r="RDM3" s="29"/>
      <c r="RDN3" s="29"/>
      <c r="RDO3" s="29"/>
      <c r="RDP3" s="29"/>
      <c r="RDQ3" s="29"/>
      <c r="RDR3" s="29"/>
      <c r="RDS3" s="29"/>
      <c r="RDT3" s="29"/>
      <c r="RDU3" s="29"/>
      <c r="RDV3" s="29"/>
      <c r="RDW3" s="29"/>
      <c r="RDX3" s="29"/>
      <c r="RDY3" s="29"/>
      <c r="RDZ3" s="29"/>
      <c r="REA3" s="29"/>
      <c r="REB3" s="29"/>
      <c r="REC3" s="29"/>
      <c r="RED3" s="29"/>
      <c r="REE3" s="29"/>
      <c r="REF3" s="29"/>
      <c r="REG3" s="29"/>
      <c r="REH3" s="29"/>
      <c r="REI3" s="29"/>
      <c r="REJ3" s="29"/>
      <c r="REK3" s="29"/>
      <c r="REL3" s="29"/>
      <c r="REM3" s="29"/>
      <c r="REN3" s="29"/>
      <c r="REO3" s="29"/>
      <c r="REP3" s="29"/>
      <c r="REQ3" s="29"/>
      <c r="RER3" s="29"/>
      <c r="RES3" s="29"/>
      <c r="RET3" s="29"/>
      <c r="REU3" s="29"/>
      <c r="REV3" s="29"/>
      <c r="REW3" s="29"/>
      <c r="REX3" s="29"/>
      <c r="REY3" s="29"/>
      <c r="REZ3" s="29"/>
      <c r="RFA3" s="29"/>
      <c r="RFB3" s="29"/>
      <c r="RFC3" s="29"/>
      <c r="RFD3" s="29"/>
      <c r="RFE3" s="29"/>
      <c r="RFF3" s="29"/>
      <c r="RFG3" s="29"/>
      <c r="RFH3" s="29"/>
      <c r="RFI3" s="29"/>
      <c r="RFJ3" s="29"/>
      <c r="RFK3" s="29"/>
      <c r="RFL3" s="29"/>
      <c r="RFM3" s="29"/>
      <c r="RFN3" s="29"/>
      <c r="RFO3" s="29"/>
      <c r="RFP3" s="29"/>
      <c r="RFQ3" s="29"/>
      <c r="RFR3" s="29"/>
      <c r="RFS3" s="29"/>
      <c r="RFT3" s="29"/>
      <c r="RFU3" s="29"/>
      <c r="RFV3" s="29"/>
      <c r="RFW3" s="29"/>
      <c r="RFX3" s="29"/>
      <c r="RFY3" s="29"/>
      <c r="RFZ3" s="29"/>
      <c r="RGA3" s="29"/>
      <c r="RGB3" s="29"/>
      <c r="RGC3" s="29"/>
      <c r="RGD3" s="29"/>
      <c r="RGE3" s="29"/>
      <c r="RGF3" s="29"/>
      <c r="RGG3" s="29"/>
      <c r="RGH3" s="29"/>
      <c r="RGI3" s="29"/>
      <c r="RGJ3" s="29"/>
      <c r="RGK3" s="29"/>
      <c r="RGL3" s="29"/>
      <c r="RGM3" s="29"/>
      <c r="RGN3" s="29"/>
      <c r="RGO3" s="29"/>
      <c r="RGP3" s="29"/>
      <c r="RGQ3" s="29"/>
      <c r="RGR3" s="29"/>
      <c r="RGS3" s="29"/>
      <c r="RGT3" s="29"/>
      <c r="RGU3" s="29"/>
      <c r="RGV3" s="29"/>
      <c r="RGW3" s="29"/>
      <c r="RGX3" s="29"/>
      <c r="RGY3" s="29"/>
      <c r="RGZ3" s="29"/>
      <c r="RHA3" s="29"/>
      <c r="RHB3" s="29"/>
      <c r="RHC3" s="29"/>
      <c r="RHD3" s="29"/>
      <c r="RHE3" s="29"/>
      <c r="RHF3" s="29"/>
      <c r="RHG3" s="29"/>
      <c r="RHH3" s="29"/>
      <c r="RHI3" s="29"/>
      <c r="RHJ3" s="29"/>
      <c r="RHK3" s="29"/>
      <c r="RHL3" s="29"/>
      <c r="RHM3" s="29"/>
      <c r="RHN3" s="29"/>
      <c r="RHO3" s="29"/>
      <c r="RHP3" s="29"/>
      <c r="RHQ3" s="29"/>
      <c r="RHR3" s="29"/>
      <c r="RHS3" s="29"/>
      <c r="RHT3" s="29"/>
      <c r="RHU3" s="29"/>
      <c r="RHV3" s="29"/>
      <c r="RHW3" s="29"/>
      <c r="RHX3" s="29"/>
      <c r="RHY3" s="29"/>
      <c r="RHZ3" s="29"/>
      <c r="RIA3" s="29"/>
      <c r="RIB3" s="29"/>
      <c r="RIC3" s="29"/>
      <c r="RID3" s="29"/>
      <c r="RIE3" s="29"/>
      <c r="RIF3" s="29"/>
      <c r="RIG3" s="29"/>
      <c r="RIH3" s="29"/>
      <c r="RII3" s="29"/>
      <c r="RIJ3" s="29"/>
      <c r="RIK3" s="29"/>
      <c r="RIL3" s="29"/>
      <c r="RIM3" s="29"/>
      <c r="RIN3" s="29"/>
      <c r="RIO3" s="29"/>
      <c r="RIP3" s="29"/>
      <c r="RIQ3" s="29"/>
      <c r="RIR3" s="29"/>
      <c r="RIS3" s="29"/>
      <c r="RIT3" s="29"/>
      <c r="RIU3" s="29"/>
      <c r="RIV3" s="29"/>
      <c r="RIW3" s="29"/>
      <c r="RIX3" s="29"/>
      <c r="RIY3" s="29"/>
      <c r="RIZ3" s="29"/>
      <c r="RJA3" s="29"/>
      <c r="RJB3" s="29"/>
      <c r="RJC3" s="29"/>
      <c r="RJD3" s="29"/>
      <c r="RJE3" s="29"/>
      <c r="RJF3" s="29"/>
      <c r="RJG3" s="29"/>
      <c r="RJH3" s="29"/>
      <c r="RJI3" s="29"/>
      <c r="RJJ3" s="29"/>
      <c r="RJK3" s="29"/>
      <c r="RJL3" s="29"/>
      <c r="RJM3" s="29"/>
      <c r="RJN3" s="29"/>
      <c r="RJO3" s="29"/>
      <c r="RJP3" s="29"/>
      <c r="RJQ3" s="29"/>
      <c r="RJR3" s="29"/>
      <c r="RJS3" s="29"/>
      <c r="RJT3" s="29"/>
      <c r="RJU3" s="29"/>
      <c r="RJV3" s="29"/>
      <c r="RJW3" s="29"/>
      <c r="RJX3" s="29"/>
      <c r="RJY3" s="29"/>
      <c r="RJZ3" s="29"/>
      <c r="RKA3" s="29"/>
      <c r="RKB3" s="29"/>
      <c r="RKC3" s="29"/>
      <c r="RKD3" s="29"/>
      <c r="RKE3" s="29"/>
      <c r="RKF3" s="29"/>
      <c r="RKG3" s="29"/>
      <c r="RKH3" s="29"/>
      <c r="RKI3" s="29"/>
      <c r="RKJ3" s="29"/>
      <c r="RKK3" s="29"/>
      <c r="RKL3" s="29"/>
      <c r="RKM3" s="29"/>
      <c r="RKN3" s="29"/>
      <c r="RKO3" s="29"/>
      <c r="RKP3" s="29"/>
      <c r="RKQ3" s="29"/>
      <c r="RKR3" s="29"/>
      <c r="RKS3" s="29"/>
      <c r="RKT3" s="29"/>
      <c r="RKU3" s="29"/>
      <c r="RKV3" s="29"/>
      <c r="RKW3" s="29"/>
      <c r="RKX3" s="29"/>
      <c r="RKY3" s="29"/>
      <c r="RKZ3" s="29"/>
      <c r="RLA3" s="29"/>
      <c r="RLB3" s="29"/>
      <c r="RLC3" s="29"/>
      <c r="RLD3" s="29"/>
      <c r="RLE3" s="29"/>
      <c r="RLF3" s="29"/>
      <c r="RLG3" s="29"/>
      <c r="RLH3" s="29"/>
      <c r="RLI3" s="29"/>
      <c r="RLJ3" s="29"/>
      <c r="RLK3" s="29"/>
      <c r="RLL3" s="29"/>
      <c r="RLM3" s="29"/>
      <c r="RLN3" s="29"/>
      <c r="RLO3" s="29"/>
      <c r="RLP3" s="29"/>
      <c r="RLQ3" s="29"/>
      <c r="RLR3" s="29"/>
      <c r="RLS3" s="29"/>
      <c r="RLT3" s="29"/>
      <c r="RLU3" s="29"/>
      <c r="RLV3" s="29"/>
      <c r="RLW3" s="29"/>
      <c r="RLX3" s="29"/>
      <c r="RLY3" s="29"/>
      <c r="RLZ3" s="29"/>
      <c r="RMA3" s="29"/>
      <c r="RMB3" s="29"/>
      <c r="RMC3" s="29"/>
      <c r="RMD3" s="29"/>
      <c r="RME3" s="29"/>
      <c r="RMF3" s="29"/>
      <c r="RMG3" s="29"/>
      <c r="RMH3" s="29"/>
      <c r="RMI3" s="29"/>
      <c r="RMJ3" s="29"/>
      <c r="RMK3" s="29"/>
      <c r="RML3" s="29"/>
      <c r="RMM3" s="29"/>
      <c r="RMN3" s="29"/>
      <c r="RMO3" s="29"/>
      <c r="RMP3" s="29"/>
      <c r="RMQ3" s="29"/>
      <c r="RMR3" s="29"/>
      <c r="RMS3" s="29"/>
      <c r="RMT3" s="29"/>
      <c r="RMU3" s="29"/>
      <c r="RMV3" s="29"/>
      <c r="RMW3" s="29"/>
      <c r="RMX3" s="29"/>
      <c r="RMY3" s="29"/>
      <c r="RMZ3" s="29"/>
      <c r="RNA3" s="29"/>
      <c r="RNB3" s="29"/>
      <c r="RNC3" s="29"/>
      <c r="RND3" s="29"/>
      <c r="RNE3" s="29"/>
      <c r="RNF3" s="29"/>
      <c r="RNG3" s="29"/>
      <c r="RNH3" s="29"/>
      <c r="RNI3" s="29"/>
      <c r="RNJ3" s="29"/>
      <c r="RNK3" s="29"/>
      <c r="RNL3" s="29"/>
      <c r="RNM3" s="29"/>
      <c r="RNN3" s="29"/>
      <c r="RNO3" s="29"/>
      <c r="RNP3" s="29"/>
      <c r="RNQ3" s="29"/>
      <c r="RNR3" s="29"/>
      <c r="RNS3" s="29"/>
      <c r="RNT3" s="29"/>
      <c r="RNU3" s="29"/>
      <c r="RNV3" s="29"/>
      <c r="RNW3" s="29"/>
      <c r="RNX3" s="29"/>
      <c r="RNY3" s="29"/>
      <c r="RNZ3" s="29"/>
      <c r="ROA3" s="29"/>
      <c r="ROB3" s="29"/>
      <c r="ROC3" s="29"/>
      <c r="ROD3" s="29"/>
      <c r="ROE3" s="29"/>
      <c r="ROF3" s="29"/>
      <c r="ROG3" s="29"/>
      <c r="ROH3" s="29"/>
      <c r="ROI3" s="29"/>
      <c r="ROJ3" s="29"/>
      <c r="ROK3" s="29"/>
      <c r="ROL3" s="29"/>
      <c r="ROM3" s="29"/>
      <c r="RON3" s="29"/>
      <c r="ROO3" s="29"/>
      <c r="ROP3" s="29"/>
      <c r="ROQ3" s="29"/>
      <c r="ROR3" s="29"/>
      <c r="ROS3" s="29"/>
      <c r="ROT3" s="29"/>
      <c r="ROU3" s="29"/>
      <c r="ROV3" s="29"/>
      <c r="ROW3" s="29"/>
      <c r="ROX3" s="29"/>
      <c r="ROY3" s="29"/>
      <c r="ROZ3" s="29"/>
      <c r="RPA3" s="29"/>
      <c r="RPB3" s="29"/>
      <c r="RPC3" s="29"/>
      <c r="RPD3" s="29"/>
      <c r="RPE3" s="29"/>
      <c r="RPF3" s="29"/>
      <c r="RPG3" s="29"/>
      <c r="RPH3" s="29"/>
      <c r="RPI3" s="29"/>
      <c r="RPJ3" s="29"/>
      <c r="RPK3" s="29"/>
      <c r="RPL3" s="29"/>
      <c r="RPM3" s="29"/>
      <c r="RPN3" s="29"/>
      <c r="RPO3" s="29"/>
      <c r="RPP3" s="29"/>
      <c r="RPQ3" s="29"/>
      <c r="RPR3" s="29"/>
      <c r="RPS3" s="29"/>
      <c r="RPT3" s="29"/>
      <c r="RPU3" s="29"/>
      <c r="RPV3" s="29"/>
      <c r="RPW3" s="29"/>
      <c r="RPX3" s="29"/>
      <c r="RPY3" s="29"/>
      <c r="RPZ3" s="29"/>
      <c r="RQA3" s="29"/>
      <c r="RQB3" s="29"/>
      <c r="RQC3" s="29"/>
      <c r="RQD3" s="29"/>
      <c r="RQE3" s="29"/>
      <c r="RQF3" s="29"/>
      <c r="RQG3" s="29"/>
      <c r="RQH3" s="29"/>
      <c r="RQI3" s="29"/>
      <c r="RQJ3" s="29"/>
      <c r="RQK3" s="29"/>
      <c r="RQL3" s="29"/>
      <c r="RQM3" s="29"/>
      <c r="RQN3" s="29"/>
      <c r="RQO3" s="29"/>
      <c r="RQP3" s="29"/>
      <c r="RQQ3" s="29"/>
      <c r="RQR3" s="29"/>
      <c r="RQS3" s="29"/>
      <c r="RQT3" s="29"/>
      <c r="RQU3" s="29"/>
      <c r="RQV3" s="29"/>
      <c r="RQW3" s="29"/>
      <c r="RQX3" s="29"/>
      <c r="RQY3" s="29"/>
      <c r="RQZ3" s="29"/>
      <c r="RRA3" s="29"/>
      <c r="RRB3" s="29"/>
      <c r="RRC3" s="29"/>
      <c r="RRD3" s="29"/>
      <c r="RRE3" s="29"/>
      <c r="RRF3" s="29"/>
      <c r="RRG3" s="29"/>
      <c r="RRH3" s="29"/>
      <c r="RRI3" s="29"/>
      <c r="RRJ3" s="29"/>
      <c r="RRK3" s="29"/>
      <c r="RRL3" s="29"/>
      <c r="RRM3" s="29"/>
      <c r="RRN3" s="29"/>
      <c r="RRO3" s="29"/>
      <c r="RRP3" s="29"/>
      <c r="RRQ3" s="29"/>
      <c r="RRR3" s="29"/>
      <c r="RRS3" s="29"/>
      <c r="RRT3" s="29"/>
      <c r="RRU3" s="29"/>
      <c r="RRV3" s="29"/>
      <c r="RRW3" s="29"/>
      <c r="RRX3" s="29"/>
      <c r="RRY3" s="29"/>
      <c r="RRZ3" s="29"/>
      <c r="RSA3" s="29"/>
      <c r="RSB3" s="29"/>
      <c r="RSC3" s="29"/>
      <c r="RSD3" s="29"/>
      <c r="RSE3" s="29"/>
      <c r="RSF3" s="29"/>
      <c r="RSG3" s="29"/>
      <c r="RSH3" s="29"/>
      <c r="RSI3" s="29"/>
      <c r="RSJ3" s="29"/>
      <c r="RSK3" s="29"/>
      <c r="RSL3" s="29"/>
      <c r="RSM3" s="29"/>
      <c r="RSN3" s="29"/>
      <c r="RSO3" s="29"/>
      <c r="RSP3" s="29"/>
      <c r="RSQ3" s="29"/>
      <c r="RSR3" s="29"/>
      <c r="RSS3" s="29"/>
      <c r="RST3" s="29"/>
      <c r="RSU3" s="29"/>
      <c r="RSV3" s="29"/>
      <c r="RSW3" s="29"/>
      <c r="RSX3" s="29"/>
      <c r="RSY3" s="29"/>
      <c r="RSZ3" s="29"/>
      <c r="RTA3" s="29"/>
      <c r="RTB3" s="29"/>
      <c r="RTC3" s="29"/>
      <c r="RTD3" s="29"/>
      <c r="RTE3" s="29"/>
      <c r="RTF3" s="29"/>
      <c r="RTG3" s="29"/>
      <c r="RTH3" s="29"/>
      <c r="RTI3" s="29"/>
      <c r="RTJ3" s="29"/>
      <c r="RTK3" s="29"/>
      <c r="RTL3" s="29"/>
      <c r="RTM3" s="29"/>
      <c r="RTN3" s="29"/>
      <c r="RTO3" s="29"/>
      <c r="RTP3" s="29"/>
      <c r="RTQ3" s="29"/>
      <c r="RTR3" s="29"/>
      <c r="RTS3" s="29"/>
      <c r="RTT3" s="29"/>
      <c r="RTU3" s="29"/>
      <c r="RTV3" s="29"/>
      <c r="RTW3" s="29"/>
      <c r="RTX3" s="29"/>
      <c r="RTY3" s="29"/>
      <c r="RTZ3" s="29"/>
      <c r="RUA3" s="29"/>
      <c r="RUB3" s="29"/>
      <c r="RUC3" s="29"/>
      <c r="RUD3" s="29"/>
      <c r="RUE3" s="29"/>
      <c r="RUF3" s="29"/>
      <c r="RUG3" s="29"/>
      <c r="RUH3" s="29"/>
      <c r="RUI3" s="29"/>
      <c r="RUJ3" s="29"/>
      <c r="RUK3" s="29"/>
      <c r="RUL3" s="29"/>
      <c r="RUM3" s="29"/>
      <c r="RUN3" s="29"/>
      <c r="RUO3" s="29"/>
      <c r="RUP3" s="29"/>
      <c r="RUQ3" s="29"/>
      <c r="RUR3" s="29"/>
      <c r="RUS3" s="29"/>
      <c r="RUT3" s="29"/>
      <c r="RUU3" s="29"/>
      <c r="RUV3" s="29"/>
      <c r="RUW3" s="29"/>
      <c r="RUX3" s="29"/>
      <c r="RUY3" s="29"/>
      <c r="RUZ3" s="29"/>
      <c r="RVA3" s="29"/>
      <c r="RVB3" s="29"/>
      <c r="RVC3" s="29"/>
      <c r="RVD3" s="29"/>
      <c r="RVE3" s="29"/>
      <c r="RVF3" s="29"/>
      <c r="RVG3" s="29"/>
      <c r="RVH3" s="29"/>
      <c r="RVI3" s="29"/>
      <c r="RVJ3" s="29"/>
      <c r="RVK3" s="29"/>
      <c r="RVL3" s="29"/>
      <c r="RVM3" s="29"/>
      <c r="RVN3" s="29"/>
      <c r="RVO3" s="29"/>
      <c r="RVP3" s="29"/>
      <c r="RVQ3" s="29"/>
      <c r="RVR3" s="29"/>
      <c r="RVS3" s="29"/>
      <c r="RVT3" s="29"/>
      <c r="RVU3" s="29"/>
      <c r="RVV3" s="29"/>
      <c r="RVW3" s="29"/>
      <c r="RVX3" s="29"/>
      <c r="RVY3" s="29"/>
      <c r="RVZ3" s="29"/>
      <c r="RWA3" s="29"/>
      <c r="RWB3" s="29"/>
      <c r="RWC3" s="29"/>
      <c r="RWD3" s="29"/>
      <c r="RWE3" s="29"/>
      <c r="RWF3" s="29"/>
      <c r="RWG3" s="29"/>
      <c r="RWH3" s="29"/>
      <c r="RWI3" s="29"/>
      <c r="RWJ3" s="29"/>
      <c r="RWK3" s="29"/>
      <c r="RWL3" s="29"/>
      <c r="RWM3" s="29"/>
      <c r="RWN3" s="29"/>
      <c r="RWO3" s="29"/>
      <c r="RWP3" s="29"/>
      <c r="RWQ3" s="29"/>
      <c r="RWR3" s="29"/>
      <c r="RWS3" s="29"/>
      <c r="RWT3" s="29"/>
      <c r="RWU3" s="29"/>
      <c r="RWV3" s="29"/>
      <c r="RWW3" s="29"/>
      <c r="RWX3" s="29"/>
      <c r="RWY3" s="29"/>
      <c r="RWZ3" s="29"/>
      <c r="RXA3" s="29"/>
      <c r="RXB3" s="29"/>
      <c r="RXC3" s="29"/>
      <c r="RXD3" s="29"/>
      <c r="RXE3" s="29"/>
      <c r="RXF3" s="29"/>
      <c r="RXG3" s="29"/>
      <c r="RXH3" s="29"/>
      <c r="RXI3" s="29"/>
      <c r="RXJ3" s="29"/>
      <c r="RXK3" s="29"/>
      <c r="RXL3" s="29"/>
      <c r="RXM3" s="29"/>
      <c r="RXN3" s="29"/>
      <c r="RXO3" s="29"/>
      <c r="RXP3" s="29"/>
      <c r="RXQ3" s="29"/>
      <c r="RXR3" s="29"/>
      <c r="RXS3" s="29"/>
      <c r="RXT3" s="29"/>
      <c r="RXU3" s="29"/>
      <c r="RXV3" s="29"/>
      <c r="RXW3" s="29"/>
      <c r="RXX3" s="29"/>
      <c r="RXY3" s="29"/>
      <c r="RXZ3" s="29"/>
      <c r="RYA3" s="29"/>
      <c r="RYB3" s="29"/>
      <c r="RYC3" s="29"/>
      <c r="RYD3" s="29"/>
      <c r="RYE3" s="29"/>
      <c r="RYF3" s="29"/>
      <c r="RYG3" s="29"/>
      <c r="RYH3" s="29"/>
      <c r="RYI3" s="29"/>
      <c r="RYJ3" s="29"/>
      <c r="RYK3" s="29"/>
      <c r="RYL3" s="29"/>
      <c r="RYM3" s="29"/>
      <c r="RYN3" s="29"/>
      <c r="RYO3" s="29"/>
      <c r="RYP3" s="29"/>
      <c r="RYQ3" s="29"/>
      <c r="RYR3" s="29"/>
      <c r="RYS3" s="29"/>
      <c r="RYT3" s="29"/>
      <c r="RYU3" s="29"/>
      <c r="RYV3" s="29"/>
      <c r="RYW3" s="29"/>
      <c r="RYX3" s="29"/>
      <c r="RYY3" s="29"/>
      <c r="RYZ3" s="29"/>
      <c r="RZA3" s="29"/>
      <c r="RZB3" s="29"/>
      <c r="RZC3" s="29"/>
      <c r="RZD3" s="29"/>
      <c r="RZE3" s="29"/>
      <c r="RZF3" s="29"/>
      <c r="RZG3" s="29"/>
      <c r="RZH3" s="29"/>
      <c r="RZI3" s="29"/>
      <c r="RZJ3" s="29"/>
      <c r="RZK3" s="29"/>
      <c r="RZL3" s="29"/>
      <c r="RZM3" s="29"/>
      <c r="RZN3" s="29"/>
      <c r="RZO3" s="29"/>
      <c r="RZP3" s="29"/>
      <c r="RZQ3" s="29"/>
      <c r="RZR3" s="29"/>
      <c r="RZS3" s="29"/>
      <c r="RZT3" s="29"/>
      <c r="RZU3" s="29"/>
      <c r="RZV3" s="29"/>
      <c r="RZW3" s="29"/>
      <c r="RZX3" s="29"/>
      <c r="RZY3" s="29"/>
      <c r="RZZ3" s="29"/>
      <c r="SAA3" s="29"/>
      <c r="SAB3" s="29"/>
      <c r="SAC3" s="29"/>
      <c r="SAD3" s="29"/>
      <c r="SAE3" s="29"/>
      <c r="SAF3" s="29"/>
      <c r="SAG3" s="29"/>
      <c r="SAH3" s="29"/>
      <c r="SAI3" s="29"/>
      <c r="SAJ3" s="29"/>
      <c r="SAK3" s="29"/>
      <c r="SAL3" s="29"/>
      <c r="SAM3" s="29"/>
      <c r="SAN3" s="29"/>
      <c r="SAO3" s="29"/>
      <c r="SAP3" s="29"/>
      <c r="SAQ3" s="29"/>
      <c r="SAR3" s="29"/>
      <c r="SAS3" s="29"/>
      <c r="SAT3" s="29"/>
      <c r="SAU3" s="29"/>
      <c r="SAV3" s="29"/>
      <c r="SAW3" s="29"/>
      <c r="SAX3" s="29"/>
      <c r="SAY3" s="29"/>
      <c r="SAZ3" s="29"/>
      <c r="SBA3" s="29"/>
      <c r="SBB3" s="29"/>
      <c r="SBC3" s="29"/>
      <c r="SBD3" s="29"/>
      <c r="SBE3" s="29"/>
      <c r="SBF3" s="29"/>
      <c r="SBG3" s="29"/>
      <c r="SBH3" s="29"/>
      <c r="SBI3" s="29"/>
      <c r="SBJ3" s="29"/>
      <c r="SBK3" s="29"/>
      <c r="SBL3" s="29"/>
      <c r="SBM3" s="29"/>
      <c r="SBN3" s="29"/>
      <c r="SBO3" s="29"/>
      <c r="SBP3" s="29"/>
      <c r="SBQ3" s="29"/>
      <c r="SBR3" s="29"/>
      <c r="SBS3" s="29"/>
      <c r="SBT3" s="29"/>
      <c r="SBU3" s="29"/>
      <c r="SBV3" s="29"/>
      <c r="SBW3" s="29"/>
      <c r="SBX3" s="29"/>
      <c r="SBY3" s="29"/>
      <c r="SBZ3" s="29"/>
      <c r="SCA3" s="29"/>
      <c r="SCB3" s="29"/>
      <c r="SCC3" s="29"/>
      <c r="SCD3" s="29"/>
      <c r="SCE3" s="29"/>
      <c r="SCF3" s="29"/>
      <c r="SCG3" s="29"/>
      <c r="SCH3" s="29"/>
      <c r="SCI3" s="29"/>
      <c r="SCJ3" s="29"/>
      <c r="SCK3" s="29"/>
      <c r="SCL3" s="29"/>
      <c r="SCM3" s="29"/>
      <c r="SCN3" s="29"/>
      <c r="SCO3" s="29"/>
      <c r="SCP3" s="29"/>
      <c r="SCQ3" s="29"/>
      <c r="SCR3" s="29"/>
      <c r="SCS3" s="29"/>
      <c r="SCT3" s="29"/>
      <c r="SCU3" s="29"/>
      <c r="SCV3" s="29"/>
      <c r="SCW3" s="29"/>
      <c r="SCX3" s="29"/>
      <c r="SCY3" s="29"/>
      <c r="SCZ3" s="29"/>
      <c r="SDA3" s="29"/>
      <c r="SDB3" s="29"/>
      <c r="SDC3" s="29"/>
      <c r="SDD3" s="29"/>
      <c r="SDE3" s="29"/>
      <c r="SDF3" s="29"/>
      <c r="SDG3" s="29"/>
      <c r="SDH3" s="29"/>
      <c r="SDI3" s="29"/>
      <c r="SDJ3" s="29"/>
      <c r="SDK3" s="29"/>
      <c r="SDL3" s="29"/>
      <c r="SDM3" s="29"/>
      <c r="SDN3" s="29"/>
      <c r="SDO3" s="29"/>
      <c r="SDP3" s="29"/>
      <c r="SDQ3" s="29"/>
      <c r="SDR3" s="29"/>
      <c r="SDS3" s="29"/>
      <c r="SDT3" s="29"/>
      <c r="SDU3" s="29"/>
      <c r="SDV3" s="29"/>
      <c r="SDW3" s="29"/>
      <c r="SDX3" s="29"/>
      <c r="SDY3" s="29"/>
      <c r="SDZ3" s="29"/>
      <c r="SEA3" s="29"/>
      <c r="SEB3" s="29"/>
      <c r="SEC3" s="29"/>
      <c r="SED3" s="29"/>
      <c r="SEE3" s="29"/>
      <c r="SEF3" s="29"/>
      <c r="SEG3" s="29"/>
      <c r="SEH3" s="29"/>
      <c r="SEI3" s="29"/>
      <c r="SEJ3" s="29"/>
      <c r="SEK3" s="29"/>
      <c r="SEL3" s="29"/>
      <c r="SEM3" s="29"/>
      <c r="SEN3" s="29"/>
      <c r="SEO3" s="29"/>
      <c r="SEP3" s="29"/>
      <c r="SEQ3" s="29"/>
      <c r="SER3" s="29"/>
      <c r="SES3" s="29"/>
      <c r="SET3" s="29"/>
      <c r="SEU3" s="29"/>
      <c r="SEV3" s="29"/>
      <c r="SEW3" s="29"/>
      <c r="SEX3" s="29"/>
      <c r="SEY3" s="29"/>
      <c r="SEZ3" s="29"/>
      <c r="SFA3" s="29"/>
      <c r="SFB3" s="29"/>
      <c r="SFC3" s="29"/>
      <c r="SFD3" s="29"/>
      <c r="SFE3" s="29"/>
      <c r="SFF3" s="29"/>
      <c r="SFG3" s="29"/>
      <c r="SFH3" s="29"/>
      <c r="SFI3" s="29"/>
      <c r="SFJ3" s="29"/>
      <c r="SFK3" s="29"/>
      <c r="SFL3" s="29"/>
      <c r="SFM3" s="29"/>
      <c r="SFN3" s="29"/>
      <c r="SFO3" s="29"/>
      <c r="SFP3" s="29"/>
      <c r="SFQ3" s="29"/>
      <c r="SFR3" s="29"/>
      <c r="SFS3" s="29"/>
      <c r="SFT3" s="29"/>
      <c r="SFU3" s="29"/>
      <c r="SFV3" s="29"/>
      <c r="SFW3" s="29"/>
      <c r="SFX3" s="29"/>
      <c r="SFY3" s="29"/>
      <c r="SFZ3" s="29"/>
      <c r="SGA3" s="29"/>
      <c r="SGB3" s="29"/>
      <c r="SGC3" s="29"/>
      <c r="SGD3" s="29"/>
      <c r="SGE3" s="29"/>
      <c r="SGF3" s="29"/>
      <c r="SGG3" s="29"/>
      <c r="SGH3" s="29"/>
      <c r="SGI3" s="29"/>
      <c r="SGJ3" s="29"/>
      <c r="SGK3" s="29"/>
      <c r="SGL3" s="29"/>
      <c r="SGM3" s="29"/>
      <c r="SGN3" s="29"/>
      <c r="SGO3" s="29"/>
      <c r="SGP3" s="29"/>
      <c r="SGQ3" s="29"/>
      <c r="SGR3" s="29"/>
      <c r="SGS3" s="29"/>
      <c r="SGT3" s="29"/>
      <c r="SGU3" s="29"/>
      <c r="SGV3" s="29"/>
      <c r="SGW3" s="29"/>
      <c r="SGX3" s="29"/>
      <c r="SGY3" s="29"/>
      <c r="SGZ3" s="29"/>
      <c r="SHA3" s="29"/>
      <c r="SHB3" s="29"/>
      <c r="SHC3" s="29"/>
      <c r="SHD3" s="29"/>
      <c r="SHE3" s="29"/>
      <c r="SHF3" s="29"/>
      <c r="SHG3" s="29"/>
      <c r="SHH3" s="29"/>
      <c r="SHI3" s="29"/>
      <c r="SHJ3" s="29"/>
      <c r="SHK3" s="29"/>
      <c r="SHL3" s="29"/>
      <c r="SHM3" s="29"/>
      <c r="SHN3" s="29"/>
      <c r="SHO3" s="29"/>
      <c r="SHP3" s="29"/>
      <c r="SHQ3" s="29"/>
      <c r="SHR3" s="29"/>
      <c r="SHS3" s="29"/>
      <c r="SHT3" s="29"/>
      <c r="SHU3" s="29"/>
      <c r="SHV3" s="29"/>
      <c r="SHW3" s="29"/>
      <c r="SHX3" s="29"/>
      <c r="SHY3" s="29"/>
      <c r="SHZ3" s="29"/>
      <c r="SIA3" s="29"/>
      <c r="SIB3" s="29"/>
      <c r="SIC3" s="29"/>
      <c r="SID3" s="29"/>
      <c r="SIE3" s="29"/>
      <c r="SIF3" s="29"/>
      <c r="SIG3" s="29"/>
      <c r="SIH3" s="29"/>
      <c r="SII3" s="29"/>
      <c r="SIJ3" s="29"/>
      <c r="SIK3" s="29"/>
      <c r="SIL3" s="29"/>
      <c r="SIM3" s="29"/>
      <c r="SIN3" s="29"/>
      <c r="SIO3" s="29"/>
      <c r="SIP3" s="29"/>
      <c r="SIQ3" s="29"/>
      <c r="SIR3" s="29"/>
      <c r="SIS3" s="29"/>
      <c r="SIT3" s="29"/>
      <c r="SIU3" s="29"/>
      <c r="SIV3" s="29"/>
      <c r="SIW3" s="29"/>
      <c r="SIX3" s="29"/>
      <c r="SIY3" s="29"/>
      <c r="SIZ3" s="29"/>
      <c r="SJA3" s="29"/>
      <c r="SJB3" s="29"/>
      <c r="SJC3" s="29"/>
      <c r="SJD3" s="29"/>
      <c r="SJE3" s="29"/>
      <c r="SJF3" s="29"/>
      <c r="SJG3" s="29"/>
      <c r="SJH3" s="29"/>
      <c r="SJI3" s="29"/>
      <c r="SJJ3" s="29"/>
      <c r="SJK3" s="29"/>
      <c r="SJL3" s="29"/>
      <c r="SJM3" s="29"/>
      <c r="SJN3" s="29"/>
      <c r="SJO3" s="29"/>
      <c r="SJP3" s="29"/>
      <c r="SJQ3" s="29"/>
      <c r="SJR3" s="29"/>
      <c r="SJS3" s="29"/>
      <c r="SJT3" s="29"/>
      <c r="SJU3" s="29"/>
      <c r="SJV3" s="29"/>
      <c r="SJW3" s="29"/>
      <c r="SJX3" s="29"/>
      <c r="SJY3" s="29"/>
      <c r="SJZ3" s="29"/>
      <c r="SKA3" s="29"/>
      <c r="SKB3" s="29"/>
      <c r="SKC3" s="29"/>
      <c r="SKD3" s="29"/>
      <c r="SKE3" s="29"/>
      <c r="SKF3" s="29"/>
      <c r="SKG3" s="29"/>
      <c r="SKH3" s="29"/>
      <c r="SKI3" s="29"/>
      <c r="SKJ3" s="29"/>
      <c r="SKK3" s="29"/>
      <c r="SKL3" s="29"/>
      <c r="SKM3" s="29"/>
      <c r="SKN3" s="29"/>
      <c r="SKO3" s="29"/>
      <c r="SKP3" s="29"/>
      <c r="SKQ3" s="29"/>
      <c r="SKR3" s="29"/>
      <c r="SKS3" s="29"/>
      <c r="SKT3" s="29"/>
      <c r="SKU3" s="29"/>
      <c r="SKV3" s="29"/>
      <c r="SKW3" s="29"/>
      <c r="SKX3" s="29"/>
      <c r="SKY3" s="29"/>
      <c r="SKZ3" s="29"/>
      <c r="SLA3" s="29"/>
      <c r="SLB3" s="29"/>
      <c r="SLC3" s="29"/>
      <c r="SLD3" s="29"/>
      <c r="SLE3" s="29"/>
      <c r="SLF3" s="29"/>
      <c r="SLG3" s="29"/>
      <c r="SLH3" s="29"/>
      <c r="SLI3" s="29"/>
      <c r="SLJ3" s="29"/>
      <c r="SLK3" s="29"/>
      <c r="SLL3" s="29"/>
      <c r="SLM3" s="29"/>
      <c r="SLN3" s="29"/>
      <c r="SLO3" s="29"/>
      <c r="SLP3" s="29"/>
      <c r="SLQ3" s="29"/>
      <c r="SLR3" s="29"/>
      <c r="SLS3" s="29"/>
      <c r="SLT3" s="29"/>
      <c r="SLU3" s="29"/>
      <c r="SLV3" s="29"/>
      <c r="SLW3" s="29"/>
      <c r="SLX3" s="29"/>
      <c r="SLY3" s="29"/>
      <c r="SLZ3" s="29"/>
      <c r="SMA3" s="29"/>
      <c r="SMB3" s="29"/>
      <c r="SMC3" s="29"/>
      <c r="SMD3" s="29"/>
      <c r="SME3" s="29"/>
      <c r="SMF3" s="29"/>
      <c r="SMG3" s="29"/>
      <c r="SMH3" s="29"/>
      <c r="SMI3" s="29"/>
      <c r="SMJ3" s="29"/>
      <c r="SMK3" s="29"/>
      <c r="SML3" s="29"/>
      <c r="SMM3" s="29"/>
      <c r="SMN3" s="29"/>
      <c r="SMO3" s="29"/>
      <c r="SMP3" s="29"/>
      <c r="SMQ3" s="29"/>
      <c r="SMR3" s="29"/>
      <c r="SMS3" s="29"/>
      <c r="SMT3" s="29"/>
      <c r="SMU3" s="29"/>
      <c r="SMV3" s="29"/>
      <c r="SMW3" s="29"/>
      <c r="SMX3" s="29"/>
      <c r="SMY3" s="29"/>
      <c r="SMZ3" s="29"/>
      <c r="SNA3" s="29"/>
      <c r="SNB3" s="29"/>
      <c r="SNC3" s="29"/>
      <c r="SND3" s="29"/>
      <c r="SNE3" s="29"/>
      <c r="SNF3" s="29"/>
      <c r="SNG3" s="29"/>
      <c r="SNH3" s="29"/>
      <c r="SNI3" s="29"/>
      <c r="SNJ3" s="29"/>
      <c r="SNK3" s="29"/>
      <c r="SNL3" s="29"/>
      <c r="SNM3" s="29"/>
      <c r="SNN3" s="29"/>
      <c r="SNO3" s="29"/>
      <c r="SNP3" s="29"/>
      <c r="SNQ3" s="29"/>
      <c r="SNR3" s="29"/>
      <c r="SNS3" s="29"/>
      <c r="SNT3" s="29"/>
      <c r="SNU3" s="29"/>
      <c r="SNV3" s="29"/>
      <c r="SNW3" s="29"/>
      <c r="SNX3" s="29"/>
      <c r="SNY3" s="29"/>
      <c r="SNZ3" s="29"/>
      <c r="SOA3" s="29"/>
      <c r="SOB3" s="29"/>
      <c r="SOC3" s="29"/>
      <c r="SOD3" s="29"/>
      <c r="SOE3" s="29"/>
      <c r="SOF3" s="29"/>
      <c r="SOG3" s="29"/>
      <c r="SOH3" s="29"/>
      <c r="SOI3" s="29"/>
      <c r="SOJ3" s="29"/>
      <c r="SOK3" s="29"/>
      <c r="SOL3" s="29"/>
      <c r="SOM3" s="29"/>
      <c r="SON3" s="29"/>
      <c r="SOO3" s="29"/>
      <c r="SOP3" s="29"/>
      <c r="SOQ3" s="29"/>
      <c r="SOR3" s="29"/>
      <c r="SOS3" s="29"/>
      <c r="SOT3" s="29"/>
      <c r="SOU3" s="29"/>
      <c r="SOV3" s="29"/>
      <c r="SOW3" s="29"/>
      <c r="SOX3" s="29"/>
      <c r="SOY3" s="29"/>
      <c r="SOZ3" s="29"/>
      <c r="SPA3" s="29"/>
      <c r="SPB3" s="29"/>
      <c r="SPC3" s="29"/>
      <c r="SPD3" s="29"/>
      <c r="SPE3" s="29"/>
      <c r="SPF3" s="29"/>
      <c r="SPG3" s="29"/>
      <c r="SPH3" s="29"/>
      <c r="SPI3" s="29"/>
      <c r="SPJ3" s="29"/>
      <c r="SPK3" s="29"/>
      <c r="SPL3" s="29"/>
      <c r="SPM3" s="29"/>
      <c r="SPN3" s="29"/>
      <c r="SPO3" s="29"/>
      <c r="SPP3" s="29"/>
      <c r="SPQ3" s="29"/>
      <c r="SPR3" s="29"/>
      <c r="SPS3" s="29"/>
      <c r="SPT3" s="29"/>
      <c r="SPU3" s="29"/>
      <c r="SPV3" s="29"/>
      <c r="SPW3" s="29"/>
      <c r="SPX3" s="29"/>
      <c r="SPY3" s="29"/>
      <c r="SPZ3" s="29"/>
      <c r="SQA3" s="29"/>
      <c r="SQB3" s="29"/>
      <c r="SQC3" s="29"/>
      <c r="SQD3" s="29"/>
      <c r="SQE3" s="29"/>
      <c r="SQF3" s="29"/>
      <c r="SQG3" s="29"/>
      <c r="SQH3" s="29"/>
      <c r="SQI3" s="29"/>
      <c r="SQJ3" s="29"/>
      <c r="SQK3" s="29"/>
      <c r="SQL3" s="29"/>
      <c r="SQM3" s="29"/>
      <c r="SQN3" s="29"/>
      <c r="SQO3" s="29"/>
      <c r="SQP3" s="29"/>
      <c r="SQQ3" s="29"/>
      <c r="SQR3" s="29"/>
      <c r="SQS3" s="29"/>
      <c r="SQT3" s="29"/>
      <c r="SQU3" s="29"/>
      <c r="SQV3" s="29"/>
      <c r="SQW3" s="29"/>
      <c r="SQX3" s="29"/>
      <c r="SQY3" s="29"/>
      <c r="SQZ3" s="29"/>
      <c r="SRA3" s="29"/>
      <c r="SRB3" s="29"/>
      <c r="SRC3" s="29"/>
      <c r="SRD3" s="29"/>
      <c r="SRE3" s="29"/>
      <c r="SRF3" s="29"/>
      <c r="SRG3" s="29"/>
      <c r="SRH3" s="29"/>
      <c r="SRI3" s="29"/>
      <c r="SRJ3" s="29"/>
      <c r="SRK3" s="29"/>
      <c r="SRL3" s="29"/>
      <c r="SRM3" s="29"/>
      <c r="SRN3" s="29"/>
      <c r="SRO3" s="29"/>
      <c r="SRP3" s="29"/>
      <c r="SRQ3" s="29"/>
      <c r="SRR3" s="29"/>
      <c r="SRS3" s="29"/>
      <c r="SRT3" s="29"/>
      <c r="SRU3" s="29"/>
      <c r="SRV3" s="29"/>
      <c r="SRW3" s="29"/>
      <c r="SRX3" s="29"/>
      <c r="SRY3" s="29"/>
      <c r="SRZ3" s="29"/>
      <c r="SSA3" s="29"/>
      <c r="SSB3" s="29"/>
      <c r="SSC3" s="29"/>
      <c r="SSD3" s="29"/>
      <c r="SSE3" s="29"/>
      <c r="SSF3" s="29"/>
      <c r="SSG3" s="29"/>
      <c r="SSH3" s="29"/>
      <c r="SSI3" s="29"/>
      <c r="SSJ3" s="29"/>
      <c r="SSK3" s="29"/>
      <c r="SSL3" s="29"/>
      <c r="SSM3" s="29"/>
      <c r="SSN3" s="29"/>
      <c r="SSO3" s="29"/>
      <c r="SSP3" s="29"/>
      <c r="SSQ3" s="29"/>
      <c r="SSR3" s="29"/>
      <c r="SSS3" s="29"/>
      <c r="SST3" s="29"/>
      <c r="SSU3" s="29"/>
      <c r="SSV3" s="29"/>
      <c r="SSW3" s="29"/>
      <c r="SSX3" s="29"/>
      <c r="SSY3" s="29"/>
      <c r="SSZ3" s="29"/>
      <c r="STA3" s="29"/>
      <c r="STB3" s="29"/>
      <c r="STC3" s="29"/>
      <c r="STD3" s="29"/>
      <c r="STE3" s="29"/>
      <c r="STF3" s="29"/>
      <c r="STG3" s="29"/>
      <c r="STH3" s="29"/>
      <c r="STI3" s="29"/>
      <c r="STJ3" s="29"/>
      <c r="STK3" s="29"/>
      <c r="STL3" s="29"/>
      <c r="STM3" s="29"/>
      <c r="STN3" s="29"/>
      <c r="STO3" s="29"/>
      <c r="STP3" s="29"/>
      <c r="STQ3" s="29"/>
      <c r="STR3" s="29"/>
      <c r="STS3" s="29"/>
      <c r="STT3" s="29"/>
      <c r="STU3" s="29"/>
      <c r="STV3" s="29"/>
      <c r="STW3" s="29"/>
      <c r="STX3" s="29"/>
      <c r="STY3" s="29"/>
      <c r="STZ3" s="29"/>
      <c r="SUA3" s="29"/>
      <c r="SUB3" s="29"/>
      <c r="SUC3" s="29"/>
      <c r="SUD3" s="29"/>
      <c r="SUE3" s="29"/>
      <c r="SUF3" s="29"/>
      <c r="SUG3" s="29"/>
      <c r="SUH3" s="29"/>
      <c r="SUI3" s="29"/>
      <c r="SUJ3" s="29"/>
      <c r="SUK3" s="29"/>
      <c r="SUL3" s="29"/>
      <c r="SUM3" s="29"/>
      <c r="SUN3" s="29"/>
      <c r="SUO3" s="29"/>
      <c r="SUP3" s="29"/>
      <c r="SUQ3" s="29"/>
      <c r="SUR3" s="29"/>
      <c r="SUS3" s="29"/>
      <c r="SUT3" s="29"/>
      <c r="SUU3" s="29"/>
      <c r="SUV3" s="29"/>
      <c r="SUW3" s="29"/>
      <c r="SUX3" s="29"/>
      <c r="SUY3" s="29"/>
      <c r="SUZ3" s="29"/>
      <c r="SVA3" s="29"/>
      <c r="SVB3" s="29"/>
      <c r="SVC3" s="29"/>
      <c r="SVD3" s="29"/>
      <c r="SVE3" s="29"/>
      <c r="SVF3" s="29"/>
      <c r="SVG3" s="29"/>
      <c r="SVH3" s="29"/>
      <c r="SVI3" s="29"/>
      <c r="SVJ3" s="29"/>
      <c r="SVK3" s="29"/>
      <c r="SVL3" s="29"/>
      <c r="SVM3" s="29"/>
      <c r="SVN3" s="29"/>
      <c r="SVO3" s="29"/>
      <c r="SVP3" s="29"/>
      <c r="SVQ3" s="29"/>
      <c r="SVR3" s="29"/>
      <c r="SVS3" s="29"/>
      <c r="SVT3" s="29"/>
      <c r="SVU3" s="29"/>
      <c r="SVV3" s="29"/>
      <c r="SVW3" s="29"/>
      <c r="SVX3" s="29"/>
      <c r="SVY3" s="29"/>
      <c r="SVZ3" s="29"/>
      <c r="SWA3" s="29"/>
      <c r="SWB3" s="29"/>
      <c r="SWC3" s="29"/>
      <c r="SWD3" s="29"/>
      <c r="SWE3" s="29"/>
      <c r="SWF3" s="29"/>
      <c r="SWG3" s="29"/>
      <c r="SWH3" s="29"/>
      <c r="SWI3" s="29"/>
      <c r="SWJ3" s="29"/>
      <c r="SWK3" s="29"/>
      <c r="SWL3" s="29"/>
      <c r="SWM3" s="29"/>
      <c r="SWN3" s="29"/>
      <c r="SWO3" s="29"/>
      <c r="SWP3" s="29"/>
      <c r="SWQ3" s="29"/>
      <c r="SWR3" s="29"/>
      <c r="SWS3" s="29"/>
      <c r="SWT3" s="29"/>
      <c r="SWU3" s="29"/>
      <c r="SWV3" s="29"/>
      <c r="SWW3" s="29"/>
      <c r="SWX3" s="29"/>
      <c r="SWY3" s="29"/>
      <c r="SWZ3" s="29"/>
      <c r="SXA3" s="29"/>
      <c r="SXB3" s="29"/>
      <c r="SXC3" s="29"/>
      <c r="SXD3" s="29"/>
      <c r="SXE3" s="29"/>
      <c r="SXF3" s="29"/>
      <c r="SXG3" s="29"/>
      <c r="SXH3" s="29"/>
      <c r="SXI3" s="29"/>
      <c r="SXJ3" s="29"/>
      <c r="SXK3" s="29"/>
      <c r="SXL3" s="29"/>
      <c r="SXM3" s="29"/>
      <c r="SXN3" s="29"/>
      <c r="SXO3" s="29"/>
      <c r="SXP3" s="29"/>
      <c r="SXQ3" s="29"/>
      <c r="SXR3" s="29"/>
      <c r="SXS3" s="29"/>
      <c r="SXT3" s="29"/>
      <c r="SXU3" s="29"/>
      <c r="SXV3" s="29"/>
      <c r="SXW3" s="29"/>
      <c r="SXX3" s="29"/>
      <c r="SXY3" s="29"/>
      <c r="SXZ3" s="29"/>
      <c r="SYA3" s="29"/>
      <c r="SYB3" s="29"/>
      <c r="SYC3" s="29"/>
      <c r="SYD3" s="29"/>
      <c r="SYE3" s="29"/>
      <c r="SYF3" s="29"/>
      <c r="SYG3" s="29"/>
      <c r="SYH3" s="29"/>
      <c r="SYI3" s="29"/>
      <c r="SYJ3" s="29"/>
      <c r="SYK3" s="29"/>
      <c r="SYL3" s="29"/>
      <c r="SYM3" s="29"/>
      <c r="SYN3" s="29"/>
      <c r="SYO3" s="29"/>
      <c r="SYP3" s="29"/>
      <c r="SYQ3" s="29"/>
      <c r="SYR3" s="29"/>
      <c r="SYS3" s="29"/>
      <c r="SYT3" s="29"/>
      <c r="SYU3" s="29"/>
      <c r="SYV3" s="29"/>
      <c r="SYW3" s="29"/>
      <c r="SYX3" s="29"/>
      <c r="SYY3" s="29"/>
      <c r="SYZ3" s="29"/>
      <c r="SZA3" s="29"/>
      <c r="SZB3" s="29"/>
      <c r="SZC3" s="29"/>
      <c r="SZD3" s="29"/>
      <c r="SZE3" s="29"/>
      <c r="SZF3" s="29"/>
      <c r="SZG3" s="29"/>
      <c r="SZH3" s="29"/>
      <c r="SZI3" s="29"/>
      <c r="SZJ3" s="29"/>
      <c r="SZK3" s="29"/>
      <c r="SZL3" s="29"/>
      <c r="SZM3" s="29"/>
      <c r="SZN3" s="29"/>
      <c r="SZO3" s="29"/>
      <c r="SZP3" s="29"/>
      <c r="SZQ3" s="29"/>
      <c r="SZR3" s="29"/>
      <c r="SZS3" s="29"/>
      <c r="SZT3" s="29"/>
      <c r="SZU3" s="29"/>
      <c r="SZV3" s="29"/>
      <c r="SZW3" s="29"/>
      <c r="SZX3" s="29"/>
      <c r="SZY3" s="29"/>
      <c r="SZZ3" s="29"/>
      <c r="TAA3" s="29"/>
      <c r="TAB3" s="29"/>
      <c r="TAC3" s="29"/>
      <c r="TAD3" s="29"/>
      <c r="TAE3" s="29"/>
      <c r="TAF3" s="29"/>
      <c r="TAG3" s="29"/>
      <c r="TAH3" s="29"/>
      <c r="TAI3" s="29"/>
      <c r="TAJ3" s="29"/>
      <c r="TAK3" s="29"/>
      <c r="TAL3" s="29"/>
      <c r="TAM3" s="29"/>
      <c r="TAN3" s="29"/>
      <c r="TAO3" s="29"/>
      <c r="TAP3" s="29"/>
      <c r="TAQ3" s="29"/>
      <c r="TAR3" s="29"/>
      <c r="TAS3" s="29"/>
      <c r="TAT3" s="29"/>
      <c r="TAU3" s="29"/>
      <c r="TAV3" s="29"/>
      <c r="TAW3" s="29"/>
      <c r="TAX3" s="29"/>
      <c r="TAY3" s="29"/>
      <c r="TAZ3" s="29"/>
      <c r="TBA3" s="29"/>
      <c r="TBB3" s="29"/>
      <c r="TBC3" s="29"/>
      <c r="TBD3" s="29"/>
      <c r="TBE3" s="29"/>
      <c r="TBF3" s="29"/>
      <c r="TBG3" s="29"/>
      <c r="TBH3" s="29"/>
      <c r="TBI3" s="29"/>
      <c r="TBJ3" s="29"/>
      <c r="TBK3" s="29"/>
      <c r="TBL3" s="29"/>
      <c r="TBM3" s="29"/>
      <c r="TBN3" s="29"/>
      <c r="TBO3" s="29"/>
      <c r="TBP3" s="29"/>
      <c r="TBQ3" s="29"/>
      <c r="TBR3" s="29"/>
      <c r="TBS3" s="29"/>
      <c r="TBT3" s="29"/>
      <c r="TBU3" s="29"/>
      <c r="TBV3" s="29"/>
      <c r="TBW3" s="29"/>
      <c r="TBX3" s="29"/>
      <c r="TBY3" s="29"/>
      <c r="TBZ3" s="29"/>
      <c r="TCA3" s="29"/>
      <c r="TCB3" s="29"/>
      <c r="TCC3" s="29"/>
      <c r="TCD3" s="29"/>
      <c r="TCE3" s="29"/>
      <c r="TCF3" s="29"/>
      <c r="TCG3" s="29"/>
      <c r="TCH3" s="29"/>
      <c r="TCI3" s="29"/>
      <c r="TCJ3" s="29"/>
      <c r="TCK3" s="29"/>
      <c r="TCL3" s="29"/>
      <c r="TCM3" s="29"/>
      <c r="TCN3" s="29"/>
      <c r="TCO3" s="29"/>
      <c r="TCP3" s="29"/>
      <c r="TCQ3" s="29"/>
      <c r="TCR3" s="29"/>
      <c r="TCS3" s="29"/>
      <c r="TCT3" s="29"/>
      <c r="TCU3" s="29"/>
      <c r="TCV3" s="29"/>
      <c r="TCW3" s="29"/>
      <c r="TCX3" s="29"/>
      <c r="TCY3" s="29"/>
      <c r="TCZ3" s="29"/>
      <c r="TDA3" s="29"/>
      <c r="TDB3" s="29"/>
      <c r="TDC3" s="29"/>
      <c r="TDD3" s="29"/>
      <c r="TDE3" s="29"/>
      <c r="TDF3" s="29"/>
      <c r="TDG3" s="29"/>
      <c r="TDH3" s="29"/>
      <c r="TDI3" s="29"/>
      <c r="TDJ3" s="29"/>
      <c r="TDK3" s="29"/>
      <c r="TDL3" s="29"/>
      <c r="TDM3" s="29"/>
      <c r="TDN3" s="29"/>
      <c r="TDO3" s="29"/>
      <c r="TDP3" s="29"/>
      <c r="TDQ3" s="29"/>
      <c r="TDR3" s="29"/>
      <c r="TDS3" s="29"/>
      <c r="TDT3" s="29"/>
      <c r="TDU3" s="29"/>
      <c r="TDV3" s="29"/>
      <c r="TDW3" s="29"/>
      <c r="TDX3" s="29"/>
      <c r="TDY3" s="29"/>
      <c r="TDZ3" s="29"/>
      <c r="TEA3" s="29"/>
      <c r="TEB3" s="29"/>
      <c r="TEC3" s="29"/>
      <c r="TED3" s="29"/>
      <c r="TEE3" s="29"/>
      <c r="TEF3" s="29"/>
      <c r="TEG3" s="29"/>
      <c r="TEH3" s="29"/>
      <c r="TEI3" s="29"/>
      <c r="TEJ3" s="29"/>
      <c r="TEK3" s="29"/>
      <c r="TEL3" s="29"/>
      <c r="TEM3" s="29"/>
      <c r="TEN3" s="29"/>
      <c r="TEO3" s="29"/>
      <c r="TEP3" s="29"/>
      <c r="TEQ3" s="29"/>
      <c r="TER3" s="29"/>
      <c r="TES3" s="29"/>
      <c r="TET3" s="29"/>
      <c r="TEU3" s="29"/>
      <c r="TEV3" s="29"/>
      <c r="TEW3" s="29"/>
      <c r="TEX3" s="29"/>
      <c r="TEY3" s="29"/>
      <c r="TEZ3" s="29"/>
      <c r="TFA3" s="29"/>
      <c r="TFB3" s="29"/>
      <c r="TFC3" s="29"/>
      <c r="TFD3" s="29"/>
      <c r="TFE3" s="29"/>
      <c r="TFF3" s="29"/>
      <c r="TFG3" s="29"/>
      <c r="TFH3" s="29"/>
      <c r="TFI3" s="29"/>
      <c r="TFJ3" s="29"/>
      <c r="TFK3" s="29"/>
      <c r="TFL3" s="29"/>
      <c r="TFM3" s="29"/>
      <c r="TFN3" s="29"/>
      <c r="TFO3" s="29"/>
      <c r="TFP3" s="29"/>
      <c r="TFQ3" s="29"/>
      <c r="TFR3" s="29"/>
      <c r="TFS3" s="29"/>
      <c r="TFT3" s="29"/>
      <c r="TFU3" s="29"/>
      <c r="TFV3" s="29"/>
      <c r="TFW3" s="29"/>
      <c r="TFX3" s="29"/>
      <c r="TFY3" s="29"/>
      <c r="TFZ3" s="29"/>
      <c r="TGA3" s="29"/>
      <c r="TGB3" s="29"/>
      <c r="TGC3" s="29"/>
      <c r="TGD3" s="29"/>
      <c r="TGE3" s="29"/>
      <c r="TGF3" s="29"/>
      <c r="TGG3" s="29"/>
      <c r="TGH3" s="29"/>
      <c r="TGI3" s="29"/>
      <c r="TGJ3" s="29"/>
      <c r="TGK3" s="29"/>
      <c r="TGL3" s="29"/>
      <c r="TGM3" s="29"/>
      <c r="TGN3" s="29"/>
      <c r="TGO3" s="29"/>
      <c r="TGP3" s="29"/>
      <c r="TGQ3" s="29"/>
      <c r="TGR3" s="29"/>
      <c r="TGS3" s="29"/>
      <c r="TGT3" s="29"/>
      <c r="TGU3" s="29"/>
      <c r="TGV3" s="29"/>
      <c r="TGW3" s="29"/>
      <c r="TGX3" s="29"/>
      <c r="TGY3" s="29"/>
      <c r="TGZ3" s="29"/>
      <c r="THA3" s="29"/>
      <c r="THB3" s="29"/>
      <c r="THC3" s="29"/>
      <c r="THD3" s="29"/>
      <c r="THE3" s="29"/>
      <c r="THF3" s="29"/>
      <c r="THG3" s="29"/>
      <c r="THH3" s="29"/>
      <c r="THI3" s="29"/>
      <c r="THJ3" s="29"/>
      <c r="THK3" s="29"/>
      <c r="THL3" s="29"/>
      <c r="THM3" s="29"/>
      <c r="THN3" s="29"/>
      <c r="THO3" s="29"/>
      <c r="THP3" s="29"/>
      <c r="THQ3" s="29"/>
      <c r="THR3" s="29"/>
      <c r="THS3" s="29"/>
      <c r="THT3" s="29"/>
      <c r="THU3" s="29"/>
      <c r="THV3" s="29"/>
      <c r="THW3" s="29"/>
      <c r="THX3" s="29"/>
      <c r="THY3" s="29"/>
      <c r="THZ3" s="29"/>
      <c r="TIA3" s="29"/>
      <c r="TIB3" s="29"/>
      <c r="TIC3" s="29"/>
      <c r="TID3" s="29"/>
      <c r="TIE3" s="29"/>
      <c r="TIF3" s="29"/>
      <c r="TIG3" s="29"/>
      <c r="TIH3" s="29"/>
      <c r="TII3" s="29"/>
      <c r="TIJ3" s="29"/>
      <c r="TIK3" s="29"/>
      <c r="TIL3" s="29"/>
      <c r="TIM3" s="29"/>
      <c r="TIN3" s="29"/>
      <c r="TIO3" s="29"/>
      <c r="TIP3" s="29"/>
      <c r="TIQ3" s="29"/>
      <c r="TIR3" s="29"/>
      <c r="TIS3" s="29"/>
      <c r="TIT3" s="29"/>
      <c r="TIU3" s="29"/>
      <c r="TIV3" s="29"/>
      <c r="TIW3" s="29"/>
      <c r="TIX3" s="29"/>
      <c r="TIY3" s="29"/>
      <c r="TIZ3" s="29"/>
      <c r="TJA3" s="29"/>
      <c r="TJB3" s="29"/>
      <c r="TJC3" s="29"/>
      <c r="TJD3" s="29"/>
      <c r="TJE3" s="29"/>
      <c r="TJF3" s="29"/>
      <c r="TJG3" s="29"/>
      <c r="TJH3" s="29"/>
      <c r="TJI3" s="29"/>
      <c r="TJJ3" s="29"/>
      <c r="TJK3" s="29"/>
      <c r="TJL3" s="29"/>
      <c r="TJM3" s="29"/>
      <c r="TJN3" s="29"/>
      <c r="TJO3" s="29"/>
      <c r="TJP3" s="29"/>
      <c r="TJQ3" s="29"/>
      <c r="TJR3" s="29"/>
      <c r="TJS3" s="29"/>
      <c r="TJT3" s="29"/>
      <c r="TJU3" s="29"/>
      <c r="TJV3" s="29"/>
      <c r="TJW3" s="29"/>
      <c r="TJX3" s="29"/>
      <c r="TJY3" s="29"/>
      <c r="TJZ3" s="29"/>
      <c r="TKA3" s="29"/>
      <c r="TKB3" s="29"/>
      <c r="TKC3" s="29"/>
      <c r="TKD3" s="29"/>
      <c r="TKE3" s="29"/>
      <c r="TKF3" s="29"/>
      <c r="TKG3" s="29"/>
      <c r="TKH3" s="29"/>
      <c r="TKI3" s="29"/>
      <c r="TKJ3" s="29"/>
      <c r="TKK3" s="29"/>
      <c r="TKL3" s="29"/>
      <c r="TKM3" s="29"/>
      <c r="TKN3" s="29"/>
      <c r="TKO3" s="29"/>
      <c r="TKP3" s="29"/>
      <c r="TKQ3" s="29"/>
      <c r="TKR3" s="29"/>
      <c r="TKS3" s="29"/>
      <c r="TKT3" s="29"/>
      <c r="TKU3" s="29"/>
      <c r="TKV3" s="29"/>
      <c r="TKW3" s="29"/>
      <c r="TKX3" s="29"/>
      <c r="TKY3" s="29"/>
      <c r="TKZ3" s="29"/>
      <c r="TLA3" s="29"/>
      <c r="TLB3" s="29"/>
      <c r="TLC3" s="29"/>
      <c r="TLD3" s="29"/>
      <c r="TLE3" s="29"/>
      <c r="TLF3" s="29"/>
      <c r="TLG3" s="29"/>
      <c r="TLH3" s="29"/>
      <c r="TLI3" s="29"/>
      <c r="TLJ3" s="29"/>
      <c r="TLK3" s="29"/>
      <c r="TLL3" s="29"/>
      <c r="TLM3" s="29"/>
      <c r="TLN3" s="29"/>
      <c r="TLO3" s="29"/>
      <c r="TLP3" s="29"/>
      <c r="TLQ3" s="29"/>
      <c r="TLR3" s="29"/>
      <c r="TLS3" s="29"/>
      <c r="TLT3" s="29"/>
      <c r="TLU3" s="29"/>
      <c r="TLV3" s="29"/>
      <c r="TLW3" s="29"/>
      <c r="TLX3" s="29"/>
      <c r="TLY3" s="29"/>
      <c r="TLZ3" s="29"/>
      <c r="TMA3" s="29"/>
      <c r="TMB3" s="29"/>
      <c r="TMC3" s="29"/>
      <c r="TMD3" s="29"/>
      <c r="TME3" s="29"/>
      <c r="TMF3" s="29"/>
      <c r="TMG3" s="29"/>
      <c r="TMH3" s="29"/>
      <c r="TMI3" s="29"/>
      <c r="TMJ3" s="29"/>
      <c r="TMK3" s="29"/>
      <c r="TML3" s="29"/>
      <c r="TMM3" s="29"/>
      <c r="TMN3" s="29"/>
      <c r="TMO3" s="29"/>
      <c r="TMP3" s="29"/>
      <c r="TMQ3" s="29"/>
      <c r="TMR3" s="29"/>
      <c r="TMS3" s="29"/>
      <c r="TMT3" s="29"/>
      <c r="TMU3" s="29"/>
      <c r="TMV3" s="29"/>
      <c r="TMW3" s="29"/>
      <c r="TMX3" s="29"/>
      <c r="TMY3" s="29"/>
      <c r="TMZ3" s="29"/>
      <c r="TNA3" s="29"/>
      <c r="TNB3" s="29"/>
      <c r="TNC3" s="29"/>
      <c r="TND3" s="29"/>
      <c r="TNE3" s="29"/>
      <c r="TNF3" s="29"/>
      <c r="TNG3" s="29"/>
      <c r="TNH3" s="29"/>
      <c r="TNI3" s="29"/>
      <c r="TNJ3" s="29"/>
      <c r="TNK3" s="29"/>
      <c r="TNL3" s="29"/>
      <c r="TNM3" s="29"/>
      <c r="TNN3" s="29"/>
      <c r="TNO3" s="29"/>
      <c r="TNP3" s="29"/>
      <c r="TNQ3" s="29"/>
      <c r="TNR3" s="29"/>
      <c r="TNS3" s="29"/>
      <c r="TNT3" s="29"/>
      <c r="TNU3" s="29"/>
      <c r="TNV3" s="29"/>
      <c r="TNW3" s="29"/>
      <c r="TNX3" s="29"/>
      <c r="TNY3" s="29"/>
      <c r="TNZ3" s="29"/>
      <c r="TOA3" s="29"/>
      <c r="TOB3" s="29"/>
      <c r="TOC3" s="29"/>
      <c r="TOD3" s="29"/>
      <c r="TOE3" s="29"/>
      <c r="TOF3" s="29"/>
      <c r="TOG3" s="29"/>
      <c r="TOH3" s="29"/>
      <c r="TOI3" s="29"/>
      <c r="TOJ3" s="29"/>
      <c r="TOK3" s="29"/>
      <c r="TOL3" s="29"/>
      <c r="TOM3" s="29"/>
      <c r="TON3" s="29"/>
      <c r="TOO3" s="29"/>
      <c r="TOP3" s="29"/>
      <c r="TOQ3" s="29"/>
      <c r="TOR3" s="29"/>
      <c r="TOS3" s="29"/>
      <c r="TOT3" s="29"/>
      <c r="TOU3" s="29"/>
      <c r="TOV3" s="29"/>
      <c r="TOW3" s="29"/>
      <c r="TOX3" s="29"/>
      <c r="TOY3" s="29"/>
      <c r="TOZ3" s="29"/>
      <c r="TPA3" s="29"/>
      <c r="TPB3" s="29"/>
      <c r="TPC3" s="29"/>
      <c r="TPD3" s="29"/>
      <c r="TPE3" s="29"/>
      <c r="TPF3" s="29"/>
      <c r="TPG3" s="29"/>
      <c r="TPH3" s="29"/>
      <c r="TPI3" s="29"/>
      <c r="TPJ3" s="29"/>
      <c r="TPK3" s="29"/>
      <c r="TPL3" s="29"/>
      <c r="TPM3" s="29"/>
      <c r="TPN3" s="29"/>
      <c r="TPO3" s="29"/>
      <c r="TPP3" s="29"/>
      <c r="TPQ3" s="29"/>
      <c r="TPR3" s="29"/>
      <c r="TPS3" s="29"/>
      <c r="TPT3" s="29"/>
      <c r="TPU3" s="29"/>
      <c r="TPV3" s="29"/>
      <c r="TPW3" s="29"/>
      <c r="TPX3" s="29"/>
      <c r="TPY3" s="29"/>
      <c r="TPZ3" s="29"/>
      <c r="TQA3" s="29"/>
      <c r="TQB3" s="29"/>
      <c r="TQC3" s="29"/>
      <c r="TQD3" s="29"/>
      <c r="TQE3" s="29"/>
      <c r="TQF3" s="29"/>
      <c r="TQG3" s="29"/>
      <c r="TQH3" s="29"/>
      <c r="TQI3" s="29"/>
      <c r="TQJ3" s="29"/>
      <c r="TQK3" s="29"/>
      <c r="TQL3" s="29"/>
      <c r="TQM3" s="29"/>
      <c r="TQN3" s="29"/>
      <c r="TQO3" s="29"/>
      <c r="TQP3" s="29"/>
      <c r="TQQ3" s="29"/>
      <c r="TQR3" s="29"/>
      <c r="TQS3" s="29"/>
      <c r="TQT3" s="29"/>
      <c r="TQU3" s="29"/>
      <c r="TQV3" s="29"/>
      <c r="TQW3" s="29"/>
      <c r="TQX3" s="29"/>
      <c r="TQY3" s="29"/>
      <c r="TQZ3" s="29"/>
      <c r="TRA3" s="29"/>
      <c r="TRB3" s="29"/>
      <c r="TRC3" s="29"/>
      <c r="TRD3" s="29"/>
      <c r="TRE3" s="29"/>
      <c r="TRF3" s="29"/>
      <c r="TRG3" s="29"/>
      <c r="TRH3" s="29"/>
      <c r="TRI3" s="29"/>
      <c r="TRJ3" s="29"/>
      <c r="TRK3" s="29"/>
      <c r="TRL3" s="29"/>
      <c r="TRM3" s="29"/>
      <c r="TRN3" s="29"/>
      <c r="TRO3" s="29"/>
      <c r="TRP3" s="29"/>
      <c r="TRQ3" s="29"/>
      <c r="TRR3" s="29"/>
      <c r="TRS3" s="29"/>
      <c r="TRT3" s="29"/>
      <c r="TRU3" s="29"/>
      <c r="TRV3" s="29"/>
      <c r="TRW3" s="29"/>
      <c r="TRX3" s="29"/>
      <c r="TRY3" s="29"/>
      <c r="TRZ3" s="29"/>
      <c r="TSA3" s="29"/>
      <c r="TSB3" s="29"/>
      <c r="TSC3" s="29"/>
      <c r="TSD3" s="29"/>
      <c r="TSE3" s="29"/>
      <c r="TSF3" s="29"/>
      <c r="TSG3" s="29"/>
      <c r="TSH3" s="29"/>
      <c r="TSI3" s="29"/>
      <c r="TSJ3" s="29"/>
      <c r="TSK3" s="29"/>
      <c r="TSL3" s="29"/>
      <c r="TSM3" s="29"/>
      <c r="TSN3" s="29"/>
      <c r="TSO3" s="29"/>
      <c r="TSP3" s="29"/>
      <c r="TSQ3" s="29"/>
      <c r="TSR3" s="29"/>
      <c r="TSS3" s="29"/>
      <c r="TST3" s="29"/>
      <c r="TSU3" s="29"/>
      <c r="TSV3" s="29"/>
      <c r="TSW3" s="29"/>
      <c r="TSX3" s="29"/>
      <c r="TSY3" s="29"/>
      <c r="TSZ3" s="29"/>
      <c r="TTA3" s="29"/>
      <c r="TTB3" s="29"/>
      <c r="TTC3" s="29"/>
      <c r="TTD3" s="29"/>
      <c r="TTE3" s="29"/>
      <c r="TTF3" s="29"/>
      <c r="TTG3" s="29"/>
      <c r="TTH3" s="29"/>
      <c r="TTI3" s="29"/>
      <c r="TTJ3" s="29"/>
      <c r="TTK3" s="29"/>
      <c r="TTL3" s="29"/>
      <c r="TTM3" s="29"/>
      <c r="TTN3" s="29"/>
      <c r="TTO3" s="29"/>
      <c r="TTP3" s="29"/>
      <c r="TTQ3" s="29"/>
      <c r="TTR3" s="29"/>
      <c r="TTS3" s="29"/>
      <c r="TTT3" s="29"/>
      <c r="TTU3" s="29"/>
      <c r="TTV3" s="29"/>
      <c r="TTW3" s="29"/>
      <c r="TTX3" s="29"/>
      <c r="TTY3" s="29"/>
      <c r="TTZ3" s="29"/>
      <c r="TUA3" s="29"/>
      <c r="TUB3" s="29"/>
      <c r="TUC3" s="29"/>
      <c r="TUD3" s="29"/>
      <c r="TUE3" s="29"/>
      <c r="TUF3" s="29"/>
      <c r="TUG3" s="29"/>
      <c r="TUH3" s="29"/>
      <c r="TUI3" s="29"/>
      <c r="TUJ3" s="29"/>
      <c r="TUK3" s="29"/>
      <c r="TUL3" s="29"/>
      <c r="TUM3" s="29"/>
      <c r="TUN3" s="29"/>
      <c r="TUO3" s="29"/>
      <c r="TUP3" s="29"/>
      <c r="TUQ3" s="29"/>
      <c r="TUR3" s="29"/>
      <c r="TUS3" s="29"/>
      <c r="TUT3" s="29"/>
      <c r="TUU3" s="29"/>
      <c r="TUV3" s="29"/>
      <c r="TUW3" s="29"/>
      <c r="TUX3" s="29"/>
      <c r="TUY3" s="29"/>
      <c r="TUZ3" s="29"/>
      <c r="TVA3" s="29"/>
      <c r="TVB3" s="29"/>
      <c r="TVC3" s="29"/>
      <c r="TVD3" s="29"/>
      <c r="TVE3" s="29"/>
      <c r="TVF3" s="29"/>
      <c r="TVG3" s="29"/>
      <c r="TVH3" s="29"/>
      <c r="TVI3" s="29"/>
      <c r="TVJ3" s="29"/>
      <c r="TVK3" s="29"/>
      <c r="TVL3" s="29"/>
      <c r="TVM3" s="29"/>
      <c r="TVN3" s="29"/>
      <c r="TVO3" s="29"/>
      <c r="TVP3" s="29"/>
      <c r="TVQ3" s="29"/>
      <c r="TVR3" s="29"/>
      <c r="TVS3" s="29"/>
      <c r="TVT3" s="29"/>
      <c r="TVU3" s="29"/>
      <c r="TVV3" s="29"/>
      <c r="TVW3" s="29"/>
      <c r="TVX3" s="29"/>
      <c r="TVY3" s="29"/>
      <c r="TVZ3" s="29"/>
      <c r="TWA3" s="29"/>
      <c r="TWB3" s="29"/>
      <c r="TWC3" s="29"/>
      <c r="TWD3" s="29"/>
      <c r="TWE3" s="29"/>
      <c r="TWF3" s="29"/>
      <c r="TWG3" s="29"/>
      <c r="TWH3" s="29"/>
      <c r="TWI3" s="29"/>
      <c r="TWJ3" s="29"/>
      <c r="TWK3" s="29"/>
      <c r="TWL3" s="29"/>
      <c r="TWM3" s="29"/>
      <c r="TWN3" s="29"/>
      <c r="TWO3" s="29"/>
      <c r="TWP3" s="29"/>
      <c r="TWQ3" s="29"/>
      <c r="TWR3" s="29"/>
      <c r="TWS3" s="29"/>
      <c r="TWT3" s="29"/>
      <c r="TWU3" s="29"/>
      <c r="TWV3" s="29"/>
      <c r="TWW3" s="29"/>
      <c r="TWX3" s="29"/>
      <c r="TWY3" s="29"/>
      <c r="TWZ3" s="29"/>
      <c r="TXA3" s="29"/>
      <c r="TXB3" s="29"/>
      <c r="TXC3" s="29"/>
      <c r="TXD3" s="29"/>
      <c r="TXE3" s="29"/>
      <c r="TXF3" s="29"/>
      <c r="TXG3" s="29"/>
      <c r="TXH3" s="29"/>
      <c r="TXI3" s="29"/>
      <c r="TXJ3" s="29"/>
      <c r="TXK3" s="29"/>
      <c r="TXL3" s="29"/>
      <c r="TXM3" s="29"/>
      <c r="TXN3" s="29"/>
      <c r="TXO3" s="29"/>
      <c r="TXP3" s="29"/>
      <c r="TXQ3" s="29"/>
      <c r="TXR3" s="29"/>
      <c r="TXS3" s="29"/>
      <c r="TXT3" s="29"/>
      <c r="TXU3" s="29"/>
      <c r="TXV3" s="29"/>
      <c r="TXW3" s="29"/>
      <c r="TXX3" s="29"/>
      <c r="TXY3" s="29"/>
      <c r="TXZ3" s="29"/>
      <c r="TYA3" s="29"/>
      <c r="TYB3" s="29"/>
      <c r="TYC3" s="29"/>
      <c r="TYD3" s="29"/>
      <c r="TYE3" s="29"/>
      <c r="TYF3" s="29"/>
      <c r="TYG3" s="29"/>
      <c r="TYH3" s="29"/>
      <c r="TYI3" s="29"/>
      <c r="TYJ3" s="29"/>
      <c r="TYK3" s="29"/>
      <c r="TYL3" s="29"/>
      <c r="TYM3" s="29"/>
      <c r="TYN3" s="29"/>
      <c r="TYO3" s="29"/>
      <c r="TYP3" s="29"/>
      <c r="TYQ3" s="29"/>
      <c r="TYR3" s="29"/>
      <c r="TYS3" s="29"/>
      <c r="TYT3" s="29"/>
      <c r="TYU3" s="29"/>
      <c r="TYV3" s="29"/>
      <c r="TYW3" s="29"/>
      <c r="TYX3" s="29"/>
      <c r="TYY3" s="29"/>
      <c r="TYZ3" s="29"/>
      <c r="TZA3" s="29"/>
      <c r="TZB3" s="29"/>
      <c r="TZC3" s="29"/>
      <c r="TZD3" s="29"/>
      <c r="TZE3" s="29"/>
      <c r="TZF3" s="29"/>
      <c r="TZG3" s="29"/>
      <c r="TZH3" s="29"/>
      <c r="TZI3" s="29"/>
      <c r="TZJ3" s="29"/>
      <c r="TZK3" s="29"/>
      <c r="TZL3" s="29"/>
      <c r="TZM3" s="29"/>
      <c r="TZN3" s="29"/>
      <c r="TZO3" s="29"/>
      <c r="TZP3" s="29"/>
      <c r="TZQ3" s="29"/>
      <c r="TZR3" s="29"/>
      <c r="TZS3" s="29"/>
      <c r="TZT3" s="29"/>
      <c r="TZU3" s="29"/>
      <c r="TZV3" s="29"/>
      <c r="TZW3" s="29"/>
      <c r="TZX3" s="29"/>
      <c r="TZY3" s="29"/>
      <c r="TZZ3" s="29"/>
      <c r="UAA3" s="29"/>
      <c r="UAB3" s="29"/>
      <c r="UAC3" s="29"/>
      <c r="UAD3" s="29"/>
      <c r="UAE3" s="29"/>
      <c r="UAF3" s="29"/>
      <c r="UAG3" s="29"/>
      <c r="UAH3" s="29"/>
      <c r="UAI3" s="29"/>
      <c r="UAJ3" s="29"/>
      <c r="UAK3" s="29"/>
      <c r="UAL3" s="29"/>
      <c r="UAM3" s="29"/>
      <c r="UAN3" s="29"/>
      <c r="UAO3" s="29"/>
      <c r="UAP3" s="29"/>
      <c r="UAQ3" s="29"/>
      <c r="UAR3" s="29"/>
      <c r="UAS3" s="29"/>
      <c r="UAT3" s="29"/>
      <c r="UAU3" s="29"/>
      <c r="UAV3" s="29"/>
      <c r="UAW3" s="29"/>
      <c r="UAX3" s="29"/>
      <c r="UAY3" s="29"/>
      <c r="UAZ3" s="29"/>
      <c r="UBA3" s="29"/>
      <c r="UBB3" s="29"/>
      <c r="UBC3" s="29"/>
      <c r="UBD3" s="29"/>
      <c r="UBE3" s="29"/>
      <c r="UBF3" s="29"/>
      <c r="UBG3" s="29"/>
      <c r="UBH3" s="29"/>
      <c r="UBI3" s="29"/>
      <c r="UBJ3" s="29"/>
      <c r="UBK3" s="29"/>
      <c r="UBL3" s="29"/>
      <c r="UBM3" s="29"/>
      <c r="UBN3" s="29"/>
      <c r="UBO3" s="29"/>
      <c r="UBP3" s="29"/>
      <c r="UBQ3" s="29"/>
      <c r="UBR3" s="29"/>
      <c r="UBS3" s="29"/>
      <c r="UBT3" s="29"/>
      <c r="UBU3" s="29"/>
      <c r="UBV3" s="29"/>
      <c r="UBW3" s="29"/>
      <c r="UBX3" s="29"/>
      <c r="UBY3" s="29"/>
      <c r="UBZ3" s="29"/>
      <c r="UCA3" s="29"/>
      <c r="UCB3" s="29"/>
      <c r="UCC3" s="29"/>
      <c r="UCD3" s="29"/>
      <c r="UCE3" s="29"/>
      <c r="UCF3" s="29"/>
      <c r="UCG3" s="29"/>
      <c r="UCH3" s="29"/>
      <c r="UCI3" s="29"/>
      <c r="UCJ3" s="29"/>
      <c r="UCK3" s="29"/>
      <c r="UCL3" s="29"/>
      <c r="UCM3" s="29"/>
      <c r="UCN3" s="29"/>
      <c r="UCO3" s="29"/>
      <c r="UCP3" s="29"/>
      <c r="UCQ3" s="29"/>
      <c r="UCR3" s="29"/>
      <c r="UCS3" s="29"/>
      <c r="UCT3" s="29"/>
      <c r="UCU3" s="29"/>
      <c r="UCV3" s="29"/>
      <c r="UCW3" s="29"/>
      <c r="UCX3" s="29"/>
      <c r="UCY3" s="29"/>
      <c r="UCZ3" s="29"/>
      <c r="UDA3" s="29"/>
      <c r="UDB3" s="29"/>
      <c r="UDC3" s="29"/>
      <c r="UDD3" s="29"/>
      <c r="UDE3" s="29"/>
      <c r="UDF3" s="29"/>
      <c r="UDG3" s="29"/>
      <c r="UDH3" s="29"/>
      <c r="UDI3" s="29"/>
      <c r="UDJ3" s="29"/>
      <c r="UDK3" s="29"/>
      <c r="UDL3" s="29"/>
      <c r="UDM3" s="29"/>
      <c r="UDN3" s="29"/>
      <c r="UDO3" s="29"/>
      <c r="UDP3" s="29"/>
      <c r="UDQ3" s="29"/>
      <c r="UDR3" s="29"/>
      <c r="UDS3" s="29"/>
      <c r="UDT3" s="29"/>
      <c r="UDU3" s="29"/>
      <c r="UDV3" s="29"/>
      <c r="UDW3" s="29"/>
      <c r="UDX3" s="29"/>
      <c r="UDY3" s="29"/>
      <c r="UDZ3" s="29"/>
      <c r="UEA3" s="29"/>
      <c r="UEB3" s="29"/>
      <c r="UEC3" s="29"/>
      <c r="UED3" s="29"/>
      <c r="UEE3" s="29"/>
      <c r="UEF3" s="29"/>
      <c r="UEG3" s="29"/>
      <c r="UEH3" s="29"/>
      <c r="UEI3" s="29"/>
      <c r="UEJ3" s="29"/>
      <c r="UEK3" s="29"/>
      <c r="UEL3" s="29"/>
      <c r="UEM3" s="29"/>
      <c r="UEN3" s="29"/>
      <c r="UEO3" s="29"/>
      <c r="UEP3" s="29"/>
      <c r="UEQ3" s="29"/>
      <c r="UER3" s="29"/>
      <c r="UES3" s="29"/>
      <c r="UET3" s="29"/>
      <c r="UEU3" s="29"/>
      <c r="UEV3" s="29"/>
      <c r="UEW3" s="29"/>
      <c r="UEX3" s="29"/>
      <c r="UEY3" s="29"/>
      <c r="UEZ3" s="29"/>
      <c r="UFA3" s="29"/>
      <c r="UFB3" s="29"/>
      <c r="UFC3" s="29"/>
      <c r="UFD3" s="29"/>
      <c r="UFE3" s="29"/>
      <c r="UFF3" s="29"/>
      <c r="UFG3" s="29"/>
      <c r="UFH3" s="29"/>
      <c r="UFI3" s="29"/>
      <c r="UFJ3" s="29"/>
      <c r="UFK3" s="29"/>
      <c r="UFL3" s="29"/>
      <c r="UFM3" s="29"/>
      <c r="UFN3" s="29"/>
      <c r="UFO3" s="29"/>
      <c r="UFP3" s="29"/>
      <c r="UFQ3" s="29"/>
      <c r="UFR3" s="29"/>
      <c r="UFS3" s="29"/>
      <c r="UFT3" s="29"/>
      <c r="UFU3" s="29"/>
      <c r="UFV3" s="29"/>
      <c r="UFW3" s="29"/>
      <c r="UFX3" s="29"/>
      <c r="UFY3" s="29"/>
      <c r="UFZ3" s="29"/>
      <c r="UGA3" s="29"/>
      <c r="UGB3" s="29"/>
      <c r="UGC3" s="29"/>
      <c r="UGD3" s="29"/>
      <c r="UGE3" s="29"/>
      <c r="UGF3" s="29"/>
      <c r="UGG3" s="29"/>
      <c r="UGH3" s="29"/>
      <c r="UGI3" s="29"/>
      <c r="UGJ3" s="29"/>
      <c r="UGK3" s="29"/>
      <c r="UGL3" s="29"/>
      <c r="UGM3" s="29"/>
      <c r="UGN3" s="29"/>
      <c r="UGO3" s="29"/>
      <c r="UGP3" s="29"/>
      <c r="UGQ3" s="29"/>
      <c r="UGR3" s="29"/>
      <c r="UGS3" s="29"/>
      <c r="UGT3" s="29"/>
      <c r="UGU3" s="29"/>
      <c r="UGV3" s="29"/>
      <c r="UGW3" s="29"/>
      <c r="UGX3" s="29"/>
      <c r="UGY3" s="29"/>
      <c r="UGZ3" s="29"/>
      <c r="UHA3" s="29"/>
      <c r="UHB3" s="29"/>
      <c r="UHC3" s="29"/>
      <c r="UHD3" s="29"/>
      <c r="UHE3" s="29"/>
      <c r="UHF3" s="29"/>
      <c r="UHG3" s="29"/>
      <c r="UHH3" s="29"/>
      <c r="UHI3" s="29"/>
      <c r="UHJ3" s="29"/>
      <c r="UHK3" s="29"/>
      <c r="UHL3" s="29"/>
      <c r="UHM3" s="29"/>
      <c r="UHN3" s="29"/>
      <c r="UHO3" s="29"/>
      <c r="UHP3" s="29"/>
      <c r="UHQ3" s="29"/>
      <c r="UHR3" s="29"/>
      <c r="UHS3" s="29"/>
      <c r="UHT3" s="29"/>
      <c r="UHU3" s="29"/>
      <c r="UHV3" s="29"/>
      <c r="UHW3" s="29"/>
      <c r="UHX3" s="29"/>
      <c r="UHY3" s="29"/>
      <c r="UHZ3" s="29"/>
      <c r="UIA3" s="29"/>
      <c r="UIB3" s="29"/>
      <c r="UIC3" s="29"/>
      <c r="UID3" s="29"/>
      <c r="UIE3" s="29"/>
      <c r="UIF3" s="29"/>
      <c r="UIG3" s="29"/>
      <c r="UIH3" s="29"/>
      <c r="UII3" s="29"/>
      <c r="UIJ3" s="29"/>
      <c r="UIK3" s="29"/>
      <c r="UIL3" s="29"/>
      <c r="UIM3" s="29"/>
      <c r="UIN3" s="29"/>
      <c r="UIO3" s="29"/>
      <c r="UIP3" s="29"/>
      <c r="UIQ3" s="29"/>
      <c r="UIR3" s="29"/>
      <c r="UIS3" s="29"/>
      <c r="UIT3" s="29"/>
      <c r="UIU3" s="29"/>
      <c r="UIV3" s="29"/>
      <c r="UIW3" s="29"/>
      <c r="UIX3" s="29"/>
      <c r="UIY3" s="29"/>
      <c r="UIZ3" s="29"/>
      <c r="UJA3" s="29"/>
      <c r="UJB3" s="29"/>
      <c r="UJC3" s="29"/>
      <c r="UJD3" s="29"/>
      <c r="UJE3" s="29"/>
      <c r="UJF3" s="29"/>
      <c r="UJG3" s="29"/>
      <c r="UJH3" s="29"/>
      <c r="UJI3" s="29"/>
      <c r="UJJ3" s="29"/>
      <c r="UJK3" s="29"/>
      <c r="UJL3" s="29"/>
      <c r="UJM3" s="29"/>
      <c r="UJN3" s="29"/>
      <c r="UJO3" s="29"/>
      <c r="UJP3" s="29"/>
      <c r="UJQ3" s="29"/>
      <c r="UJR3" s="29"/>
      <c r="UJS3" s="29"/>
      <c r="UJT3" s="29"/>
      <c r="UJU3" s="29"/>
      <c r="UJV3" s="29"/>
      <c r="UJW3" s="29"/>
      <c r="UJX3" s="29"/>
      <c r="UJY3" s="29"/>
      <c r="UJZ3" s="29"/>
      <c r="UKA3" s="29"/>
      <c r="UKB3" s="29"/>
      <c r="UKC3" s="29"/>
      <c r="UKD3" s="29"/>
      <c r="UKE3" s="29"/>
      <c r="UKF3" s="29"/>
      <c r="UKG3" s="29"/>
      <c r="UKH3" s="29"/>
      <c r="UKI3" s="29"/>
      <c r="UKJ3" s="29"/>
      <c r="UKK3" s="29"/>
      <c r="UKL3" s="29"/>
      <c r="UKM3" s="29"/>
      <c r="UKN3" s="29"/>
      <c r="UKO3" s="29"/>
      <c r="UKP3" s="29"/>
      <c r="UKQ3" s="29"/>
      <c r="UKR3" s="29"/>
      <c r="UKS3" s="29"/>
      <c r="UKT3" s="29"/>
      <c r="UKU3" s="29"/>
      <c r="UKV3" s="29"/>
      <c r="UKW3" s="29"/>
      <c r="UKX3" s="29"/>
      <c r="UKY3" s="29"/>
      <c r="UKZ3" s="29"/>
      <c r="ULA3" s="29"/>
      <c r="ULB3" s="29"/>
      <c r="ULC3" s="29"/>
      <c r="ULD3" s="29"/>
      <c r="ULE3" s="29"/>
      <c r="ULF3" s="29"/>
      <c r="ULG3" s="29"/>
      <c r="ULH3" s="29"/>
      <c r="ULI3" s="29"/>
      <c r="ULJ3" s="29"/>
      <c r="ULK3" s="29"/>
      <c r="ULL3" s="29"/>
      <c r="ULM3" s="29"/>
      <c r="ULN3" s="29"/>
      <c r="ULO3" s="29"/>
      <c r="ULP3" s="29"/>
      <c r="ULQ3" s="29"/>
      <c r="ULR3" s="29"/>
      <c r="ULS3" s="29"/>
      <c r="ULT3" s="29"/>
      <c r="ULU3" s="29"/>
      <c r="ULV3" s="29"/>
      <c r="ULW3" s="29"/>
      <c r="ULX3" s="29"/>
      <c r="ULY3" s="29"/>
      <c r="ULZ3" s="29"/>
      <c r="UMA3" s="29"/>
      <c r="UMB3" s="29"/>
      <c r="UMC3" s="29"/>
      <c r="UMD3" s="29"/>
      <c r="UME3" s="29"/>
      <c r="UMF3" s="29"/>
      <c r="UMG3" s="29"/>
      <c r="UMH3" s="29"/>
      <c r="UMI3" s="29"/>
      <c r="UMJ3" s="29"/>
      <c r="UMK3" s="29"/>
      <c r="UML3" s="29"/>
      <c r="UMM3" s="29"/>
      <c r="UMN3" s="29"/>
      <c r="UMO3" s="29"/>
      <c r="UMP3" s="29"/>
      <c r="UMQ3" s="29"/>
      <c r="UMR3" s="29"/>
      <c r="UMS3" s="29"/>
      <c r="UMT3" s="29"/>
      <c r="UMU3" s="29"/>
      <c r="UMV3" s="29"/>
      <c r="UMW3" s="29"/>
      <c r="UMX3" s="29"/>
      <c r="UMY3" s="29"/>
      <c r="UMZ3" s="29"/>
      <c r="UNA3" s="29"/>
      <c r="UNB3" s="29"/>
      <c r="UNC3" s="29"/>
      <c r="UND3" s="29"/>
      <c r="UNE3" s="29"/>
      <c r="UNF3" s="29"/>
      <c r="UNG3" s="29"/>
      <c r="UNH3" s="29"/>
      <c r="UNI3" s="29"/>
      <c r="UNJ3" s="29"/>
      <c r="UNK3" s="29"/>
      <c r="UNL3" s="29"/>
      <c r="UNM3" s="29"/>
      <c r="UNN3" s="29"/>
      <c r="UNO3" s="29"/>
      <c r="UNP3" s="29"/>
      <c r="UNQ3" s="29"/>
      <c r="UNR3" s="29"/>
      <c r="UNS3" s="29"/>
      <c r="UNT3" s="29"/>
      <c r="UNU3" s="29"/>
      <c r="UNV3" s="29"/>
      <c r="UNW3" s="29"/>
      <c r="UNX3" s="29"/>
      <c r="UNY3" s="29"/>
      <c r="UNZ3" s="29"/>
      <c r="UOA3" s="29"/>
      <c r="UOB3" s="29"/>
      <c r="UOC3" s="29"/>
      <c r="UOD3" s="29"/>
      <c r="UOE3" s="29"/>
      <c r="UOF3" s="29"/>
      <c r="UOG3" s="29"/>
      <c r="UOH3" s="29"/>
      <c r="UOI3" s="29"/>
      <c r="UOJ3" s="29"/>
      <c r="UOK3" s="29"/>
      <c r="UOL3" s="29"/>
      <c r="UOM3" s="29"/>
      <c r="UON3" s="29"/>
      <c r="UOO3" s="29"/>
      <c r="UOP3" s="29"/>
      <c r="UOQ3" s="29"/>
      <c r="UOR3" s="29"/>
      <c r="UOS3" s="29"/>
      <c r="UOT3" s="29"/>
      <c r="UOU3" s="29"/>
      <c r="UOV3" s="29"/>
      <c r="UOW3" s="29"/>
      <c r="UOX3" s="29"/>
      <c r="UOY3" s="29"/>
      <c r="UOZ3" s="29"/>
      <c r="UPA3" s="29"/>
      <c r="UPB3" s="29"/>
      <c r="UPC3" s="29"/>
      <c r="UPD3" s="29"/>
      <c r="UPE3" s="29"/>
      <c r="UPF3" s="29"/>
      <c r="UPG3" s="29"/>
      <c r="UPH3" s="29"/>
      <c r="UPI3" s="29"/>
      <c r="UPJ3" s="29"/>
      <c r="UPK3" s="29"/>
      <c r="UPL3" s="29"/>
      <c r="UPM3" s="29"/>
      <c r="UPN3" s="29"/>
      <c r="UPO3" s="29"/>
      <c r="UPP3" s="29"/>
      <c r="UPQ3" s="29"/>
      <c r="UPR3" s="29"/>
      <c r="UPS3" s="29"/>
      <c r="UPT3" s="29"/>
      <c r="UPU3" s="29"/>
      <c r="UPV3" s="29"/>
      <c r="UPW3" s="29"/>
      <c r="UPX3" s="29"/>
      <c r="UPY3" s="29"/>
      <c r="UPZ3" s="29"/>
      <c r="UQA3" s="29"/>
      <c r="UQB3" s="29"/>
      <c r="UQC3" s="29"/>
      <c r="UQD3" s="29"/>
      <c r="UQE3" s="29"/>
      <c r="UQF3" s="29"/>
      <c r="UQG3" s="29"/>
      <c r="UQH3" s="29"/>
      <c r="UQI3" s="29"/>
      <c r="UQJ3" s="29"/>
      <c r="UQK3" s="29"/>
      <c r="UQL3" s="29"/>
      <c r="UQM3" s="29"/>
      <c r="UQN3" s="29"/>
      <c r="UQO3" s="29"/>
      <c r="UQP3" s="29"/>
      <c r="UQQ3" s="29"/>
      <c r="UQR3" s="29"/>
      <c r="UQS3" s="29"/>
      <c r="UQT3" s="29"/>
      <c r="UQU3" s="29"/>
      <c r="UQV3" s="29"/>
      <c r="UQW3" s="29"/>
      <c r="UQX3" s="29"/>
      <c r="UQY3" s="29"/>
      <c r="UQZ3" s="29"/>
      <c r="URA3" s="29"/>
      <c r="URB3" s="29"/>
      <c r="URC3" s="29"/>
      <c r="URD3" s="29"/>
      <c r="URE3" s="29"/>
      <c r="URF3" s="29"/>
      <c r="URG3" s="29"/>
      <c r="URH3" s="29"/>
      <c r="URI3" s="29"/>
      <c r="URJ3" s="29"/>
      <c r="URK3" s="29"/>
      <c r="URL3" s="29"/>
      <c r="URM3" s="29"/>
      <c r="URN3" s="29"/>
      <c r="URO3" s="29"/>
      <c r="URP3" s="29"/>
      <c r="URQ3" s="29"/>
      <c r="URR3" s="29"/>
      <c r="URS3" s="29"/>
      <c r="URT3" s="29"/>
      <c r="URU3" s="29"/>
      <c r="URV3" s="29"/>
      <c r="URW3" s="29"/>
      <c r="URX3" s="29"/>
      <c r="URY3" s="29"/>
      <c r="URZ3" s="29"/>
      <c r="USA3" s="29"/>
      <c r="USB3" s="29"/>
      <c r="USC3" s="29"/>
      <c r="USD3" s="29"/>
      <c r="USE3" s="29"/>
      <c r="USF3" s="29"/>
      <c r="USG3" s="29"/>
      <c r="USH3" s="29"/>
      <c r="USI3" s="29"/>
      <c r="USJ3" s="29"/>
      <c r="USK3" s="29"/>
      <c r="USL3" s="29"/>
      <c r="USM3" s="29"/>
      <c r="USN3" s="29"/>
      <c r="USO3" s="29"/>
      <c r="USP3" s="29"/>
      <c r="USQ3" s="29"/>
      <c r="USR3" s="29"/>
      <c r="USS3" s="29"/>
      <c r="UST3" s="29"/>
      <c r="USU3" s="29"/>
      <c r="USV3" s="29"/>
      <c r="USW3" s="29"/>
      <c r="USX3" s="29"/>
      <c r="USY3" s="29"/>
      <c r="USZ3" s="29"/>
      <c r="UTA3" s="29"/>
      <c r="UTB3" s="29"/>
      <c r="UTC3" s="29"/>
      <c r="UTD3" s="29"/>
      <c r="UTE3" s="29"/>
      <c r="UTF3" s="29"/>
      <c r="UTG3" s="29"/>
      <c r="UTH3" s="29"/>
      <c r="UTI3" s="29"/>
      <c r="UTJ3" s="29"/>
      <c r="UTK3" s="29"/>
      <c r="UTL3" s="29"/>
      <c r="UTM3" s="29"/>
      <c r="UTN3" s="29"/>
      <c r="UTO3" s="29"/>
      <c r="UTP3" s="29"/>
      <c r="UTQ3" s="29"/>
      <c r="UTR3" s="29"/>
      <c r="UTS3" s="29"/>
      <c r="UTT3" s="29"/>
      <c r="UTU3" s="29"/>
      <c r="UTV3" s="29"/>
      <c r="UTW3" s="29"/>
      <c r="UTX3" s="29"/>
      <c r="UTY3" s="29"/>
      <c r="UTZ3" s="29"/>
      <c r="UUA3" s="29"/>
      <c r="UUB3" s="29"/>
      <c r="UUC3" s="29"/>
      <c r="UUD3" s="29"/>
      <c r="UUE3" s="29"/>
      <c r="UUF3" s="29"/>
      <c r="UUG3" s="29"/>
      <c r="UUH3" s="29"/>
      <c r="UUI3" s="29"/>
      <c r="UUJ3" s="29"/>
      <c r="UUK3" s="29"/>
      <c r="UUL3" s="29"/>
      <c r="UUM3" s="29"/>
      <c r="UUN3" s="29"/>
      <c r="UUO3" s="29"/>
      <c r="UUP3" s="29"/>
      <c r="UUQ3" s="29"/>
      <c r="UUR3" s="29"/>
      <c r="UUS3" s="29"/>
      <c r="UUT3" s="29"/>
      <c r="UUU3" s="29"/>
      <c r="UUV3" s="29"/>
      <c r="UUW3" s="29"/>
      <c r="UUX3" s="29"/>
      <c r="UUY3" s="29"/>
      <c r="UUZ3" s="29"/>
      <c r="UVA3" s="29"/>
      <c r="UVB3" s="29"/>
      <c r="UVC3" s="29"/>
      <c r="UVD3" s="29"/>
      <c r="UVE3" s="29"/>
      <c r="UVF3" s="29"/>
      <c r="UVG3" s="29"/>
      <c r="UVH3" s="29"/>
      <c r="UVI3" s="29"/>
      <c r="UVJ3" s="29"/>
      <c r="UVK3" s="29"/>
      <c r="UVL3" s="29"/>
      <c r="UVM3" s="29"/>
      <c r="UVN3" s="29"/>
      <c r="UVO3" s="29"/>
      <c r="UVP3" s="29"/>
      <c r="UVQ3" s="29"/>
      <c r="UVR3" s="29"/>
      <c r="UVS3" s="29"/>
      <c r="UVT3" s="29"/>
      <c r="UVU3" s="29"/>
      <c r="UVV3" s="29"/>
      <c r="UVW3" s="29"/>
      <c r="UVX3" s="29"/>
      <c r="UVY3" s="29"/>
      <c r="UVZ3" s="29"/>
      <c r="UWA3" s="29"/>
      <c r="UWB3" s="29"/>
      <c r="UWC3" s="29"/>
      <c r="UWD3" s="29"/>
      <c r="UWE3" s="29"/>
      <c r="UWF3" s="29"/>
      <c r="UWG3" s="29"/>
      <c r="UWH3" s="29"/>
      <c r="UWI3" s="29"/>
      <c r="UWJ3" s="29"/>
      <c r="UWK3" s="29"/>
      <c r="UWL3" s="29"/>
      <c r="UWM3" s="29"/>
      <c r="UWN3" s="29"/>
      <c r="UWO3" s="29"/>
      <c r="UWP3" s="29"/>
      <c r="UWQ3" s="29"/>
      <c r="UWR3" s="29"/>
      <c r="UWS3" s="29"/>
      <c r="UWT3" s="29"/>
      <c r="UWU3" s="29"/>
      <c r="UWV3" s="29"/>
      <c r="UWW3" s="29"/>
      <c r="UWX3" s="29"/>
      <c r="UWY3" s="29"/>
      <c r="UWZ3" s="29"/>
      <c r="UXA3" s="29"/>
      <c r="UXB3" s="29"/>
      <c r="UXC3" s="29"/>
      <c r="UXD3" s="29"/>
      <c r="UXE3" s="29"/>
      <c r="UXF3" s="29"/>
      <c r="UXG3" s="29"/>
      <c r="UXH3" s="29"/>
      <c r="UXI3" s="29"/>
      <c r="UXJ3" s="29"/>
      <c r="UXK3" s="29"/>
      <c r="UXL3" s="29"/>
      <c r="UXM3" s="29"/>
      <c r="UXN3" s="29"/>
      <c r="UXO3" s="29"/>
      <c r="UXP3" s="29"/>
      <c r="UXQ3" s="29"/>
      <c r="UXR3" s="29"/>
      <c r="UXS3" s="29"/>
      <c r="UXT3" s="29"/>
      <c r="UXU3" s="29"/>
      <c r="UXV3" s="29"/>
      <c r="UXW3" s="29"/>
      <c r="UXX3" s="29"/>
      <c r="UXY3" s="29"/>
      <c r="UXZ3" s="29"/>
      <c r="UYA3" s="29"/>
      <c r="UYB3" s="29"/>
      <c r="UYC3" s="29"/>
      <c r="UYD3" s="29"/>
      <c r="UYE3" s="29"/>
      <c r="UYF3" s="29"/>
      <c r="UYG3" s="29"/>
      <c r="UYH3" s="29"/>
      <c r="UYI3" s="29"/>
      <c r="UYJ3" s="29"/>
      <c r="UYK3" s="29"/>
      <c r="UYL3" s="29"/>
      <c r="UYM3" s="29"/>
      <c r="UYN3" s="29"/>
      <c r="UYO3" s="29"/>
      <c r="UYP3" s="29"/>
      <c r="UYQ3" s="29"/>
      <c r="UYR3" s="29"/>
      <c r="UYS3" s="29"/>
      <c r="UYT3" s="29"/>
      <c r="UYU3" s="29"/>
      <c r="UYV3" s="29"/>
      <c r="UYW3" s="29"/>
      <c r="UYX3" s="29"/>
      <c r="UYY3" s="29"/>
      <c r="UYZ3" s="29"/>
      <c r="UZA3" s="29"/>
      <c r="UZB3" s="29"/>
      <c r="UZC3" s="29"/>
      <c r="UZD3" s="29"/>
      <c r="UZE3" s="29"/>
      <c r="UZF3" s="29"/>
      <c r="UZG3" s="29"/>
      <c r="UZH3" s="29"/>
      <c r="UZI3" s="29"/>
      <c r="UZJ3" s="29"/>
      <c r="UZK3" s="29"/>
      <c r="UZL3" s="29"/>
      <c r="UZM3" s="29"/>
      <c r="UZN3" s="29"/>
      <c r="UZO3" s="29"/>
      <c r="UZP3" s="29"/>
      <c r="UZQ3" s="29"/>
      <c r="UZR3" s="29"/>
      <c r="UZS3" s="29"/>
      <c r="UZT3" s="29"/>
      <c r="UZU3" s="29"/>
      <c r="UZV3" s="29"/>
      <c r="UZW3" s="29"/>
      <c r="UZX3" s="29"/>
      <c r="UZY3" s="29"/>
      <c r="UZZ3" s="29"/>
      <c r="VAA3" s="29"/>
      <c r="VAB3" s="29"/>
      <c r="VAC3" s="29"/>
      <c r="VAD3" s="29"/>
      <c r="VAE3" s="29"/>
      <c r="VAF3" s="29"/>
      <c r="VAG3" s="29"/>
      <c r="VAH3" s="29"/>
      <c r="VAI3" s="29"/>
      <c r="VAJ3" s="29"/>
      <c r="VAK3" s="29"/>
      <c r="VAL3" s="29"/>
      <c r="VAM3" s="29"/>
      <c r="VAN3" s="29"/>
      <c r="VAO3" s="29"/>
      <c r="VAP3" s="29"/>
      <c r="VAQ3" s="29"/>
      <c r="VAR3" s="29"/>
      <c r="VAS3" s="29"/>
      <c r="VAT3" s="29"/>
      <c r="VAU3" s="29"/>
      <c r="VAV3" s="29"/>
      <c r="VAW3" s="29"/>
      <c r="VAX3" s="29"/>
      <c r="VAY3" s="29"/>
      <c r="VAZ3" s="29"/>
      <c r="VBA3" s="29"/>
      <c r="VBB3" s="29"/>
      <c r="VBC3" s="29"/>
      <c r="VBD3" s="29"/>
      <c r="VBE3" s="29"/>
      <c r="VBF3" s="29"/>
      <c r="VBG3" s="29"/>
      <c r="VBH3" s="29"/>
      <c r="VBI3" s="29"/>
      <c r="VBJ3" s="29"/>
      <c r="VBK3" s="29"/>
      <c r="VBL3" s="29"/>
      <c r="VBM3" s="29"/>
      <c r="VBN3" s="29"/>
      <c r="VBO3" s="29"/>
      <c r="VBP3" s="29"/>
      <c r="VBQ3" s="29"/>
      <c r="VBR3" s="29"/>
      <c r="VBS3" s="29"/>
      <c r="VBT3" s="29"/>
      <c r="VBU3" s="29"/>
      <c r="VBV3" s="29"/>
      <c r="VBW3" s="29"/>
      <c r="VBX3" s="29"/>
      <c r="VBY3" s="29"/>
      <c r="VBZ3" s="29"/>
      <c r="VCA3" s="29"/>
      <c r="VCB3" s="29"/>
      <c r="VCC3" s="29"/>
      <c r="VCD3" s="29"/>
      <c r="VCE3" s="29"/>
      <c r="VCF3" s="29"/>
      <c r="VCG3" s="29"/>
      <c r="VCH3" s="29"/>
      <c r="VCI3" s="29"/>
      <c r="VCJ3" s="29"/>
      <c r="VCK3" s="29"/>
      <c r="VCL3" s="29"/>
      <c r="VCM3" s="29"/>
      <c r="VCN3" s="29"/>
      <c r="VCO3" s="29"/>
      <c r="VCP3" s="29"/>
      <c r="VCQ3" s="29"/>
      <c r="VCR3" s="29"/>
      <c r="VCS3" s="29"/>
      <c r="VCT3" s="29"/>
      <c r="VCU3" s="29"/>
      <c r="VCV3" s="29"/>
      <c r="VCW3" s="29"/>
      <c r="VCX3" s="29"/>
      <c r="VCY3" s="29"/>
      <c r="VCZ3" s="29"/>
      <c r="VDA3" s="29"/>
      <c r="VDB3" s="29"/>
      <c r="VDC3" s="29"/>
      <c r="VDD3" s="29"/>
      <c r="VDE3" s="29"/>
      <c r="VDF3" s="29"/>
      <c r="VDG3" s="29"/>
      <c r="VDH3" s="29"/>
      <c r="VDI3" s="29"/>
      <c r="VDJ3" s="29"/>
      <c r="VDK3" s="29"/>
      <c r="VDL3" s="29"/>
      <c r="VDM3" s="29"/>
      <c r="VDN3" s="29"/>
      <c r="VDO3" s="29"/>
      <c r="VDP3" s="29"/>
      <c r="VDQ3" s="29"/>
      <c r="VDR3" s="29"/>
      <c r="VDS3" s="29"/>
      <c r="VDT3" s="29"/>
      <c r="VDU3" s="29"/>
      <c r="VDV3" s="29"/>
      <c r="VDW3" s="29"/>
      <c r="VDX3" s="29"/>
      <c r="VDY3" s="29"/>
      <c r="VDZ3" s="29"/>
      <c r="VEA3" s="29"/>
      <c r="VEB3" s="29"/>
      <c r="VEC3" s="29"/>
      <c r="VED3" s="29"/>
      <c r="VEE3" s="29"/>
      <c r="VEF3" s="29"/>
      <c r="VEG3" s="29"/>
      <c r="VEH3" s="29"/>
      <c r="VEI3" s="29"/>
      <c r="VEJ3" s="29"/>
      <c r="VEK3" s="29"/>
      <c r="VEL3" s="29"/>
      <c r="VEM3" s="29"/>
      <c r="VEN3" s="29"/>
      <c r="VEO3" s="29"/>
      <c r="VEP3" s="29"/>
      <c r="VEQ3" s="29"/>
      <c r="VER3" s="29"/>
      <c r="VES3" s="29"/>
      <c r="VET3" s="29"/>
      <c r="VEU3" s="29"/>
      <c r="VEV3" s="29"/>
      <c r="VEW3" s="29"/>
      <c r="VEX3" s="29"/>
      <c r="VEY3" s="29"/>
      <c r="VEZ3" s="29"/>
      <c r="VFA3" s="29"/>
      <c r="VFB3" s="29"/>
      <c r="VFC3" s="29"/>
      <c r="VFD3" s="29"/>
      <c r="VFE3" s="29"/>
      <c r="VFF3" s="29"/>
      <c r="VFG3" s="29"/>
      <c r="VFH3" s="29"/>
      <c r="VFI3" s="29"/>
      <c r="VFJ3" s="29"/>
      <c r="VFK3" s="29"/>
      <c r="VFL3" s="29"/>
      <c r="VFM3" s="29"/>
      <c r="VFN3" s="29"/>
      <c r="VFO3" s="29"/>
      <c r="VFP3" s="29"/>
      <c r="VFQ3" s="29"/>
      <c r="VFR3" s="29"/>
      <c r="VFS3" s="29"/>
      <c r="VFT3" s="29"/>
      <c r="VFU3" s="29"/>
      <c r="VFV3" s="29"/>
      <c r="VFW3" s="29"/>
      <c r="VFX3" s="29"/>
      <c r="VFY3" s="29"/>
      <c r="VFZ3" s="29"/>
      <c r="VGA3" s="29"/>
      <c r="VGB3" s="29"/>
      <c r="VGC3" s="29"/>
      <c r="VGD3" s="29"/>
      <c r="VGE3" s="29"/>
      <c r="VGF3" s="29"/>
      <c r="VGG3" s="29"/>
      <c r="VGH3" s="29"/>
      <c r="VGI3" s="29"/>
      <c r="VGJ3" s="29"/>
      <c r="VGK3" s="29"/>
      <c r="VGL3" s="29"/>
      <c r="VGM3" s="29"/>
      <c r="VGN3" s="29"/>
      <c r="VGO3" s="29"/>
      <c r="VGP3" s="29"/>
      <c r="VGQ3" s="29"/>
      <c r="VGR3" s="29"/>
      <c r="VGS3" s="29"/>
      <c r="VGT3" s="29"/>
      <c r="VGU3" s="29"/>
      <c r="VGV3" s="29"/>
      <c r="VGW3" s="29"/>
      <c r="VGX3" s="29"/>
      <c r="VGY3" s="29"/>
      <c r="VGZ3" s="29"/>
      <c r="VHA3" s="29"/>
      <c r="VHB3" s="29"/>
      <c r="VHC3" s="29"/>
      <c r="VHD3" s="29"/>
      <c r="VHE3" s="29"/>
      <c r="VHF3" s="29"/>
      <c r="VHG3" s="29"/>
      <c r="VHH3" s="29"/>
      <c r="VHI3" s="29"/>
      <c r="VHJ3" s="29"/>
      <c r="VHK3" s="29"/>
      <c r="VHL3" s="29"/>
      <c r="VHM3" s="29"/>
      <c r="VHN3" s="29"/>
      <c r="VHO3" s="29"/>
      <c r="VHP3" s="29"/>
      <c r="VHQ3" s="29"/>
      <c r="VHR3" s="29"/>
      <c r="VHS3" s="29"/>
      <c r="VHT3" s="29"/>
      <c r="VHU3" s="29"/>
      <c r="VHV3" s="29"/>
      <c r="VHW3" s="29"/>
      <c r="VHX3" s="29"/>
      <c r="VHY3" s="29"/>
      <c r="VHZ3" s="29"/>
      <c r="VIA3" s="29"/>
      <c r="VIB3" s="29"/>
      <c r="VIC3" s="29"/>
      <c r="VID3" s="29"/>
      <c r="VIE3" s="29"/>
      <c r="VIF3" s="29"/>
      <c r="VIG3" s="29"/>
      <c r="VIH3" s="29"/>
      <c r="VII3" s="29"/>
      <c r="VIJ3" s="29"/>
      <c r="VIK3" s="29"/>
      <c r="VIL3" s="29"/>
      <c r="VIM3" s="29"/>
      <c r="VIN3" s="29"/>
      <c r="VIO3" s="29"/>
      <c r="VIP3" s="29"/>
      <c r="VIQ3" s="29"/>
      <c r="VIR3" s="29"/>
      <c r="VIS3" s="29"/>
      <c r="VIT3" s="29"/>
      <c r="VIU3" s="29"/>
      <c r="VIV3" s="29"/>
      <c r="VIW3" s="29"/>
      <c r="VIX3" s="29"/>
      <c r="VIY3" s="29"/>
      <c r="VIZ3" s="29"/>
      <c r="VJA3" s="29"/>
      <c r="VJB3" s="29"/>
      <c r="VJC3" s="29"/>
      <c r="VJD3" s="29"/>
      <c r="VJE3" s="29"/>
      <c r="VJF3" s="29"/>
      <c r="VJG3" s="29"/>
      <c r="VJH3" s="29"/>
      <c r="VJI3" s="29"/>
      <c r="VJJ3" s="29"/>
      <c r="VJK3" s="29"/>
      <c r="VJL3" s="29"/>
      <c r="VJM3" s="29"/>
      <c r="VJN3" s="29"/>
      <c r="VJO3" s="29"/>
      <c r="VJP3" s="29"/>
      <c r="VJQ3" s="29"/>
      <c r="VJR3" s="29"/>
      <c r="VJS3" s="29"/>
      <c r="VJT3" s="29"/>
      <c r="VJU3" s="29"/>
      <c r="VJV3" s="29"/>
      <c r="VJW3" s="29"/>
      <c r="VJX3" s="29"/>
      <c r="VJY3" s="29"/>
      <c r="VJZ3" s="29"/>
      <c r="VKA3" s="29"/>
      <c r="VKB3" s="29"/>
      <c r="VKC3" s="29"/>
      <c r="VKD3" s="29"/>
      <c r="VKE3" s="29"/>
      <c r="VKF3" s="29"/>
      <c r="VKG3" s="29"/>
      <c r="VKH3" s="29"/>
      <c r="VKI3" s="29"/>
      <c r="VKJ3" s="29"/>
      <c r="VKK3" s="29"/>
      <c r="VKL3" s="29"/>
      <c r="VKM3" s="29"/>
      <c r="VKN3" s="29"/>
      <c r="VKO3" s="29"/>
      <c r="VKP3" s="29"/>
      <c r="VKQ3" s="29"/>
      <c r="VKR3" s="29"/>
      <c r="VKS3" s="29"/>
      <c r="VKT3" s="29"/>
      <c r="VKU3" s="29"/>
      <c r="VKV3" s="29"/>
      <c r="VKW3" s="29"/>
      <c r="VKX3" s="29"/>
      <c r="VKY3" s="29"/>
      <c r="VKZ3" s="29"/>
      <c r="VLA3" s="29"/>
      <c r="VLB3" s="29"/>
      <c r="VLC3" s="29"/>
      <c r="VLD3" s="29"/>
      <c r="VLE3" s="29"/>
      <c r="VLF3" s="29"/>
      <c r="VLG3" s="29"/>
      <c r="VLH3" s="29"/>
      <c r="VLI3" s="29"/>
      <c r="VLJ3" s="29"/>
      <c r="VLK3" s="29"/>
      <c r="VLL3" s="29"/>
      <c r="VLM3" s="29"/>
      <c r="VLN3" s="29"/>
      <c r="VLO3" s="29"/>
      <c r="VLP3" s="29"/>
      <c r="VLQ3" s="29"/>
      <c r="VLR3" s="29"/>
      <c r="VLS3" s="29"/>
      <c r="VLT3" s="29"/>
      <c r="VLU3" s="29"/>
      <c r="VLV3" s="29"/>
      <c r="VLW3" s="29"/>
      <c r="VLX3" s="29"/>
      <c r="VLY3" s="29"/>
      <c r="VLZ3" s="29"/>
      <c r="VMA3" s="29"/>
      <c r="VMB3" s="29"/>
      <c r="VMC3" s="29"/>
      <c r="VMD3" s="29"/>
      <c r="VME3" s="29"/>
      <c r="VMF3" s="29"/>
      <c r="VMG3" s="29"/>
      <c r="VMH3" s="29"/>
      <c r="VMI3" s="29"/>
      <c r="VMJ3" s="29"/>
      <c r="VMK3" s="29"/>
      <c r="VML3" s="29"/>
      <c r="VMM3" s="29"/>
      <c r="VMN3" s="29"/>
      <c r="VMO3" s="29"/>
      <c r="VMP3" s="29"/>
      <c r="VMQ3" s="29"/>
      <c r="VMR3" s="29"/>
      <c r="VMS3" s="29"/>
      <c r="VMT3" s="29"/>
      <c r="VMU3" s="29"/>
      <c r="VMV3" s="29"/>
      <c r="VMW3" s="29"/>
      <c r="VMX3" s="29"/>
      <c r="VMY3" s="29"/>
      <c r="VMZ3" s="29"/>
      <c r="VNA3" s="29"/>
      <c r="VNB3" s="29"/>
      <c r="VNC3" s="29"/>
      <c r="VND3" s="29"/>
      <c r="VNE3" s="29"/>
      <c r="VNF3" s="29"/>
      <c r="VNG3" s="29"/>
      <c r="VNH3" s="29"/>
      <c r="VNI3" s="29"/>
      <c r="VNJ3" s="29"/>
      <c r="VNK3" s="29"/>
      <c r="VNL3" s="29"/>
      <c r="VNM3" s="29"/>
      <c r="VNN3" s="29"/>
      <c r="VNO3" s="29"/>
      <c r="VNP3" s="29"/>
      <c r="VNQ3" s="29"/>
      <c r="VNR3" s="29"/>
      <c r="VNS3" s="29"/>
      <c r="VNT3" s="29"/>
      <c r="VNU3" s="29"/>
      <c r="VNV3" s="29"/>
      <c r="VNW3" s="29"/>
      <c r="VNX3" s="29"/>
      <c r="VNY3" s="29"/>
      <c r="VNZ3" s="29"/>
      <c r="VOA3" s="29"/>
      <c r="VOB3" s="29"/>
      <c r="VOC3" s="29"/>
      <c r="VOD3" s="29"/>
      <c r="VOE3" s="29"/>
      <c r="VOF3" s="29"/>
      <c r="VOG3" s="29"/>
      <c r="VOH3" s="29"/>
      <c r="VOI3" s="29"/>
      <c r="VOJ3" s="29"/>
      <c r="VOK3" s="29"/>
      <c r="VOL3" s="29"/>
      <c r="VOM3" s="29"/>
      <c r="VON3" s="29"/>
      <c r="VOO3" s="29"/>
      <c r="VOP3" s="29"/>
      <c r="VOQ3" s="29"/>
      <c r="VOR3" s="29"/>
      <c r="VOS3" s="29"/>
      <c r="VOT3" s="29"/>
      <c r="VOU3" s="29"/>
      <c r="VOV3" s="29"/>
      <c r="VOW3" s="29"/>
      <c r="VOX3" s="29"/>
      <c r="VOY3" s="29"/>
      <c r="VOZ3" s="29"/>
      <c r="VPA3" s="29"/>
      <c r="VPB3" s="29"/>
      <c r="VPC3" s="29"/>
      <c r="VPD3" s="29"/>
      <c r="VPE3" s="29"/>
      <c r="VPF3" s="29"/>
      <c r="VPG3" s="29"/>
      <c r="VPH3" s="29"/>
      <c r="VPI3" s="29"/>
      <c r="VPJ3" s="29"/>
      <c r="VPK3" s="29"/>
      <c r="VPL3" s="29"/>
      <c r="VPM3" s="29"/>
      <c r="VPN3" s="29"/>
      <c r="VPO3" s="29"/>
      <c r="VPP3" s="29"/>
      <c r="VPQ3" s="29"/>
      <c r="VPR3" s="29"/>
      <c r="VPS3" s="29"/>
      <c r="VPT3" s="29"/>
      <c r="VPU3" s="29"/>
      <c r="VPV3" s="29"/>
      <c r="VPW3" s="29"/>
      <c r="VPX3" s="29"/>
      <c r="VPY3" s="29"/>
      <c r="VPZ3" s="29"/>
      <c r="VQA3" s="29"/>
      <c r="VQB3" s="29"/>
      <c r="VQC3" s="29"/>
      <c r="VQD3" s="29"/>
      <c r="VQE3" s="29"/>
      <c r="VQF3" s="29"/>
      <c r="VQG3" s="29"/>
      <c r="VQH3" s="29"/>
      <c r="VQI3" s="29"/>
      <c r="VQJ3" s="29"/>
      <c r="VQK3" s="29"/>
      <c r="VQL3" s="29"/>
      <c r="VQM3" s="29"/>
      <c r="VQN3" s="29"/>
      <c r="VQO3" s="29"/>
      <c r="VQP3" s="29"/>
      <c r="VQQ3" s="29"/>
      <c r="VQR3" s="29"/>
      <c r="VQS3" s="29"/>
      <c r="VQT3" s="29"/>
      <c r="VQU3" s="29"/>
      <c r="VQV3" s="29"/>
      <c r="VQW3" s="29"/>
      <c r="VQX3" s="29"/>
      <c r="VQY3" s="29"/>
      <c r="VQZ3" s="29"/>
      <c r="VRA3" s="29"/>
      <c r="VRB3" s="29"/>
      <c r="VRC3" s="29"/>
      <c r="VRD3" s="29"/>
      <c r="VRE3" s="29"/>
      <c r="VRF3" s="29"/>
      <c r="VRG3" s="29"/>
      <c r="VRH3" s="29"/>
      <c r="VRI3" s="29"/>
      <c r="VRJ3" s="29"/>
      <c r="VRK3" s="29"/>
      <c r="VRL3" s="29"/>
      <c r="VRM3" s="29"/>
      <c r="VRN3" s="29"/>
      <c r="VRO3" s="29"/>
      <c r="VRP3" s="29"/>
      <c r="VRQ3" s="29"/>
      <c r="VRR3" s="29"/>
      <c r="VRS3" s="29"/>
      <c r="VRT3" s="29"/>
      <c r="VRU3" s="29"/>
      <c r="VRV3" s="29"/>
      <c r="VRW3" s="29"/>
      <c r="VRX3" s="29"/>
      <c r="VRY3" s="29"/>
      <c r="VRZ3" s="29"/>
      <c r="VSA3" s="29"/>
      <c r="VSB3" s="29"/>
      <c r="VSC3" s="29"/>
      <c r="VSD3" s="29"/>
      <c r="VSE3" s="29"/>
      <c r="VSF3" s="29"/>
      <c r="VSG3" s="29"/>
      <c r="VSH3" s="29"/>
      <c r="VSI3" s="29"/>
      <c r="VSJ3" s="29"/>
      <c r="VSK3" s="29"/>
      <c r="VSL3" s="29"/>
      <c r="VSM3" s="29"/>
      <c r="VSN3" s="29"/>
      <c r="VSO3" s="29"/>
      <c r="VSP3" s="29"/>
      <c r="VSQ3" s="29"/>
      <c r="VSR3" s="29"/>
      <c r="VSS3" s="29"/>
      <c r="VST3" s="29"/>
      <c r="VSU3" s="29"/>
      <c r="VSV3" s="29"/>
      <c r="VSW3" s="29"/>
      <c r="VSX3" s="29"/>
      <c r="VSY3" s="29"/>
      <c r="VSZ3" s="29"/>
      <c r="VTA3" s="29"/>
      <c r="VTB3" s="29"/>
      <c r="VTC3" s="29"/>
      <c r="VTD3" s="29"/>
      <c r="VTE3" s="29"/>
      <c r="VTF3" s="29"/>
      <c r="VTG3" s="29"/>
      <c r="VTH3" s="29"/>
      <c r="VTI3" s="29"/>
      <c r="VTJ3" s="29"/>
      <c r="VTK3" s="29"/>
      <c r="VTL3" s="29"/>
      <c r="VTM3" s="29"/>
      <c r="VTN3" s="29"/>
      <c r="VTO3" s="29"/>
      <c r="VTP3" s="29"/>
      <c r="VTQ3" s="29"/>
      <c r="VTR3" s="29"/>
      <c r="VTS3" s="29"/>
      <c r="VTT3" s="29"/>
      <c r="VTU3" s="29"/>
      <c r="VTV3" s="29"/>
      <c r="VTW3" s="29"/>
      <c r="VTX3" s="29"/>
      <c r="VTY3" s="29"/>
      <c r="VTZ3" s="29"/>
      <c r="VUA3" s="29"/>
      <c r="VUB3" s="29"/>
      <c r="VUC3" s="29"/>
      <c r="VUD3" s="29"/>
      <c r="VUE3" s="29"/>
      <c r="VUF3" s="29"/>
      <c r="VUG3" s="29"/>
      <c r="VUH3" s="29"/>
      <c r="VUI3" s="29"/>
      <c r="VUJ3" s="29"/>
      <c r="VUK3" s="29"/>
      <c r="VUL3" s="29"/>
      <c r="VUM3" s="29"/>
      <c r="VUN3" s="29"/>
      <c r="VUO3" s="29"/>
      <c r="VUP3" s="29"/>
      <c r="VUQ3" s="29"/>
      <c r="VUR3" s="29"/>
      <c r="VUS3" s="29"/>
      <c r="VUT3" s="29"/>
      <c r="VUU3" s="29"/>
      <c r="VUV3" s="29"/>
      <c r="VUW3" s="29"/>
      <c r="VUX3" s="29"/>
      <c r="VUY3" s="29"/>
      <c r="VUZ3" s="29"/>
      <c r="VVA3" s="29"/>
      <c r="VVB3" s="29"/>
      <c r="VVC3" s="29"/>
      <c r="VVD3" s="29"/>
      <c r="VVE3" s="29"/>
      <c r="VVF3" s="29"/>
      <c r="VVG3" s="29"/>
      <c r="VVH3" s="29"/>
      <c r="VVI3" s="29"/>
      <c r="VVJ3" s="29"/>
      <c r="VVK3" s="29"/>
      <c r="VVL3" s="29"/>
      <c r="VVM3" s="29"/>
      <c r="VVN3" s="29"/>
      <c r="VVO3" s="29"/>
      <c r="VVP3" s="29"/>
      <c r="VVQ3" s="29"/>
      <c r="VVR3" s="29"/>
      <c r="VVS3" s="29"/>
      <c r="VVT3" s="29"/>
      <c r="VVU3" s="29"/>
      <c r="VVV3" s="29"/>
      <c r="VVW3" s="29"/>
      <c r="VVX3" s="29"/>
      <c r="VVY3" s="29"/>
      <c r="VVZ3" s="29"/>
      <c r="VWA3" s="29"/>
      <c r="VWB3" s="29"/>
      <c r="VWC3" s="29"/>
      <c r="VWD3" s="29"/>
      <c r="VWE3" s="29"/>
      <c r="VWF3" s="29"/>
      <c r="VWG3" s="29"/>
      <c r="VWH3" s="29"/>
      <c r="VWI3" s="29"/>
      <c r="VWJ3" s="29"/>
      <c r="VWK3" s="29"/>
      <c r="VWL3" s="29"/>
      <c r="VWM3" s="29"/>
      <c r="VWN3" s="29"/>
      <c r="VWO3" s="29"/>
      <c r="VWP3" s="29"/>
      <c r="VWQ3" s="29"/>
      <c r="VWR3" s="29"/>
      <c r="VWS3" s="29"/>
      <c r="VWT3" s="29"/>
      <c r="VWU3" s="29"/>
      <c r="VWV3" s="29"/>
      <c r="VWW3" s="29"/>
      <c r="VWX3" s="29"/>
      <c r="VWY3" s="29"/>
      <c r="VWZ3" s="29"/>
      <c r="VXA3" s="29"/>
      <c r="VXB3" s="29"/>
      <c r="VXC3" s="29"/>
      <c r="VXD3" s="29"/>
      <c r="VXE3" s="29"/>
      <c r="VXF3" s="29"/>
      <c r="VXG3" s="29"/>
      <c r="VXH3" s="29"/>
      <c r="VXI3" s="29"/>
      <c r="VXJ3" s="29"/>
      <c r="VXK3" s="29"/>
      <c r="VXL3" s="29"/>
      <c r="VXM3" s="29"/>
      <c r="VXN3" s="29"/>
      <c r="VXO3" s="29"/>
      <c r="VXP3" s="29"/>
      <c r="VXQ3" s="29"/>
      <c r="VXR3" s="29"/>
      <c r="VXS3" s="29"/>
      <c r="VXT3" s="29"/>
      <c r="VXU3" s="29"/>
      <c r="VXV3" s="29"/>
      <c r="VXW3" s="29"/>
      <c r="VXX3" s="29"/>
      <c r="VXY3" s="29"/>
      <c r="VXZ3" s="29"/>
      <c r="VYA3" s="29"/>
      <c r="VYB3" s="29"/>
      <c r="VYC3" s="29"/>
      <c r="VYD3" s="29"/>
      <c r="VYE3" s="29"/>
      <c r="VYF3" s="29"/>
      <c r="VYG3" s="29"/>
      <c r="VYH3" s="29"/>
      <c r="VYI3" s="29"/>
      <c r="VYJ3" s="29"/>
      <c r="VYK3" s="29"/>
      <c r="VYL3" s="29"/>
      <c r="VYM3" s="29"/>
      <c r="VYN3" s="29"/>
      <c r="VYO3" s="29"/>
      <c r="VYP3" s="29"/>
      <c r="VYQ3" s="29"/>
      <c r="VYR3" s="29"/>
      <c r="VYS3" s="29"/>
      <c r="VYT3" s="29"/>
      <c r="VYU3" s="29"/>
      <c r="VYV3" s="29"/>
      <c r="VYW3" s="29"/>
      <c r="VYX3" s="29"/>
      <c r="VYY3" s="29"/>
      <c r="VYZ3" s="29"/>
      <c r="VZA3" s="29"/>
      <c r="VZB3" s="29"/>
      <c r="VZC3" s="29"/>
      <c r="VZD3" s="29"/>
      <c r="VZE3" s="29"/>
      <c r="VZF3" s="29"/>
      <c r="VZG3" s="29"/>
      <c r="VZH3" s="29"/>
      <c r="VZI3" s="29"/>
      <c r="VZJ3" s="29"/>
      <c r="VZK3" s="29"/>
      <c r="VZL3" s="29"/>
      <c r="VZM3" s="29"/>
      <c r="VZN3" s="29"/>
      <c r="VZO3" s="29"/>
      <c r="VZP3" s="29"/>
      <c r="VZQ3" s="29"/>
      <c r="VZR3" s="29"/>
      <c r="VZS3" s="29"/>
      <c r="VZT3" s="29"/>
      <c r="VZU3" s="29"/>
      <c r="VZV3" s="29"/>
      <c r="VZW3" s="29"/>
      <c r="VZX3" s="29"/>
      <c r="VZY3" s="29"/>
      <c r="VZZ3" s="29"/>
      <c r="WAA3" s="29"/>
      <c r="WAB3" s="29"/>
      <c r="WAC3" s="29"/>
      <c r="WAD3" s="29"/>
      <c r="WAE3" s="29"/>
      <c r="WAF3" s="29"/>
      <c r="WAG3" s="29"/>
      <c r="WAH3" s="29"/>
      <c r="WAI3" s="29"/>
      <c r="WAJ3" s="29"/>
      <c r="WAK3" s="29"/>
      <c r="WAL3" s="29"/>
      <c r="WAM3" s="29"/>
      <c r="WAN3" s="29"/>
      <c r="WAO3" s="29"/>
      <c r="WAP3" s="29"/>
      <c r="WAQ3" s="29"/>
      <c r="WAR3" s="29"/>
      <c r="WAS3" s="29"/>
      <c r="WAT3" s="29"/>
      <c r="WAU3" s="29"/>
      <c r="WAV3" s="29"/>
      <c r="WAW3" s="29"/>
      <c r="WAX3" s="29"/>
      <c r="WAY3" s="29"/>
      <c r="WAZ3" s="29"/>
      <c r="WBA3" s="29"/>
      <c r="WBB3" s="29"/>
      <c r="WBC3" s="29"/>
      <c r="WBD3" s="29"/>
      <c r="WBE3" s="29"/>
      <c r="WBF3" s="29"/>
      <c r="WBG3" s="29"/>
      <c r="WBH3" s="29"/>
      <c r="WBI3" s="29"/>
      <c r="WBJ3" s="29"/>
      <c r="WBK3" s="29"/>
      <c r="WBL3" s="29"/>
      <c r="WBM3" s="29"/>
      <c r="WBN3" s="29"/>
      <c r="WBO3" s="29"/>
      <c r="WBP3" s="29"/>
      <c r="WBQ3" s="29"/>
      <c r="WBR3" s="29"/>
      <c r="WBS3" s="29"/>
      <c r="WBT3" s="29"/>
      <c r="WBU3" s="29"/>
      <c r="WBV3" s="29"/>
      <c r="WBW3" s="29"/>
      <c r="WBX3" s="29"/>
      <c r="WBY3" s="29"/>
      <c r="WBZ3" s="29"/>
      <c r="WCA3" s="29"/>
      <c r="WCB3" s="29"/>
      <c r="WCC3" s="29"/>
      <c r="WCD3" s="29"/>
      <c r="WCE3" s="29"/>
      <c r="WCF3" s="29"/>
      <c r="WCG3" s="29"/>
      <c r="WCH3" s="29"/>
      <c r="WCI3" s="29"/>
      <c r="WCJ3" s="29"/>
      <c r="WCK3" s="29"/>
      <c r="WCL3" s="29"/>
      <c r="WCM3" s="29"/>
      <c r="WCN3" s="29"/>
      <c r="WCO3" s="29"/>
      <c r="WCP3" s="29"/>
      <c r="WCQ3" s="29"/>
      <c r="WCR3" s="29"/>
      <c r="WCS3" s="29"/>
      <c r="WCT3" s="29"/>
      <c r="WCU3" s="29"/>
      <c r="WCV3" s="29"/>
      <c r="WCW3" s="29"/>
      <c r="WCX3" s="29"/>
      <c r="WCY3" s="29"/>
      <c r="WCZ3" s="29"/>
      <c r="WDA3" s="29"/>
      <c r="WDB3" s="29"/>
      <c r="WDC3" s="29"/>
      <c r="WDD3" s="29"/>
      <c r="WDE3" s="29"/>
      <c r="WDF3" s="29"/>
      <c r="WDG3" s="29"/>
      <c r="WDH3" s="29"/>
      <c r="WDI3" s="29"/>
      <c r="WDJ3" s="29"/>
      <c r="WDK3" s="29"/>
      <c r="WDL3" s="29"/>
      <c r="WDM3" s="29"/>
      <c r="WDN3" s="29"/>
      <c r="WDO3" s="29"/>
      <c r="WDP3" s="29"/>
      <c r="WDQ3" s="29"/>
      <c r="WDR3" s="29"/>
      <c r="WDS3" s="29"/>
      <c r="WDT3" s="29"/>
      <c r="WDU3" s="29"/>
      <c r="WDV3" s="29"/>
      <c r="WDW3" s="29"/>
      <c r="WDX3" s="29"/>
      <c r="WDY3" s="29"/>
      <c r="WDZ3" s="29"/>
      <c r="WEA3" s="29"/>
      <c r="WEB3" s="29"/>
      <c r="WEC3" s="29"/>
      <c r="WED3" s="29"/>
      <c r="WEE3" s="29"/>
      <c r="WEF3" s="29"/>
      <c r="WEG3" s="29"/>
      <c r="WEH3" s="29"/>
      <c r="WEI3" s="29"/>
      <c r="WEJ3" s="29"/>
      <c r="WEK3" s="29"/>
      <c r="WEL3" s="29"/>
      <c r="WEM3" s="29"/>
      <c r="WEN3" s="29"/>
      <c r="WEO3" s="29"/>
      <c r="WEP3" s="29"/>
      <c r="WEQ3" s="29"/>
      <c r="WER3" s="29"/>
      <c r="WES3" s="29"/>
      <c r="WET3" s="29"/>
      <c r="WEU3" s="29"/>
      <c r="WEV3" s="29"/>
      <c r="WEW3" s="29"/>
      <c r="WEX3" s="29"/>
      <c r="WEY3" s="29"/>
      <c r="WEZ3" s="29"/>
      <c r="WFA3" s="29"/>
      <c r="WFB3" s="29"/>
      <c r="WFC3" s="29"/>
      <c r="WFD3" s="29"/>
      <c r="WFE3" s="29"/>
      <c r="WFF3" s="29"/>
      <c r="WFG3" s="29"/>
      <c r="WFH3" s="29"/>
      <c r="WFI3" s="29"/>
      <c r="WFJ3" s="29"/>
      <c r="WFK3" s="29"/>
      <c r="WFL3" s="29"/>
      <c r="WFM3" s="29"/>
      <c r="WFN3" s="29"/>
      <c r="WFO3" s="29"/>
      <c r="WFP3" s="29"/>
      <c r="WFQ3" s="29"/>
      <c r="WFR3" s="29"/>
      <c r="WFS3" s="29"/>
      <c r="WFT3" s="29"/>
      <c r="WFU3" s="29"/>
      <c r="WFV3" s="29"/>
      <c r="WFW3" s="29"/>
      <c r="WFX3" s="29"/>
      <c r="WFY3" s="29"/>
      <c r="WFZ3" s="29"/>
      <c r="WGA3" s="29"/>
      <c r="WGB3" s="29"/>
      <c r="WGC3" s="29"/>
      <c r="WGD3" s="29"/>
      <c r="WGE3" s="29"/>
      <c r="WGF3" s="29"/>
      <c r="WGG3" s="29"/>
      <c r="WGH3" s="29"/>
      <c r="WGI3" s="29"/>
      <c r="WGJ3" s="29"/>
      <c r="WGK3" s="29"/>
      <c r="WGL3" s="29"/>
      <c r="WGM3" s="29"/>
      <c r="WGN3" s="29"/>
      <c r="WGO3" s="29"/>
      <c r="WGP3" s="29"/>
      <c r="WGQ3" s="29"/>
      <c r="WGR3" s="29"/>
      <c r="WGS3" s="29"/>
      <c r="WGT3" s="29"/>
      <c r="WGU3" s="29"/>
      <c r="WGV3" s="29"/>
      <c r="WGW3" s="29"/>
      <c r="WGX3" s="29"/>
      <c r="WGY3" s="29"/>
      <c r="WGZ3" s="29"/>
      <c r="WHA3" s="29"/>
      <c r="WHB3" s="29"/>
      <c r="WHC3" s="29"/>
      <c r="WHD3" s="29"/>
      <c r="WHE3" s="29"/>
      <c r="WHF3" s="29"/>
      <c r="WHG3" s="29"/>
      <c r="WHH3" s="29"/>
      <c r="WHI3" s="29"/>
      <c r="WHJ3" s="29"/>
      <c r="WHK3" s="29"/>
      <c r="WHL3" s="29"/>
      <c r="WHM3" s="29"/>
      <c r="WHN3" s="29"/>
      <c r="WHO3" s="29"/>
      <c r="WHP3" s="29"/>
      <c r="WHQ3" s="29"/>
      <c r="WHR3" s="29"/>
      <c r="WHS3" s="29"/>
      <c r="WHT3" s="29"/>
      <c r="WHU3" s="29"/>
      <c r="WHV3" s="29"/>
      <c r="WHW3" s="29"/>
      <c r="WHX3" s="29"/>
      <c r="WHY3" s="29"/>
      <c r="WHZ3" s="29"/>
      <c r="WIA3" s="29"/>
      <c r="WIB3" s="29"/>
      <c r="WIC3" s="29"/>
      <c r="WID3" s="29"/>
      <c r="WIE3" s="29"/>
      <c r="WIF3" s="29"/>
      <c r="WIG3" s="29"/>
      <c r="WIH3" s="29"/>
      <c r="WII3" s="29"/>
      <c r="WIJ3" s="29"/>
      <c r="WIK3" s="29"/>
      <c r="WIL3" s="29"/>
      <c r="WIM3" s="29"/>
      <c r="WIN3" s="29"/>
      <c r="WIO3" s="29"/>
      <c r="WIP3" s="29"/>
      <c r="WIQ3" s="29"/>
      <c r="WIR3" s="29"/>
      <c r="WIS3" s="29"/>
      <c r="WIT3" s="29"/>
      <c r="WIU3" s="29"/>
      <c r="WIV3" s="29"/>
      <c r="WIW3" s="29"/>
      <c r="WIX3" s="29"/>
      <c r="WIY3" s="29"/>
      <c r="WIZ3" s="29"/>
      <c r="WJA3" s="29"/>
      <c r="WJB3" s="29"/>
      <c r="WJC3" s="29"/>
      <c r="WJD3" s="29"/>
      <c r="WJE3" s="29"/>
      <c r="WJF3" s="29"/>
      <c r="WJG3" s="29"/>
      <c r="WJH3" s="29"/>
      <c r="WJI3" s="29"/>
      <c r="WJJ3" s="29"/>
      <c r="WJK3" s="29"/>
      <c r="WJL3" s="29"/>
      <c r="WJM3" s="29"/>
      <c r="WJN3" s="29"/>
      <c r="WJO3" s="29"/>
      <c r="WJP3" s="29"/>
      <c r="WJQ3" s="29"/>
      <c r="WJR3" s="29"/>
      <c r="WJS3" s="29"/>
      <c r="WJT3" s="29"/>
      <c r="WJU3" s="29"/>
      <c r="WJV3" s="29"/>
      <c r="WJW3" s="29"/>
      <c r="WJX3" s="29"/>
      <c r="WJY3" s="29"/>
      <c r="WJZ3" s="29"/>
      <c r="WKA3" s="29"/>
      <c r="WKB3" s="29"/>
      <c r="WKC3" s="29"/>
      <c r="WKD3" s="29"/>
      <c r="WKE3" s="29"/>
      <c r="WKF3" s="29"/>
      <c r="WKG3" s="29"/>
      <c r="WKH3" s="29"/>
      <c r="WKI3" s="29"/>
      <c r="WKJ3" s="29"/>
      <c r="WKK3" s="29"/>
      <c r="WKL3" s="29"/>
      <c r="WKM3" s="29"/>
      <c r="WKN3" s="29"/>
      <c r="WKO3" s="29"/>
      <c r="WKP3" s="29"/>
      <c r="WKQ3" s="29"/>
      <c r="WKR3" s="29"/>
      <c r="WKS3" s="29"/>
      <c r="WKT3" s="29"/>
      <c r="WKU3" s="29"/>
      <c r="WKV3" s="29"/>
      <c r="WKW3" s="29"/>
      <c r="WKX3" s="29"/>
      <c r="WKY3" s="29"/>
      <c r="WKZ3" s="29"/>
      <c r="WLA3" s="29"/>
      <c r="WLB3" s="29"/>
      <c r="WLC3" s="29"/>
      <c r="WLD3" s="29"/>
      <c r="WLE3" s="29"/>
      <c r="WLF3" s="29"/>
      <c r="WLG3" s="29"/>
      <c r="WLH3" s="29"/>
      <c r="WLI3" s="29"/>
      <c r="WLJ3" s="29"/>
      <c r="WLK3" s="29"/>
      <c r="WLL3" s="29"/>
      <c r="WLM3" s="29"/>
      <c r="WLN3" s="29"/>
      <c r="WLO3" s="29"/>
      <c r="WLP3" s="29"/>
      <c r="WLQ3" s="29"/>
      <c r="WLR3" s="29"/>
      <c r="WLS3" s="29"/>
      <c r="WLT3" s="29"/>
      <c r="WLU3" s="29"/>
      <c r="WLV3" s="29"/>
      <c r="WLW3" s="29"/>
      <c r="WLX3" s="29"/>
      <c r="WLY3" s="29"/>
      <c r="WLZ3" s="29"/>
      <c r="WMA3" s="29"/>
      <c r="WMB3" s="29"/>
      <c r="WMC3" s="29"/>
      <c r="WMD3" s="29"/>
      <c r="WME3" s="29"/>
      <c r="WMF3" s="29"/>
      <c r="WMG3" s="29"/>
      <c r="WMH3" s="29"/>
      <c r="WMI3" s="29"/>
      <c r="WMJ3" s="29"/>
      <c r="WMK3" s="29"/>
      <c r="WML3" s="29"/>
      <c r="WMM3" s="29"/>
      <c r="WMN3" s="29"/>
      <c r="WMO3" s="29"/>
      <c r="WMP3" s="29"/>
      <c r="WMQ3" s="29"/>
      <c r="WMR3" s="29"/>
      <c r="WMS3" s="29"/>
      <c r="WMT3" s="29"/>
      <c r="WMU3" s="29"/>
      <c r="WMV3" s="29"/>
      <c r="WMW3" s="29"/>
      <c r="WMX3" s="29"/>
      <c r="WMY3" s="29"/>
      <c r="WMZ3" s="29"/>
      <c r="WNA3" s="29"/>
      <c r="WNB3" s="29"/>
      <c r="WNC3" s="29"/>
      <c r="WND3" s="29"/>
      <c r="WNE3" s="29"/>
      <c r="WNF3" s="29"/>
      <c r="WNG3" s="29"/>
      <c r="WNH3" s="29"/>
      <c r="WNI3" s="29"/>
      <c r="WNJ3" s="29"/>
      <c r="WNK3" s="29"/>
      <c r="WNL3" s="29"/>
      <c r="WNM3" s="29"/>
      <c r="WNN3" s="29"/>
      <c r="WNO3" s="29"/>
      <c r="WNP3" s="29"/>
      <c r="WNQ3" s="29"/>
      <c r="WNR3" s="29"/>
      <c r="WNS3" s="29"/>
      <c r="WNT3" s="29"/>
      <c r="WNU3" s="29"/>
      <c r="WNV3" s="29"/>
      <c r="WNW3" s="29"/>
      <c r="WNX3" s="29"/>
      <c r="WNY3" s="29"/>
      <c r="WNZ3" s="29"/>
      <c r="WOA3" s="29"/>
      <c r="WOB3" s="29"/>
      <c r="WOC3" s="29"/>
      <c r="WOD3" s="29"/>
      <c r="WOE3" s="29"/>
      <c r="WOF3" s="29"/>
      <c r="WOG3" s="29"/>
      <c r="WOH3" s="29"/>
      <c r="WOI3" s="29"/>
      <c r="WOJ3" s="29"/>
      <c r="WOK3" s="29"/>
      <c r="WOL3" s="29"/>
      <c r="WOM3" s="29"/>
      <c r="WON3" s="29"/>
      <c r="WOO3" s="29"/>
      <c r="WOP3" s="29"/>
      <c r="WOQ3" s="29"/>
      <c r="WOR3" s="29"/>
      <c r="WOS3" s="29"/>
      <c r="WOT3" s="29"/>
      <c r="WOU3" s="29"/>
      <c r="WOV3" s="29"/>
      <c r="WOW3" s="29"/>
      <c r="WOX3" s="29"/>
      <c r="WOY3" s="29"/>
      <c r="WOZ3" s="29"/>
      <c r="WPA3" s="29"/>
      <c r="WPB3" s="29"/>
      <c r="WPC3" s="29"/>
      <c r="WPD3" s="29"/>
      <c r="WPE3" s="29"/>
      <c r="WPF3" s="29"/>
      <c r="WPG3" s="29"/>
      <c r="WPH3" s="29"/>
      <c r="WPI3" s="29"/>
      <c r="WPJ3" s="29"/>
      <c r="WPK3" s="29"/>
      <c r="WPL3" s="29"/>
      <c r="WPM3" s="29"/>
      <c r="WPN3" s="29"/>
      <c r="WPO3" s="29"/>
      <c r="WPP3" s="29"/>
      <c r="WPQ3" s="29"/>
      <c r="WPR3" s="29"/>
      <c r="WPS3" s="29"/>
      <c r="WPT3" s="29"/>
      <c r="WPU3" s="29"/>
      <c r="WPV3" s="29"/>
      <c r="WPW3" s="29"/>
      <c r="WPX3" s="29"/>
      <c r="WPY3" s="29"/>
      <c r="WPZ3" s="29"/>
      <c r="WQA3" s="29"/>
      <c r="WQB3" s="29"/>
      <c r="WQC3" s="29"/>
      <c r="WQD3" s="29"/>
      <c r="WQE3" s="29"/>
      <c r="WQF3" s="29"/>
      <c r="WQG3" s="29"/>
      <c r="WQH3" s="29"/>
      <c r="WQI3" s="29"/>
      <c r="WQJ3" s="29"/>
      <c r="WQK3" s="29"/>
      <c r="WQL3" s="29"/>
      <c r="WQM3" s="29"/>
      <c r="WQN3" s="29"/>
      <c r="WQO3" s="29"/>
      <c r="WQP3" s="29"/>
      <c r="WQQ3" s="29"/>
      <c r="WQR3" s="29"/>
      <c r="WQS3" s="29"/>
      <c r="WQT3" s="29"/>
      <c r="WQU3" s="29"/>
      <c r="WQV3" s="29"/>
      <c r="WQW3" s="29"/>
      <c r="WQX3" s="29"/>
      <c r="WQY3" s="29"/>
      <c r="WQZ3" s="29"/>
      <c r="WRA3" s="29"/>
      <c r="WRB3" s="29"/>
      <c r="WRC3" s="29"/>
      <c r="WRD3" s="29"/>
      <c r="WRE3" s="29"/>
      <c r="WRF3" s="29"/>
      <c r="WRG3" s="29"/>
      <c r="WRH3" s="29"/>
      <c r="WRI3" s="29"/>
      <c r="WRJ3" s="29"/>
      <c r="WRK3" s="29"/>
      <c r="WRL3" s="29"/>
      <c r="WRM3" s="29"/>
      <c r="WRN3" s="29"/>
      <c r="WRO3" s="29"/>
      <c r="WRP3" s="29"/>
      <c r="WRQ3" s="29"/>
      <c r="WRR3" s="29"/>
      <c r="WRS3" s="29"/>
      <c r="WRT3" s="29"/>
      <c r="WRU3" s="29"/>
      <c r="WRV3" s="29"/>
      <c r="WRW3" s="29"/>
      <c r="WRX3" s="29"/>
      <c r="WRY3" s="29"/>
      <c r="WRZ3" s="29"/>
      <c r="WSA3" s="29"/>
      <c r="WSB3" s="29"/>
      <c r="WSC3" s="29"/>
      <c r="WSD3" s="29"/>
      <c r="WSE3" s="29"/>
      <c r="WSF3" s="29"/>
      <c r="WSG3" s="29"/>
      <c r="WSH3" s="29"/>
      <c r="WSI3" s="29"/>
      <c r="WSJ3" s="29"/>
      <c r="WSK3" s="29"/>
      <c r="WSL3" s="29"/>
      <c r="WSM3" s="29"/>
      <c r="WSN3" s="29"/>
      <c r="WSO3" s="29"/>
      <c r="WSP3" s="29"/>
      <c r="WSQ3" s="29"/>
      <c r="WSR3" s="29"/>
      <c r="WSS3" s="29"/>
      <c r="WST3" s="29"/>
      <c r="WSU3" s="29"/>
      <c r="WSV3" s="29"/>
      <c r="WSW3" s="29"/>
      <c r="WSX3" s="29"/>
      <c r="WSY3" s="29"/>
      <c r="WSZ3" s="29"/>
      <c r="WTA3" s="29"/>
      <c r="WTB3" s="29"/>
      <c r="WTC3" s="29"/>
      <c r="WTD3" s="29"/>
      <c r="WTE3" s="29"/>
      <c r="WTF3" s="29"/>
      <c r="WTG3" s="29"/>
      <c r="WTH3" s="29"/>
      <c r="WTI3" s="29"/>
      <c r="WTJ3" s="29"/>
      <c r="WTK3" s="29"/>
      <c r="WTL3" s="29"/>
      <c r="WTM3" s="29"/>
      <c r="WTN3" s="29"/>
      <c r="WTO3" s="29"/>
      <c r="WTP3" s="29"/>
      <c r="WTQ3" s="29"/>
      <c r="WTR3" s="29"/>
      <c r="WTS3" s="29"/>
      <c r="WTT3" s="29"/>
      <c r="WTU3" s="29"/>
      <c r="WTV3" s="29"/>
      <c r="WTW3" s="29"/>
      <c r="WTX3" s="29"/>
      <c r="WTY3" s="29"/>
      <c r="WTZ3" s="29"/>
      <c r="WUA3" s="29"/>
      <c r="WUB3" s="29"/>
      <c r="WUC3" s="29"/>
      <c r="WUD3" s="29"/>
      <c r="WUE3" s="29"/>
      <c r="WUF3" s="29"/>
      <c r="WUG3" s="29"/>
      <c r="WUH3" s="29"/>
      <c r="WUI3" s="29"/>
      <c r="WUJ3" s="29"/>
      <c r="WUK3" s="29"/>
      <c r="WUL3" s="29"/>
      <c r="WUM3" s="29"/>
      <c r="WUN3" s="29"/>
      <c r="WUO3" s="29"/>
      <c r="WUP3" s="29"/>
      <c r="WUQ3" s="29"/>
      <c r="WUR3" s="29"/>
      <c r="WUS3" s="29"/>
      <c r="WUT3" s="29"/>
      <c r="WUU3" s="29"/>
      <c r="WUV3" s="29"/>
      <c r="WUW3" s="29"/>
      <c r="WUX3" s="29"/>
      <c r="WUY3" s="29"/>
      <c r="WUZ3" s="29"/>
      <c r="WVA3" s="29"/>
      <c r="WVB3" s="29"/>
      <c r="WVC3" s="29"/>
      <c r="WVD3" s="29"/>
      <c r="WVE3" s="29"/>
      <c r="WVF3" s="29"/>
      <c r="WVG3" s="29"/>
      <c r="WVH3" s="29"/>
      <c r="WVI3" s="29"/>
      <c r="WVJ3" s="29"/>
      <c r="WVK3" s="29"/>
      <c r="WVL3" s="29"/>
      <c r="WVM3" s="29"/>
      <c r="WVN3" s="29"/>
      <c r="WVO3" s="29"/>
      <c r="WVP3" s="29"/>
      <c r="WVQ3" s="29"/>
      <c r="WVR3" s="29"/>
      <c r="WVS3" s="29"/>
      <c r="WVT3" s="29"/>
      <c r="WVU3" s="29"/>
      <c r="WVV3" s="29"/>
      <c r="WVW3" s="29"/>
      <c r="WVX3" s="29"/>
      <c r="WVY3" s="29"/>
      <c r="WVZ3" s="29"/>
      <c r="WWA3" s="29"/>
      <c r="WWB3" s="29"/>
      <c r="WWC3" s="29"/>
      <c r="WWD3" s="29"/>
      <c r="WWE3" s="29"/>
      <c r="WWF3" s="29"/>
      <c r="WWG3" s="29"/>
      <c r="WWH3" s="29"/>
      <c r="WWI3" s="29"/>
      <c r="WWJ3" s="29"/>
      <c r="WWK3" s="29"/>
      <c r="WWL3" s="29"/>
      <c r="WWM3" s="29"/>
      <c r="WWN3" s="29"/>
      <c r="WWO3" s="29"/>
      <c r="WWP3" s="29"/>
      <c r="WWQ3" s="29"/>
      <c r="WWR3" s="29"/>
      <c r="WWS3" s="29"/>
      <c r="WWT3" s="29"/>
      <c r="WWU3" s="29"/>
      <c r="WWV3" s="29"/>
      <c r="WWW3" s="29"/>
      <c r="WWX3" s="29"/>
      <c r="WWY3" s="29"/>
      <c r="WWZ3" s="29"/>
      <c r="WXA3" s="29"/>
      <c r="WXB3" s="29"/>
      <c r="WXC3" s="29"/>
      <c r="WXD3" s="29"/>
      <c r="WXE3" s="29"/>
      <c r="WXF3" s="29"/>
      <c r="WXG3" s="29"/>
      <c r="WXH3" s="29"/>
      <c r="WXI3" s="29"/>
      <c r="WXJ3" s="29"/>
      <c r="WXK3" s="29"/>
      <c r="WXL3" s="29"/>
      <c r="WXM3" s="29"/>
      <c r="WXN3" s="29"/>
      <c r="WXO3" s="29"/>
      <c r="WXP3" s="29"/>
      <c r="WXQ3" s="29"/>
      <c r="WXR3" s="29"/>
      <c r="WXS3" s="29"/>
      <c r="WXT3" s="29"/>
      <c r="WXU3" s="29"/>
      <c r="WXV3" s="29"/>
      <c r="WXW3" s="29"/>
      <c r="WXX3" s="29"/>
      <c r="WXY3" s="29"/>
      <c r="WXZ3" s="29"/>
      <c r="WYA3" s="29"/>
      <c r="WYB3" s="29"/>
      <c r="WYC3" s="29"/>
      <c r="WYD3" s="29"/>
      <c r="WYE3" s="29"/>
      <c r="WYF3" s="29"/>
      <c r="WYG3" s="29"/>
      <c r="WYH3" s="29"/>
      <c r="WYI3" s="29"/>
      <c r="WYJ3" s="29"/>
      <c r="WYK3" s="29"/>
      <c r="WYL3" s="29"/>
      <c r="WYM3" s="29"/>
      <c r="WYN3" s="29"/>
      <c r="WYO3" s="29"/>
      <c r="WYP3" s="29"/>
      <c r="WYQ3" s="29"/>
      <c r="WYR3" s="29"/>
      <c r="WYS3" s="29"/>
      <c r="WYT3" s="29"/>
      <c r="WYU3" s="29"/>
      <c r="WYV3" s="29"/>
      <c r="WYW3" s="29"/>
      <c r="WYX3" s="29"/>
      <c r="WYY3" s="29"/>
      <c r="WYZ3" s="29"/>
      <c r="WZA3" s="29"/>
      <c r="WZB3" s="29"/>
      <c r="WZC3" s="29"/>
      <c r="WZD3" s="29"/>
      <c r="WZE3" s="29"/>
      <c r="WZF3" s="29"/>
      <c r="WZG3" s="29"/>
      <c r="WZH3" s="29"/>
      <c r="WZI3" s="29"/>
      <c r="WZJ3" s="29"/>
      <c r="WZK3" s="29"/>
      <c r="WZL3" s="29"/>
      <c r="WZM3" s="29"/>
      <c r="WZN3" s="29"/>
      <c r="WZO3" s="29"/>
      <c r="WZP3" s="29"/>
      <c r="WZQ3" s="29"/>
      <c r="WZR3" s="29"/>
      <c r="WZS3" s="29"/>
      <c r="WZT3" s="29"/>
      <c r="WZU3" s="29"/>
      <c r="WZV3" s="29"/>
      <c r="WZW3" s="29"/>
      <c r="WZX3" s="29"/>
      <c r="WZY3" s="29"/>
      <c r="WZZ3" s="29"/>
      <c r="XAA3" s="29"/>
      <c r="XAB3" s="29"/>
      <c r="XAC3" s="29"/>
      <c r="XAD3" s="29"/>
      <c r="XAE3" s="29"/>
      <c r="XAF3" s="29"/>
      <c r="XAG3" s="29"/>
      <c r="XAH3" s="29"/>
      <c r="XAI3" s="29"/>
      <c r="XAJ3" s="29"/>
      <c r="XAK3" s="29"/>
      <c r="XAL3" s="29"/>
      <c r="XAM3" s="29"/>
      <c r="XAN3" s="29"/>
      <c r="XAO3" s="29"/>
      <c r="XAP3" s="29"/>
      <c r="XAQ3" s="29"/>
      <c r="XAR3" s="29"/>
      <c r="XAS3" s="29"/>
      <c r="XAT3" s="29"/>
      <c r="XAU3" s="29"/>
      <c r="XAV3" s="29"/>
      <c r="XAW3" s="29"/>
      <c r="XAX3" s="29"/>
      <c r="XAY3" s="29"/>
      <c r="XAZ3" s="29"/>
      <c r="XBA3" s="29"/>
      <c r="XBB3" s="29"/>
      <c r="XBC3" s="29"/>
      <c r="XBD3" s="29"/>
      <c r="XBE3" s="29"/>
      <c r="XBF3" s="29"/>
      <c r="XBG3" s="29"/>
      <c r="XBH3" s="29"/>
      <c r="XBI3" s="29"/>
      <c r="XBJ3" s="29"/>
      <c r="XBK3" s="29"/>
      <c r="XBL3" s="29"/>
      <c r="XBM3" s="29"/>
      <c r="XBN3" s="29"/>
      <c r="XBO3" s="29"/>
      <c r="XBP3" s="29"/>
      <c r="XBQ3" s="29"/>
      <c r="XBR3" s="29"/>
      <c r="XBS3" s="29"/>
      <c r="XBT3" s="29"/>
      <c r="XBU3" s="29"/>
      <c r="XBV3" s="29"/>
      <c r="XBW3" s="29"/>
      <c r="XBX3" s="29"/>
      <c r="XBY3" s="29"/>
      <c r="XBZ3" s="29"/>
      <c r="XCA3" s="29"/>
      <c r="XCB3" s="29"/>
      <c r="XCC3" s="29"/>
      <c r="XCD3" s="29"/>
      <c r="XCE3" s="29"/>
      <c r="XCF3" s="29"/>
      <c r="XCG3" s="29"/>
      <c r="XCH3" s="29"/>
      <c r="XCI3" s="29"/>
      <c r="XCJ3" s="29"/>
      <c r="XCK3" s="29"/>
      <c r="XCL3" s="29"/>
      <c r="XCM3" s="29"/>
      <c r="XCN3" s="29"/>
      <c r="XCO3" s="29"/>
      <c r="XCP3" s="29"/>
      <c r="XCQ3" s="29"/>
      <c r="XCR3" s="29"/>
      <c r="XCS3" s="29"/>
      <c r="XCT3" s="29"/>
      <c r="XCU3" s="29"/>
      <c r="XCV3" s="29"/>
      <c r="XCW3" s="29"/>
      <c r="XCX3" s="29"/>
      <c r="XCY3" s="29"/>
      <c r="XCZ3" s="29"/>
      <c r="XDA3" s="29"/>
      <c r="XDB3" s="29"/>
      <c r="XDC3" s="29"/>
      <c r="XDD3" s="29"/>
      <c r="XDE3" s="29"/>
      <c r="XDF3" s="29"/>
      <c r="XDG3" s="29"/>
      <c r="XDH3" s="29"/>
      <c r="XDI3" s="29"/>
      <c r="XDJ3" s="29"/>
      <c r="XDK3" s="29"/>
      <c r="XDL3" s="29"/>
      <c r="XDM3" s="29"/>
      <c r="XDN3" s="29"/>
      <c r="XDO3" s="29"/>
      <c r="XDP3" s="29"/>
      <c r="XDQ3" s="29"/>
      <c r="XDR3" s="29"/>
      <c r="XDS3" s="29"/>
      <c r="XDT3" s="29"/>
      <c r="XDU3" s="29"/>
      <c r="XDV3" s="29"/>
      <c r="XDW3" s="29"/>
      <c r="XDX3" s="29"/>
      <c r="XDY3" s="29"/>
      <c r="XDZ3" s="29"/>
      <c r="XEA3" s="29"/>
      <c r="XEB3" s="29"/>
      <c r="XEC3" s="29"/>
      <c r="XED3" s="29"/>
      <c r="XEE3" s="29"/>
      <c r="XEF3" s="29"/>
      <c r="XEG3" s="29"/>
      <c r="XEH3" s="29"/>
      <c r="XEI3" s="29"/>
      <c r="XEJ3" s="29"/>
      <c r="XEK3" s="29"/>
      <c r="XEL3" s="29"/>
      <c r="XEM3" s="29"/>
      <c r="XEN3" s="29"/>
      <c r="XEO3" s="29"/>
      <c r="XEP3" s="29"/>
      <c r="XEQ3" s="29"/>
      <c r="XER3" s="29"/>
      <c r="XES3" s="29"/>
      <c r="XET3" s="29"/>
      <c r="XEU3" s="29"/>
      <c r="XEV3" s="29"/>
      <c r="XEW3" s="29"/>
      <c r="XEX3" s="29"/>
      <c r="XEY3" s="29"/>
      <c r="XEZ3" s="29"/>
      <c r="XFA3" s="29"/>
      <c r="XFB3" s="29"/>
      <c r="XFC3" s="29"/>
      <c r="XFD3" s="29"/>
    </row>
    <row r="4" spans="1:16384">
      <c r="A4" t="s">
        <v>89</v>
      </c>
    </row>
    <row r="5" spans="1:16384">
      <c r="A5" t="s">
        <v>63</v>
      </c>
    </row>
    <row r="6" spans="1:16384">
      <c r="A6" t="s">
        <v>64</v>
      </c>
    </row>
    <row r="7" spans="1:16384">
      <c r="A7" t="s">
        <v>66</v>
      </c>
    </row>
    <row r="8" spans="1:16384">
      <c r="A8" t="s">
        <v>67</v>
      </c>
    </row>
    <row r="9" spans="1:16384">
      <c r="A9" t="s">
        <v>63</v>
      </c>
    </row>
    <row r="10" spans="1:16384">
      <c r="A10" t="s">
        <v>90</v>
      </c>
    </row>
    <row r="11" spans="1:16384">
      <c r="A11" t="s">
        <v>91</v>
      </c>
    </row>
    <row r="14" spans="1:16384" ht="13.5" customHeight="1"/>
    <row r="16" spans="1:16384" ht="15.75">
      <c r="A16" s="35"/>
    </row>
  </sheetData>
  <dataConsolidate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:R26"/>
  <sheetViews>
    <sheetView workbookViewId="0">
      <selection activeCell="B17" sqref="B17"/>
    </sheetView>
  </sheetViews>
  <sheetFormatPr defaultRowHeight="15"/>
  <sheetData>
    <row r="1" spans="1:18">
      <c r="A1" t="s">
        <v>106</v>
      </c>
    </row>
    <row r="3" spans="1:18">
      <c r="A3" t="s">
        <v>107</v>
      </c>
    </row>
    <row r="4" spans="1:18">
      <c r="A4" t="s">
        <v>108</v>
      </c>
    </row>
    <row r="5" spans="1:18">
      <c r="A5" t="s">
        <v>109</v>
      </c>
    </row>
    <row r="6" spans="1:18">
      <c r="A6" t="s">
        <v>110</v>
      </c>
    </row>
    <row r="7" spans="1:18">
      <c r="A7" t="s">
        <v>118</v>
      </c>
    </row>
    <row r="8" spans="1:18">
      <c r="A8" t="s">
        <v>111</v>
      </c>
    </row>
    <row r="9" spans="1:18">
      <c r="A9" t="s">
        <v>112</v>
      </c>
    </row>
    <row r="10" spans="1:18">
      <c r="A10" t="s">
        <v>113</v>
      </c>
    </row>
    <row r="11" spans="1:18">
      <c r="A11" t="s">
        <v>114</v>
      </c>
    </row>
    <row r="12" spans="1:18">
      <c r="A12" t="s">
        <v>115</v>
      </c>
    </row>
    <row r="14" spans="1:18">
      <c r="A14" s="38">
        <v>6.08E-2</v>
      </c>
      <c r="K14" s="37"/>
    </row>
    <row r="15" spans="1:18">
      <c r="A15" t="s">
        <v>119</v>
      </c>
      <c r="B15" t="s">
        <v>120</v>
      </c>
      <c r="I15" s="37">
        <v>0.79</v>
      </c>
      <c r="J15">
        <v>0.67900000000000005</v>
      </c>
      <c r="K15">
        <v>0.78900000000000003</v>
      </c>
      <c r="L15">
        <v>0.72299999999999998</v>
      </c>
      <c r="M15">
        <v>0.72</v>
      </c>
      <c r="N15">
        <v>0.79900000000000004</v>
      </c>
      <c r="O15">
        <v>0.8</v>
      </c>
      <c r="P15">
        <v>0.86699999999999999</v>
      </c>
      <c r="Q15">
        <v>0.88600000000000001</v>
      </c>
      <c r="R15">
        <v>0.60299999999999998</v>
      </c>
    </row>
    <row r="17" spans="1:2">
      <c r="A17">
        <v>0.8</v>
      </c>
      <c r="B17" s="37">
        <v>0.79</v>
      </c>
    </row>
    <row r="18" spans="1:2">
      <c r="A18">
        <v>0.8</v>
      </c>
      <c r="B18">
        <v>0.67900000000000005</v>
      </c>
    </row>
    <row r="19" spans="1:2">
      <c r="A19">
        <v>0.82</v>
      </c>
      <c r="B19">
        <v>0.78900000000000003</v>
      </c>
    </row>
    <row r="20" spans="1:2">
      <c r="A20">
        <v>0.86</v>
      </c>
      <c r="B20">
        <v>0.72299999999999998</v>
      </c>
    </row>
    <row r="21" spans="1:2">
      <c r="A21">
        <v>0.74</v>
      </c>
      <c r="B21">
        <v>0.72</v>
      </c>
    </row>
    <row r="22" spans="1:2">
      <c r="A22">
        <v>0.86</v>
      </c>
      <c r="B22">
        <v>0.79900000000000004</v>
      </c>
    </row>
    <row r="23" spans="1:2">
      <c r="A23">
        <v>0.8</v>
      </c>
      <c r="B23">
        <v>0.8</v>
      </c>
    </row>
    <row r="24" spans="1:2">
      <c r="A24">
        <v>0.9</v>
      </c>
      <c r="B24">
        <v>0.86699999999999999</v>
      </c>
    </row>
    <row r="25" spans="1:2">
      <c r="A25">
        <v>0.81</v>
      </c>
      <c r="B25">
        <v>0.88600000000000001</v>
      </c>
    </row>
    <row r="26" spans="1:2">
      <c r="A26">
        <v>0.61</v>
      </c>
      <c r="B26">
        <v>0.60299999999999998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A1:Y159"/>
  <sheetViews>
    <sheetView topLeftCell="E1" zoomScale="110" zoomScaleNormal="110" workbookViewId="0">
      <selection activeCell="T2" sqref="T2:Y13"/>
    </sheetView>
  </sheetViews>
  <sheetFormatPr defaultRowHeight="15"/>
  <cols>
    <col min="2" max="2" width="33" customWidth="1"/>
    <col min="3" max="3" width="19.140625" customWidth="1"/>
    <col min="4" max="10" width="15.42578125" customWidth="1"/>
  </cols>
  <sheetData>
    <row r="1" spans="2:25">
      <c r="B1" s="39"/>
      <c r="C1" s="39"/>
      <c r="D1" s="40">
        <v>0</v>
      </c>
      <c r="E1" s="41" t="s">
        <v>121</v>
      </c>
      <c r="F1" s="42" t="s">
        <v>122</v>
      </c>
      <c r="G1" s="43" t="s">
        <v>123</v>
      </c>
      <c r="H1" s="44" t="s">
        <v>124</v>
      </c>
      <c r="I1" s="45" t="s">
        <v>125</v>
      </c>
      <c r="O1" s="46" t="s">
        <v>126</v>
      </c>
    </row>
    <row r="2" spans="2:25" ht="25.5" customHeight="1">
      <c r="B2" s="53" t="s">
        <v>127</v>
      </c>
      <c r="C2" s="53"/>
      <c r="D2" s="58">
        <v>0</v>
      </c>
      <c r="E2" s="1">
        <v>0</v>
      </c>
      <c r="F2" s="58">
        <v>0</v>
      </c>
      <c r="G2" s="58">
        <v>1</v>
      </c>
      <c r="H2" s="58">
        <v>0</v>
      </c>
      <c r="I2" s="58">
        <v>0</v>
      </c>
      <c r="O2" s="46">
        <v>10</v>
      </c>
      <c r="T2">
        <v>0</v>
      </c>
      <c r="U2">
        <v>0.2</v>
      </c>
      <c r="V2">
        <v>0.75</v>
      </c>
      <c r="W2">
        <v>1</v>
      </c>
      <c r="X2">
        <v>0.75</v>
      </c>
      <c r="Y2">
        <v>0.2</v>
      </c>
    </row>
    <row r="3" spans="2:25" ht="25.5" customHeight="1">
      <c r="B3" s="54" t="s">
        <v>128</v>
      </c>
      <c r="C3" s="54"/>
      <c r="D3" s="58">
        <v>0</v>
      </c>
      <c r="E3" s="1">
        <v>0</v>
      </c>
      <c r="F3" s="58">
        <v>0</v>
      </c>
      <c r="G3" s="58">
        <v>1</v>
      </c>
      <c r="H3" s="58">
        <v>0</v>
      </c>
      <c r="I3" s="58">
        <v>0</v>
      </c>
      <c r="O3" s="46">
        <v>5</v>
      </c>
      <c r="T3">
        <v>0</v>
      </c>
      <c r="U3">
        <v>0.7</v>
      </c>
      <c r="V3">
        <v>0.8</v>
      </c>
      <c r="W3">
        <v>1</v>
      </c>
      <c r="X3">
        <v>0.8</v>
      </c>
      <c r="Y3">
        <v>0.7</v>
      </c>
    </row>
    <row r="4" spans="2:25" ht="25.5" customHeight="1">
      <c r="B4" s="53" t="s">
        <v>129</v>
      </c>
      <c r="C4" s="53"/>
      <c r="D4" s="58">
        <v>0</v>
      </c>
      <c r="E4" s="1">
        <v>0</v>
      </c>
      <c r="F4" s="58">
        <v>0</v>
      </c>
      <c r="G4" s="58">
        <v>1</v>
      </c>
      <c r="H4" s="58">
        <v>0</v>
      </c>
      <c r="I4" s="58">
        <v>0</v>
      </c>
      <c r="O4" s="46">
        <v>2</v>
      </c>
      <c r="T4">
        <v>0.5</v>
      </c>
      <c r="U4">
        <v>0.7</v>
      </c>
      <c r="V4">
        <v>0.8</v>
      </c>
      <c r="W4">
        <v>1</v>
      </c>
      <c r="X4">
        <v>0.8</v>
      </c>
      <c r="Y4">
        <v>0.7</v>
      </c>
    </row>
    <row r="5" spans="2:25" ht="25.5" customHeight="1">
      <c r="B5" s="55" t="s">
        <v>130</v>
      </c>
      <c r="C5" s="55"/>
      <c r="D5" s="58">
        <v>0</v>
      </c>
      <c r="E5" s="58">
        <v>1</v>
      </c>
      <c r="F5" s="58">
        <v>0</v>
      </c>
      <c r="G5" s="58">
        <v>0</v>
      </c>
      <c r="H5" s="58">
        <v>0</v>
      </c>
      <c r="I5" s="58">
        <v>0</v>
      </c>
      <c r="O5" s="46">
        <v>10</v>
      </c>
      <c r="T5">
        <v>0</v>
      </c>
      <c r="U5">
        <v>0.15</v>
      </c>
      <c r="V5">
        <v>0.75</v>
      </c>
      <c r="W5">
        <v>1</v>
      </c>
      <c r="X5">
        <v>0.75</v>
      </c>
      <c r="Y5">
        <v>0.15</v>
      </c>
    </row>
    <row r="6" spans="2:25" ht="25.5" customHeight="1">
      <c r="B6" s="56" t="s">
        <v>131</v>
      </c>
      <c r="C6" s="56"/>
      <c r="D6" s="58">
        <v>0</v>
      </c>
      <c r="E6" s="58">
        <v>1</v>
      </c>
      <c r="F6" s="58">
        <v>0</v>
      </c>
      <c r="G6" s="58">
        <v>0</v>
      </c>
      <c r="H6" s="58">
        <v>0</v>
      </c>
      <c r="I6" s="58">
        <v>0</v>
      </c>
      <c r="O6" s="46">
        <v>8</v>
      </c>
      <c r="T6">
        <v>0.5</v>
      </c>
      <c r="U6">
        <v>0.7</v>
      </c>
      <c r="V6">
        <v>0.8</v>
      </c>
      <c r="W6">
        <v>1</v>
      </c>
      <c r="X6">
        <v>0.8</v>
      </c>
      <c r="Y6">
        <v>0</v>
      </c>
    </row>
    <row r="7" spans="2:25" ht="25.5" customHeight="1">
      <c r="B7" s="55" t="s">
        <v>132</v>
      </c>
      <c r="C7" s="55"/>
      <c r="D7" s="58">
        <v>0</v>
      </c>
      <c r="E7" s="58">
        <v>0</v>
      </c>
      <c r="F7" s="58">
        <v>0</v>
      </c>
      <c r="G7" s="58">
        <v>1</v>
      </c>
      <c r="H7" s="58">
        <v>0</v>
      </c>
      <c r="I7" s="58">
        <v>0</v>
      </c>
      <c r="O7" s="46">
        <v>7</v>
      </c>
      <c r="T7">
        <v>0</v>
      </c>
      <c r="U7">
        <v>0.2</v>
      </c>
      <c r="V7">
        <v>0.75</v>
      </c>
      <c r="W7">
        <v>1</v>
      </c>
      <c r="X7">
        <v>0.75</v>
      </c>
      <c r="Y7">
        <v>0.2</v>
      </c>
    </row>
    <row r="8" spans="2:25" ht="25.5" customHeight="1">
      <c r="B8" s="55" t="s">
        <v>133</v>
      </c>
      <c r="C8" s="55"/>
      <c r="D8" s="58">
        <v>1</v>
      </c>
      <c r="E8" s="58">
        <v>0</v>
      </c>
      <c r="F8" s="58">
        <v>0</v>
      </c>
      <c r="G8" s="58">
        <v>0</v>
      </c>
      <c r="H8" s="58">
        <v>0</v>
      </c>
      <c r="I8" s="58">
        <v>0</v>
      </c>
      <c r="O8" s="46">
        <v>10</v>
      </c>
      <c r="T8">
        <v>0.5</v>
      </c>
      <c r="U8">
        <v>0.7</v>
      </c>
      <c r="V8">
        <v>0.8</v>
      </c>
      <c r="W8">
        <v>1</v>
      </c>
      <c r="X8">
        <v>0.8</v>
      </c>
      <c r="Y8">
        <v>0</v>
      </c>
    </row>
    <row r="9" spans="2:25" ht="25.5" customHeight="1">
      <c r="B9" s="57" t="s">
        <v>134</v>
      </c>
      <c r="C9" s="57"/>
      <c r="D9" s="58">
        <v>0</v>
      </c>
      <c r="E9" s="58">
        <v>0</v>
      </c>
      <c r="F9" s="58">
        <v>0</v>
      </c>
      <c r="G9" s="58">
        <v>1</v>
      </c>
      <c r="H9" s="58">
        <v>0</v>
      </c>
      <c r="I9" s="58">
        <v>0</v>
      </c>
      <c r="O9" s="46">
        <v>8</v>
      </c>
      <c r="T9">
        <v>0</v>
      </c>
      <c r="U9">
        <v>0.7</v>
      </c>
      <c r="V9">
        <v>0.8</v>
      </c>
      <c r="W9">
        <v>1</v>
      </c>
      <c r="X9">
        <v>0.8</v>
      </c>
      <c r="Y9">
        <v>0</v>
      </c>
    </row>
    <row r="10" spans="2:25" ht="25.5" customHeight="1">
      <c r="B10" s="42" t="s">
        <v>135</v>
      </c>
      <c r="C10" s="42"/>
      <c r="D10" s="58">
        <v>0</v>
      </c>
      <c r="E10" s="58">
        <v>0</v>
      </c>
      <c r="F10" s="58">
        <v>0</v>
      </c>
      <c r="G10" s="58">
        <v>1</v>
      </c>
      <c r="H10" s="58">
        <v>0</v>
      </c>
      <c r="I10" s="58">
        <v>0</v>
      </c>
      <c r="O10" s="46">
        <v>8</v>
      </c>
      <c r="T10">
        <v>0</v>
      </c>
      <c r="U10">
        <v>0.7</v>
      </c>
      <c r="V10">
        <v>0.8</v>
      </c>
      <c r="W10">
        <v>1</v>
      </c>
      <c r="X10">
        <v>0.8</v>
      </c>
      <c r="Y10">
        <v>0</v>
      </c>
    </row>
    <row r="11" spans="2:25" ht="25.5" customHeight="1">
      <c r="B11" s="46" t="s">
        <v>136</v>
      </c>
      <c r="C11" s="46"/>
      <c r="D11" s="58"/>
      <c r="E11" s="58"/>
      <c r="F11" s="58">
        <v>0</v>
      </c>
      <c r="G11" s="58">
        <v>0</v>
      </c>
      <c r="H11" s="58">
        <v>0</v>
      </c>
      <c r="I11" s="58">
        <v>1</v>
      </c>
      <c r="O11" s="46">
        <v>10</v>
      </c>
      <c r="T11" s="58">
        <v>9</v>
      </c>
      <c r="U11" s="58">
        <v>9</v>
      </c>
      <c r="V11">
        <v>0.75</v>
      </c>
      <c r="W11">
        <v>1</v>
      </c>
      <c r="X11">
        <v>0.25</v>
      </c>
      <c r="Y11">
        <v>0</v>
      </c>
    </row>
    <row r="12" spans="2:25" ht="25.5" customHeight="1">
      <c r="B12" s="46" t="s">
        <v>137</v>
      </c>
      <c r="C12" s="46"/>
      <c r="D12" s="1"/>
      <c r="E12" s="58"/>
      <c r="F12" s="1">
        <v>0</v>
      </c>
      <c r="G12" s="58">
        <v>1</v>
      </c>
      <c r="H12" s="58">
        <v>0</v>
      </c>
      <c r="I12" s="58">
        <v>0</v>
      </c>
      <c r="O12" s="46">
        <v>5</v>
      </c>
      <c r="T12" s="1">
        <v>9</v>
      </c>
      <c r="U12" s="58">
        <v>9</v>
      </c>
      <c r="V12">
        <v>0.75</v>
      </c>
      <c r="W12">
        <v>1</v>
      </c>
      <c r="X12">
        <v>0.25</v>
      </c>
      <c r="Y12">
        <v>0</v>
      </c>
    </row>
    <row r="13" spans="2:25" ht="25.5" customHeight="1">
      <c r="B13" s="46" t="s">
        <v>138</v>
      </c>
      <c r="C13" s="46"/>
      <c r="D13" s="1"/>
      <c r="E13" s="58"/>
      <c r="F13" s="58">
        <v>0</v>
      </c>
      <c r="G13" s="58">
        <v>1</v>
      </c>
      <c r="H13" s="58">
        <v>0</v>
      </c>
      <c r="I13" s="58">
        <v>0</v>
      </c>
      <c r="O13" s="46">
        <v>5</v>
      </c>
      <c r="T13" s="1">
        <v>9</v>
      </c>
      <c r="U13" s="58">
        <v>9</v>
      </c>
      <c r="V13">
        <v>0.75</v>
      </c>
      <c r="W13">
        <v>1</v>
      </c>
      <c r="X13">
        <v>0.25</v>
      </c>
      <c r="Y13">
        <v>0</v>
      </c>
    </row>
    <row r="18" spans="2:19">
      <c r="B18" t="s">
        <v>146</v>
      </c>
      <c r="J18" t="s">
        <v>140</v>
      </c>
      <c r="N18" t="s">
        <v>139</v>
      </c>
      <c r="R18" t="str">
        <f>B18&amp;J18&amp;N18</f>
        <v>0,0,0,1,0,0,0,0,0,1,0,0,0,0,0,1,0,0,0,1,0,0,0,0,0,1,0,0,0,0,0,0,0,1,0,0,1,0,0,0,0,0,0,0,0,1,0,0,0,0,0,1,0,0,0,0,0,1,0,1,0,0,0,1,0,0,10,5,2,10,8,7,10,8,8,10,5,5</v>
      </c>
    </row>
    <row r="19" spans="2:19">
      <c r="S19" t="s">
        <v>152</v>
      </c>
    </row>
    <row r="20" spans="2:19">
      <c r="O20" s="46" t="s">
        <v>126</v>
      </c>
    </row>
    <row r="21" spans="2:19">
      <c r="B21" s="39"/>
      <c r="C21" s="39"/>
      <c r="D21" s="40">
        <v>0</v>
      </c>
      <c r="E21" s="41" t="s">
        <v>121</v>
      </c>
      <c r="F21" s="42" t="s">
        <v>122</v>
      </c>
      <c r="G21" s="43" t="s">
        <v>123</v>
      </c>
      <c r="H21" s="44" t="s">
        <v>124</v>
      </c>
      <c r="I21" s="45" t="s">
        <v>125</v>
      </c>
    </row>
    <row r="22" spans="2:19">
      <c r="B22" s="47" t="s">
        <v>127</v>
      </c>
      <c r="C22" s="93"/>
      <c r="D22" s="46">
        <v>0</v>
      </c>
      <c r="E22">
        <v>0</v>
      </c>
      <c r="F22" s="46">
        <v>0</v>
      </c>
      <c r="G22" s="46">
        <v>0</v>
      </c>
      <c r="H22" s="46">
        <v>1</v>
      </c>
      <c r="I22" s="46">
        <v>0</v>
      </c>
      <c r="O22" s="46">
        <v>10</v>
      </c>
    </row>
    <row r="23" spans="2:19">
      <c r="B23" s="48" t="s">
        <v>128</v>
      </c>
      <c r="C23" s="94"/>
      <c r="D23" s="46">
        <v>0</v>
      </c>
      <c r="E23">
        <v>0</v>
      </c>
      <c r="F23" s="46">
        <v>0</v>
      </c>
      <c r="G23" s="46">
        <v>1</v>
      </c>
      <c r="H23" s="46">
        <v>0</v>
      </c>
      <c r="I23" s="46">
        <v>0</v>
      </c>
      <c r="O23" s="46">
        <v>6</v>
      </c>
    </row>
    <row r="24" spans="2:19">
      <c r="B24" s="47" t="s">
        <v>129</v>
      </c>
      <c r="C24" s="93"/>
      <c r="D24" s="46">
        <v>0</v>
      </c>
      <c r="E24">
        <v>0</v>
      </c>
      <c r="F24" s="46">
        <v>1</v>
      </c>
      <c r="G24" s="46">
        <v>0</v>
      </c>
      <c r="H24" s="46">
        <v>0</v>
      </c>
      <c r="I24" s="46">
        <v>0</v>
      </c>
      <c r="O24" s="46">
        <v>2</v>
      </c>
    </row>
    <row r="25" spans="2:19">
      <c r="B25" s="49" t="s">
        <v>130</v>
      </c>
      <c r="C25" s="95"/>
      <c r="D25" s="46">
        <v>0</v>
      </c>
      <c r="E25" s="46">
        <v>0</v>
      </c>
      <c r="F25" s="46">
        <v>0</v>
      </c>
      <c r="G25" s="46">
        <v>1</v>
      </c>
      <c r="H25" s="46">
        <v>0</v>
      </c>
      <c r="I25" s="46">
        <v>0</v>
      </c>
      <c r="O25" s="46">
        <v>8</v>
      </c>
    </row>
    <row r="26" spans="2:19" ht="30">
      <c r="B26" s="50" t="s">
        <v>131</v>
      </c>
      <c r="C26" s="96"/>
      <c r="D26" s="46">
        <v>0</v>
      </c>
      <c r="E26" s="46">
        <v>0</v>
      </c>
      <c r="F26" s="46">
        <v>0</v>
      </c>
      <c r="G26" s="46">
        <v>1</v>
      </c>
      <c r="H26" s="46">
        <v>0</v>
      </c>
      <c r="I26" s="46">
        <v>0</v>
      </c>
      <c r="O26" s="46">
        <v>8</v>
      </c>
    </row>
    <row r="27" spans="2:19">
      <c r="B27" s="49" t="s">
        <v>132</v>
      </c>
      <c r="C27" s="95"/>
      <c r="D27" s="46">
        <v>0</v>
      </c>
      <c r="E27" s="46">
        <v>0</v>
      </c>
      <c r="F27" s="46">
        <v>0</v>
      </c>
      <c r="G27" s="46">
        <v>0</v>
      </c>
      <c r="H27" s="46">
        <v>1</v>
      </c>
      <c r="I27" s="46">
        <v>0</v>
      </c>
      <c r="O27" s="46">
        <v>8</v>
      </c>
    </row>
    <row r="28" spans="2:19">
      <c r="B28" s="49" t="s">
        <v>133</v>
      </c>
      <c r="C28" s="95"/>
      <c r="D28" s="46">
        <v>0</v>
      </c>
      <c r="E28" s="46">
        <v>0</v>
      </c>
      <c r="F28" s="46">
        <v>0</v>
      </c>
      <c r="G28" s="46">
        <v>1</v>
      </c>
      <c r="H28" s="46">
        <v>0</v>
      </c>
      <c r="I28" s="46">
        <v>0</v>
      </c>
      <c r="O28" s="46">
        <v>8</v>
      </c>
    </row>
    <row r="29" spans="2:19">
      <c r="B29" s="52" t="s">
        <v>134</v>
      </c>
      <c r="C29" s="97"/>
      <c r="D29" s="46">
        <v>0</v>
      </c>
      <c r="E29" s="46">
        <v>0</v>
      </c>
      <c r="F29" s="46">
        <v>0</v>
      </c>
      <c r="G29" s="46">
        <v>1</v>
      </c>
      <c r="H29" s="46">
        <v>0</v>
      </c>
      <c r="I29" s="46">
        <v>0</v>
      </c>
      <c r="O29" s="46">
        <v>8</v>
      </c>
    </row>
    <row r="30" spans="2:19">
      <c r="B30" s="42" t="s">
        <v>135</v>
      </c>
      <c r="C30" s="42"/>
      <c r="D30" s="46">
        <v>0</v>
      </c>
      <c r="E30" s="46">
        <v>0</v>
      </c>
      <c r="F30" s="46">
        <v>0</v>
      </c>
      <c r="G30" s="46">
        <v>1</v>
      </c>
      <c r="H30" s="46">
        <v>0</v>
      </c>
      <c r="I30" s="46">
        <v>0</v>
      </c>
      <c r="O30" s="46">
        <v>8</v>
      </c>
    </row>
    <row r="31" spans="2:19">
      <c r="B31" s="46" t="s">
        <v>136</v>
      </c>
      <c r="C31" s="46"/>
      <c r="D31" s="58">
        <v>9</v>
      </c>
      <c r="E31" s="58">
        <v>9</v>
      </c>
      <c r="F31" s="46">
        <v>0</v>
      </c>
      <c r="G31" s="46">
        <v>0</v>
      </c>
      <c r="H31" s="46">
        <v>1</v>
      </c>
      <c r="I31" s="46">
        <v>0</v>
      </c>
      <c r="O31" s="46">
        <v>10</v>
      </c>
    </row>
    <row r="32" spans="2:19">
      <c r="B32" s="46" t="s">
        <v>137</v>
      </c>
      <c r="C32" s="46"/>
      <c r="D32" s="1">
        <v>9</v>
      </c>
      <c r="E32" s="58">
        <v>9</v>
      </c>
      <c r="F32" s="46">
        <v>0</v>
      </c>
      <c r="G32" s="46">
        <v>1</v>
      </c>
      <c r="H32" s="46">
        <v>0</v>
      </c>
      <c r="I32" s="46">
        <v>0</v>
      </c>
      <c r="O32" s="46">
        <v>1</v>
      </c>
    </row>
    <row r="33" spans="2:18">
      <c r="B33" s="46" t="s">
        <v>138</v>
      </c>
      <c r="C33" s="46"/>
      <c r="D33" s="1">
        <v>9</v>
      </c>
      <c r="E33" s="58">
        <v>9</v>
      </c>
      <c r="F33" s="46">
        <v>0</v>
      </c>
      <c r="G33" s="46">
        <v>1</v>
      </c>
      <c r="H33" s="46">
        <v>0</v>
      </c>
      <c r="I33" s="46">
        <v>0</v>
      </c>
      <c r="O33" s="46">
        <v>1</v>
      </c>
    </row>
    <row r="38" spans="2:18">
      <c r="B38" t="s">
        <v>148</v>
      </c>
      <c r="J38" t="s">
        <v>140</v>
      </c>
      <c r="N38" t="s">
        <v>142</v>
      </c>
      <c r="R38" t="str">
        <f>B38&amp;J38&amp;N38</f>
        <v>0,0,0,0,1,0,0,0,0,1,0,0,0,0,1,0,0,0,0,0,0,1,0,0,0,0,0,1,0,0,0,0,0,0,1,0,0,0,0,1,0,0,0,0,0,1,0,0,0,0,0,1,0,0,0,0,1,0,0,1,0,0,0,1,0,0,10,6,2,8,8,8,8,8,8,10,1,1</v>
      </c>
    </row>
    <row r="42" spans="2:18">
      <c r="B42" s="39"/>
      <c r="C42" s="39"/>
      <c r="D42" s="40">
        <v>0</v>
      </c>
      <c r="E42" s="41" t="s">
        <v>121</v>
      </c>
      <c r="F42" s="42" t="s">
        <v>122</v>
      </c>
      <c r="G42" s="43" t="s">
        <v>123</v>
      </c>
      <c r="H42" s="44" t="s">
        <v>124</v>
      </c>
      <c r="I42" s="45" t="s">
        <v>125</v>
      </c>
      <c r="O42" s="46" t="s">
        <v>126</v>
      </c>
    </row>
    <row r="43" spans="2:18">
      <c r="B43" s="47" t="s">
        <v>127</v>
      </c>
      <c r="C43" s="93"/>
      <c r="D43" s="46">
        <v>0</v>
      </c>
      <c r="E43">
        <v>0</v>
      </c>
      <c r="F43" s="46">
        <v>0</v>
      </c>
      <c r="G43" s="46">
        <v>0</v>
      </c>
      <c r="H43" s="46">
        <v>1</v>
      </c>
      <c r="I43" s="46">
        <v>0</v>
      </c>
      <c r="O43" s="46">
        <v>10</v>
      </c>
    </row>
    <row r="44" spans="2:18">
      <c r="B44" s="48" t="s">
        <v>128</v>
      </c>
      <c r="C44" s="94"/>
      <c r="D44" s="46">
        <v>0</v>
      </c>
      <c r="E44">
        <v>0</v>
      </c>
      <c r="F44" s="46">
        <v>1</v>
      </c>
      <c r="G44" s="46">
        <v>0</v>
      </c>
      <c r="H44" s="46">
        <v>0</v>
      </c>
      <c r="I44" s="46">
        <v>0</v>
      </c>
      <c r="O44" s="46">
        <v>5</v>
      </c>
    </row>
    <row r="45" spans="2:18">
      <c r="B45" s="47" t="s">
        <v>129</v>
      </c>
      <c r="C45" s="93"/>
      <c r="D45" s="46">
        <v>0</v>
      </c>
      <c r="E45">
        <v>0</v>
      </c>
      <c r="F45" s="46">
        <v>1</v>
      </c>
      <c r="G45" s="46">
        <v>0</v>
      </c>
      <c r="H45" s="46">
        <v>0</v>
      </c>
      <c r="I45" s="46">
        <v>0</v>
      </c>
      <c r="O45" s="46">
        <v>2</v>
      </c>
    </row>
    <row r="46" spans="2:18">
      <c r="B46" s="49" t="s">
        <v>130</v>
      </c>
      <c r="C46" s="95"/>
      <c r="D46" s="46">
        <v>0</v>
      </c>
      <c r="E46" s="46">
        <v>0</v>
      </c>
      <c r="F46" s="46">
        <v>0</v>
      </c>
      <c r="G46" s="46">
        <v>1</v>
      </c>
      <c r="H46" s="46">
        <v>0</v>
      </c>
      <c r="I46" s="46">
        <v>0</v>
      </c>
      <c r="O46" s="46">
        <v>8</v>
      </c>
    </row>
    <row r="47" spans="2:18" ht="30">
      <c r="B47" s="50" t="s">
        <v>131</v>
      </c>
      <c r="C47" s="96"/>
      <c r="D47" s="46">
        <v>0</v>
      </c>
      <c r="E47" s="46">
        <v>0</v>
      </c>
      <c r="F47" s="46">
        <v>0</v>
      </c>
      <c r="G47" s="46">
        <v>1</v>
      </c>
      <c r="H47" s="46">
        <v>0</v>
      </c>
      <c r="I47" s="46">
        <v>0</v>
      </c>
      <c r="O47" s="46">
        <v>8</v>
      </c>
    </row>
    <row r="48" spans="2:18">
      <c r="B48" s="49" t="s">
        <v>132</v>
      </c>
      <c r="C48" s="95"/>
      <c r="D48" s="46">
        <v>0</v>
      </c>
      <c r="E48" s="46">
        <v>0</v>
      </c>
      <c r="F48" s="46">
        <v>0</v>
      </c>
      <c r="G48" s="46">
        <v>1</v>
      </c>
      <c r="H48" s="46">
        <v>0</v>
      </c>
      <c r="I48" s="46">
        <v>0</v>
      </c>
      <c r="O48" s="46">
        <v>8</v>
      </c>
    </row>
    <row r="49" spans="2:18">
      <c r="B49" s="49" t="s">
        <v>133</v>
      </c>
      <c r="C49" s="95"/>
      <c r="D49" s="46">
        <v>0</v>
      </c>
      <c r="E49" s="46">
        <v>0</v>
      </c>
      <c r="F49" s="46">
        <v>0</v>
      </c>
      <c r="G49" s="46">
        <v>1</v>
      </c>
      <c r="H49" s="46">
        <v>0</v>
      </c>
      <c r="I49" s="46">
        <v>0</v>
      </c>
      <c r="O49" s="46">
        <v>8</v>
      </c>
    </row>
    <row r="50" spans="2:18">
      <c r="B50" s="51" t="s">
        <v>134</v>
      </c>
      <c r="C50" s="98"/>
      <c r="D50" s="46">
        <v>0</v>
      </c>
      <c r="E50" s="46">
        <v>0</v>
      </c>
      <c r="F50" s="46">
        <v>0</v>
      </c>
      <c r="G50" s="46">
        <v>1</v>
      </c>
      <c r="H50" s="46">
        <v>0</v>
      </c>
      <c r="I50" s="46">
        <v>0</v>
      </c>
      <c r="O50" s="46">
        <v>10</v>
      </c>
    </row>
    <row r="51" spans="2:18">
      <c r="B51" s="42" t="s">
        <v>135</v>
      </c>
      <c r="C51" s="42"/>
      <c r="D51" s="46">
        <v>1</v>
      </c>
      <c r="E51" s="46">
        <v>0</v>
      </c>
      <c r="F51" s="46">
        <v>0</v>
      </c>
      <c r="G51" s="46">
        <v>0</v>
      </c>
      <c r="H51" s="46">
        <v>0</v>
      </c>
      <c r="I51" s="46">
        <v>0</v>
      </c>
      <c r="O51" s="46">
        <v>8</v>
      </c>
    </row>
    <row r="52" spans="2:18">
      <c r="B52" s="46" t="s">
        <v>136</v>
      </c>
      <c r="C52" s="46"/>
      <c r="D52" s="58">
        <v>9</v>
      </c>
      <c r="E52" s="58">
        <v>9</v>
      </c>
      <c r="F52" s="46">
        <v>0</v>
      </c>
      <c r="G52" s="46">
        <v>1</v>
      </c>
      <c r="H52" s="46">
        <v>0</v>
      </c>
      <c r="I52" s="46">
        <v>0</v>
      </c>
      <c r="O52" s="46">
        <v>10</v>
      </c>
    </row>
    <row r="53" spans="2:18">
      <c r="B53" s="46" t="s">
        <v>137</v>
      </c>
      <c r="C53" s="46"/>
      <c r="D53" s="1">
        <v>9</v>
      </c>
      <c r="E53" s="58">
        <v>9</v>
      </c>
      <c r="F53" s="46">
        <v>0</v>
      </c>
      <c r="G53" s="46">
        <v>0</v>
      </c>
      <c r="H53" s="46">
        <v>1</v>
      </c>
      <c r="I53" s="46">
        <v>0</v>
      </c>
      <c r="O53" s="46">
        <v>10</v>
      </c>
    </row>
    <row r="54" spans="2:18">
      <c r="B54" s="46" t="s">
        <v>138</v>
      </c>
      <c r="C54" s="46"/>
      <c r="D54" s="1">
        <v>9</v>
      </c>
      <c r="E54" s="58">
        <v>9</v>
      </c>
      <c r="F54" s="46">
        <v>0</v>
      </c>
      <c r="G54" s="46">
        <v>0</v>
      </c>
      <c r="H54" s="46">
        <v>1</v>
      </c>
      <c r="I54" s="46">
        <v>0</v>
      </c>
      <c r="O54" s="46">
        <v>10</v>
      </c>
    </row>
    <row r="59" spans="2:18">
      <c r="B59" t="s">
        <v>149</v>
      </c>
      <c r="J59" t="s">
        <v>140</v>
      </c>
      <c r="N59" t="s">
        <v>141</v>
      </c>
      <c r="R59" t="str">
        <f>B59&amp;J59&amp;N59</f>
        <v>0,0,0,0,1,0,0,0,1,0,0,0,0,0,1,0,0,0,0,0,0,1,0,0,0,0,0,1,0,0,0,0,0,1,0,0,0,0,0,1,0,0,0,0,0,1,0,0,1,0,0,0,0,0,0,1,0,0,0,0,1,0,0,0,1,0,10,5,2,8,8,8,8,10,8,10,10,10</v>
      </c>
    </row>
    <row r="63" spans="2:18">
      <c r="D63" s="40">
        <v>0</v>
      </c>
      <c r="E63" s="41" t="s">
        <v>121</v>
      </c>
      <c r="F63" s="42" t="s">
        <v>122</v>
      </c>
      <c r="G63" s="43" t="s">
        <v>123</v>
      </c>
      <c r="H63" s="44" t="s">
        <v>124</v>
      </c>
      <c r="I63" s="45" t="s">
        <v>125</v>
      </c>
    </row>
    <row r="64" spans="2:18">
      <c r="B64" s="53" t="s">
        <v>127</v>
      </c>
      <c r="C64" s="53"/>
      <c r="D64" s="58">
        <v>0</v>
      </c>
      <c r="E64" s="1">
        <v>0</v>
      </c>
      <c r="F64" s="58">
        <v>0</v>
      </c>
      <c r="G64" s="58">
        <v>0</v>
      </c>
      <c r="H64" s="58">
        <v>1</v>
      </c>
      <c r="I64" s="58">
        <v>0</v>
      </c>
      <c r="O64" s="46">
        <v>8</v>
      </c>
    </row>
    <row r="65" spans="2:18">
      <c r="B65" s="54" t="s">
        <v>128</v>
      </c>
      <c r="C65" s="54"/>
      <c r="D65" s="58">
        <v>0</v>
      </c>
      <c r="E65" s="1">
        <v>0</v>
      </c>
      <c r="F65" s="58">
        <v>0</v>
      </c>
      <c r="G65" s="58">
        <v>1</v>
      </c>
      <c r="H65" s="58">
        <v>0</v>
      </c>
      <c r="I65" s="58">
        <v>0</v>
      </c>
      <c r="O65" s="46">
        <v>5</v>
      </c>
    </row>
    <row r="66" spans="2:18">
      <c r="B66" s="53" t="s">
        <v>129</v>
      </c>
      <c r="C66" s="53"/>
      <c r="D66" s="58">
        <v>0</v>
      </c>
      <c r="E66" s="1">
        <v>0</v>
      </c>
      <c r="F66" s="58">
        <v>0</v>
      </c>
      <c r="G66" s="58">
        <v>1</v>
      </c>
      <c r="H66" s="58">
        <v>0</v>
      </c>
      <c r="I66" s="58">
        <v>0</v>
      </c>
      <c r="O66" s="46">
        <v>2</v>
      </c>
    </row>
    <row r="67" spans="2:18">
      <c r="B67" s="55" t="s">
        <v>130</v>
      </c>
      <c r="C67" s="55"/>
      <c r="D67" s="58">
        <v>1</v>
      </c>
      <c r="E67" s="59">
        <v>0</v>
      </c>
      <c r="F67" s="59">
        <v>0</v>
      </c>
      <c r="G67" s="59">
        <v>0</v>
      </c>
      <c r="H67" s="59">
        <v>0</v>
      </c>
      <c r="I67" s="59">
        <v>0</v>
      </c>
      <c r="O67" s="46">
        <v>10</v>
      </c>
    </row>
    <row r="68" spans="2:18" ht="30">
      <c r="B68" s="56" t="s">
        <v>131</v>
      </c>
      <c r="C68" s="56"/>
      <c r="D68" s="58">
        <v>0</v>
      </c>
      <c r="E68" s="58">
        <v>0</v>
      </c>
      <c r="F68" s="58">
        <v>0</v>
      </c>
      <c r="G68" s="58">
        <v>1</v>
      </c>
      <c r="H68" s="58">
        <v>0</v>
      </c>
      <c r="I68" s="58">
        <v>0</v>
      </c>
      <c r="O68" s="46">
        <v>8</v>
      </c>
    </row>
    <row r="69" spans="2:18">
      <c r="B69" s="55" t="s">
        <v>132</v>
      </c>
      <c r="C69" s="55"/>
      <c r="D69" s="58">
        <v>0</v>
      </c>
      <c r="E69" s="58">
        <v>0</v>
      </c>
      <c r="F69" s="58">
        <v>0</v>
      </c>
      <c r="G69" s="58">
        <v>1</v>
      </c>
      <c r="H69" s="58">
        <v>0</v>
      </c>
      <c r="I69" s="58">
        <v>0</v>
      </c>
      <c r="O69" s="46">
        <v>8</v>
      </c>
    </row>
    <row r="70" spans="2:18">
      <c r="B70" s="55" t="s">
        <v>133</v>
      </c>
      <c r="C70" s="55"/>
      <c r="D70" s="58">
        <v>0</v>
      </c>
      <c r="E70" s="58">
        <v>0</v>
      </c>
      <c r="F70" s="58">
        <v>0</v>
      </c>
      <c r="G70" s="58">
        <v>1</v>
      </c>
      <c r="H70" s="58">
        <v>0</v>
      </c>
      <c r="I70" s="58">
        <v>0</v>
      </c>
      <c r="O70" s="46">
        <v>10</v>
      </c>
    </row>
    <row r="71" spans="2:18">
      <c r="B71" s="57" t="s">
        <v>134</v>
      </c>
      <c r="C71" s="57"/>
      <c r="D71" s="58">
        <v>0</v>
      </c>
      <c r="E71" s="58">
        <v>0</v>
      </c>
      <c r="F71" s="58">
        <v>0</v>
      </c>
      <c r="G71" s="58">
        <v>1</v>
      </c>
      <c r="H71" s="58">
        <v>0</v>
      </c>
      <c r="I71" s="58">
        <v>0</v>
      </c>
      <c r="O71" s="46">
        <v>8</v>
      </c>
    </row>
    <row r="72" spans="2:18">
      <c r="B72" s="42" t="s">
        <v>135</v>
      </c>
      <c r="C72" s="42"/>
      <c r="D72" s="58">
        <v>0</v>
      </c>
      <c r="E72" s="58">
        <v>0</v>
      </c>
      <c r="F72" s="58">
        <v>0</v>
      </c>
      <c r="G72" s="58">
        <v>1</v>
      </c>
      <c r="H72" s="58">
        <v>0</v>
      </c>
      <c r="I72" s="58">
        <v>0</v>
      </c>
      <c r="O72" s="46">
        <v>8</v>
      </c>
    </row>
    <row r="73" spans="2:18">
      <c r="B73" s="46" t="s">
        <v>136</v>
      </c>
      <c r="C73" s="46"/>
      <c r="D73" s="58">
        <v>9</v>
      </c>
      <c r="E73" s="58">
        <v>9</v>
      </c>
      <c r="F73" s="59">
        <v>1</v>
      </c>
      <c r="G73" s="60">
        <v>0</v>
      </c>
      <c r="H73" s="59">
        <v>0</v>
      </c>
      <c r="I73" s="59">
        <v>0</v>
      </c>
      <c r="O73" s="46">
        <v>10</v>
      </c>
    </row>
    <row r="74" spans="2:18">
      <c r="B74" s="46" t="s">
        <v>137</v>
      </c>
      <c r="C74" s="46"/>
      <c r="D74" s="1">
        <v>9</v>
      </c>
      <c r="E74" s="58">
        <v>9</v>
      </c>
      <c r="F74" s="58">
        <v>0</v>
      </c>
      <c r="G74" s="58">
        <v>0</v>
      </c>
      <c r="H74" s="59">
        <v>1</v>
      </c>
      <c r="I74" s="59">
        <v>0</v>
      </c>
      <c r="O74" s="46">
        <v>10</v>
      </c>
    </row>
    <row r="75" spans="2:18">
      <c r="B75" s="46" t="s">
        <v>138</v>
      </c>
      <c r="C75" s="46"/>
      <c r="D75" s="1">
        <v>9</v>
      </c>
      <c r="E75" s="58">
        <v>9</v>
      </c>
      <c r="F75" s="59">
        <v>1</v>
      </c>
      <c r="G75" s="58">
        <v>0</v>
      </c>
      <c r="H75" s="59">
        <v>0</v>
      </c>
      <c r="I75" s="59">
        <v>0</v>
      </c>
      <c r="O75" s="46">
        <v>10</v>
      </c>
    </row>
    <row r="80" spans="2:18">
      <c r="B80" t="s">
        <v>153</v>
      </c>
      <c r="J80" t="s">
        <v>140</v>
      </c>
      <c r="N80" t="s">
        <v>143</v>
      </c>
      <c r="R80" t="str">
        <f>B80&amp;J80&amp;N80</f>
        <v>0,0,0,0,1,0,0,0,0,1,0,0,0,0,0,1,0,0,1,0,0,0,0,0,0,0,0,1,0,0,0,0,0,1,0,0,0,0,0,1,0,0,0,0,0,1,0,0,0,0,0,1,0,0,1,0,0,0,0,0,1,0,1,0,0,0,8,5,2,10,8,8,10,8,8,10,10,10</v>
      </c>
    </row>
    <row r="81" spans="2:15" ht="15.75" thickBot="1"/>
    <row r="82" spans="2:15">
      <c r="B82" s="65"/>
      <c r="C82" s="66"/>
      <c r="D82" s="66"/>
      <c r="E82" s="66"/>
      <c r="F82" s="66"/>
      <c r="G82" s="66"/>
      <c r="H82" s="66"/>
      <c r="I82" s="67"/>
      <c r="J82" t="s">
        <v>147</v>
      </c>
    </row>
    <row r="83" spans="2:15">
      <c r="B83" s="68"/>
      <c r="C83" s="9"/>
      <c r="D83" s="9"/>
      <c r="E83" s="9"/>
      <c r="F83" s="9"/>
      <c r="G83" s="9"/>
      <c r="H83" s="9"/>
      <c r="I83" s="69"/>
    </row>
    <row r="84" spans="2:15">
      <c r="B84" s="68"/>
      <c r="C84" s="9"/>
      <c r="D84" s="70">
        <v>0</v>
      </c>
      <c r="E84" s="71" t="s">
        <v>121</v>
      </c>
      <c r="F84" s="72" t="s">
        <v>122</v>
      </c>
      <c r="G84" s="73" t="s">
        <v>123</v>
      </c>
      <c r="H84" s="74" t="s">
        <v>124</v>
      </c>
      <c r="I84" s="75" t="s">
        <v>125</v>
      </c>
    </row>
    <row r="85" spans="2:15">
      <c r="B85" s="76" t="s">
        <v>127</v>
      </c>
      <c r="C85" s="93"/>
      <c r="D85" s="77">
        <v>0</v>
      </c>
      <c r="E85" s="9">
        <v>0</v>
      </c>
      <c r="F85" s="77">
        <v>0</v>
      </c>
      <c r="G85" s="77">
        <v>1</v>
      </c>
      <c r="H85" s="77">
        <v>0</v>
      </c>
      <c r="I85" s="78">
        <v>0</v>
      </c>
      <c r="O85" s="46">
        <v>8</v>
      </c>
    </row>
    <row r="86" spans="2:15">
      <c r="B86" s="79" t="s">
        <v>128</v>
      </c>
      <c r="C86" s="94"/>
      <c r="D86" s="77">
        <v>0</v>
      </c>
      <c r="E86" s="9">
        <v>0</v>
      </c>
      <c r="F86" s="77">
        <v>0</v>
      </c>
      <c r="G86" s="77">
        <v>1</v>
      </c>
      <c r="H86" s="77">
        <v>0</v>
      </c>
      <c r="I86" s="78">
        <v>0</v>
      </c>
      <c r="O86" s="46">
        <v>5</v>
      </c>
    </row>
    <row r="87" spans="2:15">
      <c r="B87" s="76" t="s">
        <v>129</v>
      </c>
      <c r="C87" s="93"/>
      <c r="D87" s="77">
        <v>0</v>
      </c>
      <c r="E87" s="9">
        <v>0</v>
      </c>
      <c r="F87" s="77">
        <v>0</v>
      </c>
      <c r="G87" s="77">
        <v>1</v>
      </c>
      <c r="H87" s="77">
        <v>0</v>
      </c>
      <c r="I87" s="78">
        <v>0</v>
      </c>
      <c r="O87" s="46">
        <v>2</v>
      </c>
    </row>
    <row r="88" spans="2:15">
      <c r="B88" s="80" t="s">
        <v>130</v>
      </c>
      <c r="C88" s="95"/>
      <c r="D88" s="77">
        <v>1</v>
      </c>
      <c r="E88" s="81">
        <v>0</v>
      </c>
      <c r="F88" s="81">
        <v>0</v>
      </c>
      <c r="G88" s="81">
        <v>0</v>
      </c>
      <c r="H88" s="81">
        <v>0</v>
      </c>
      <c r="I88" s="82">
        <v>0</v>
      </c>
      <c r="O88" s="46">
        <v>10</v>
      </c>
    </row>
    <row r="89" spans="2:15" ht="30">
      <c r="B89" s="83" t="s">
        <v>131</v>
      </c>
      <c r="C89" s="96"/>
      <c r="D89" s="77">
        <v>0</v>
      </c>
      <c r="E89" s="77">
        <v>0</v>
      </c>
      <c r="F89" s="77">
        <v>0</v>
      </c>
      <c r="G89" s="77">
        <v>1</v>
      </c>
      <c r="H89" s="77">
        <v>0</v>
      </c>
      <c r="I89" s="78">
        <v>0</v>
      </c>
      <c r="O89" s="46">
        <v>8</v>
      </c>
    </row>
    <row r="90" spans="2:15">
      <c r="B90" s="80" t="s">
        <v>132</v>
      </c>
      <c r="C90" s="95"/>
      <c r="D90" s="77">
        <v>0</v>
      </c>
      <c r="E90" s="77">
        <v>0</v>
      </c>
      <c r="F90" s="77">
        <v>0</v>
      </c>
      <c r="G90" s="77">
        <v>1</v>
      </c>
      <c r="H90" s="77">
        <v>0</v>
      </c>
      <c r="I90" s="78">
        <v>0</v>
      </c>
      <c r="O90" s="46">
        <v>8</v>
      </c>
    </row>
    <row r="91" spans="2:15">
      <c r="B91" s="80" t="s">
        <v>133</v>
      </c>
      <c r="C91" s="95"/>
      <c r="D91" s="77">
        <v>0</v>
      </c>
      <c r="E91" s="77">
        <v>0</v>
      </c>
      <c r="F91" s="77">
        <v>0</v>
      </c>
      <c r="G91" s="77">
        <v>1</v>
      </c>
      <c r="H91" s="77">
        <v>0</v>
      </c>
      <c r="I91" s="78">
        <v>0</v>
      </c>
      <c r="O91" s="46">
        <v>10</v>
      </c>
    </row>
    <row r="92" spans="2:15">
      <c r="B92" s="84" t="s">
        <v>134</v>
      </c>
      <c r="C92" s="98"/>
      <c r="D92" s="77">
        <v>0</v>
      </c>
      <c r="E92" s="77">
        <v>0</v>
      </c>
      <c r="F92" s="77">
        <v>0</v>
      </c>
      <c r="G92" s="77">
        <v>1</v>
      </c>
      <c r="H92" s="77">
        <v>0</v>
      </c>
      <c r="I92" s="78">
        <v>0</v>
      </c>
      <c r="O92" s="46">
        <v>8</v>
      </c>
    </row>
    <row r="93" spans="2:15">
      <c r="B93" s="85" t="s">
        <v>135</v>
      </c>
      <c r="C93" s="72"/>
      <c r="D93" s="77">
        <v>0</v>
      </c>
      <c r="E93" s="77">
        <v>0</v>
      </c>
      <c r="F93" s="77">
        <v>0</v>
      </c>
      <c r="G93" s="77">
        <v>1</v>
      </c>
      <c r="H93" s="77">
        <v>0</v>
      </c>
      <c r="I93" s="78">
        <v>0</v>
      </c>
      <c r="O93" s="46">
        <v>8</v>
      </c>
    </row>
    <row r="94" spans="2:15">
      <c r="B94" s="86" t="s">
        <v>136</v>
      </c>
      <c r="C94" s="77"/>
      <c r="D94" s="58">
        <v>9</v>
      </c>
      <c r="E94" s="58">
        <v>9</v>
      </c>
      <c r="F94" s="81">
        <v>0.4</v>
      </c>
      <c r="G94" s="61">
        <v>0.6</v>
      </c>
      <c r="H94" s="81">
        <v>0</v>
      </c>
      <c r="I94" s="82">
        <v>0</v>
      </c>
      <c r="O94" s="46">
        <v>10</v>
      </c>
    </row>
    <row r="95" spans="2:15">
      <c r="B95" s="86" t="s">
        <v>137</v>
      </c>
      <c r="C95" s="77"/>
      <c r="D95" s="1">
        <v>9</v>
      </c>
      <c r="E95" s="58">
        <v>9</v>
      </c>
      <c r="F95" s="77">
        <v>0</v>
      </c>
      <c r="G95" s="77">
        <v>0.6</v>
      </c>
      <c r="H95" s="81">
        <v>0.4</v>
      </c>
      <c r="I95" s="82">
        <v>0</v>
      </c>
      <c r="O95" s="46">
        <v>10</v>
      </c>
    </row>
    <row r="96" spans="2:15">
      <c r="B96" s="86" t="s">
        <v>138</v>
      </c>
      <c r="C96" s="77"/>
      <c r="D96" s="1">
        <v>9</v>
      </c>
      <c r="E96" s="58">
        <v>9</v>
      </c>
      <c r="F96" s="81">
        <v>0</v>
      </c>
      <c r="G96" s="77">
        <v>0.2</v>
      </c>
      <c r="H96" s="81">
        <v>0.8</v>
      </c>
      <c r="I96" s="82">
        <v>0</v>
      </c>
      <c r="O96" s="46">
        <v>10</v>
      </c>
    </row>
    <row r="97" spans="2:18">
      <c r="B97" s="68"/>
      <c r="C97" s="9"/>
      <c r="D97" s="9"/>
      <c r="E97" s="9"/>
      <c r="F97" s="9"/>
      <c r="G97" s="9"/>
      <c r="H97" s="9"/>
      <c r="I97" s="69"/>
    </row>
    <row r="98" spans="2:18">
      <c r="B98" s="68"/>
      <c r="C98" s="9"/>
      <c r="D98" s="9"/>
      <c r="E98" s="9"/>
      <c r="F98" s="9"/>
      <c r="G98" s="9"/>
      <c r="H98" s="9"/>
      <c r="I98" s="69"/>
    </row>
    <row r="99" spans="2:18">
      <c r="B99" s="68"/>
      <c r="C99" s="9"/>
      <c r="D99" s="9"/>
      <c r="E99" s="9"/>
      <c r="F99" s="9"/>
      <c r="G99" s="9"/>
      <c r="H99" s="9"/>
      <c r="I99" s="69"/>
    </row>
    <row r="100" spans="2:18">
      <c r="B100" s="68"/>
      <c r="C100" s="9"/>
      <c r="D100" s="9"/>
      <c r="E100" s="9"/>
      <c r="F100" s="9"/>
      <c r="G100" s="9"/>
      <c r="H100" s="9"/>
      <c r="I100" s="69"/>
    </row>
    <row r="101" spans="2:18">
      <c r="B101" s="68" t="s">
        <v>150</v>
      </c>
      <c r="C101" s="9"/>
      <c r="D101" s="9"/>
      <c r="E101" s="9"/>
      <c r="F101" s="9"/>
      <c r="G101" s="9"/>
      <c r="H101" s="9"/>
      <c r="I101" s="69"/>
      <c r="J101" t="s">
        <v>140</v>
      </c>
      <c r="N101" t="s">
        <v>143</v>
      </c>
      <c r="R101" t="str">
        <f>B101&amp;J101&amp;N101</f>
        <v>0,0,0,1,0,0,0,0,0,1,0,0,0,0,0,1,0,0,1,0,0,0,0,0,0,0,0,1,0,0,0,0,0,1,0,0,0,0,0,1,0,0,0,0,0,1,0,0,0,0,0,1,0,0,0.4,0.6,0,0,0,0.6,0.4,0,0,0.2,0.8,0,8,5,2,10,8,8,10,8,8,10,10,10</v>
      </c>
    </row>
    <row r="102" spans="2:18">
      <c r="B102" s="68"/>
      <c r="C102" s="9"/>
      <c r="D102" s="9"/>
      <c r="E102" s="9"/>
      <c r="F102" s="9"/>
      <c r="G102" s="9"/>
      <c r="H102" s="9"/>
      <c r="I102" s="69"/>
    </row>
    <row r="103" spans="2:18">
      <c r="B103" s="68"/>
      <c r="C103" s="9"/>
      <c r="D103" s="9"/>
      <c r="E103" s="9"/>
      <c r="F103" s="9"/>
      <c r="G103" s="9"/>
      <c r="H103" s="9"/>
      <c r="I103" s="69"/>
    </row>
    <row r="104" spans="2:18">
      <c r="B104" s="68"/>
      <c r="C104" s="9"/>
      <c r="D104" s="9"/>
      <c r="E104" s="9"/>
      <c r="F104" s="9"/>
      <c r="G104" s="9"/>
      <c r="H104" s="9"/>
      <c r="I104" s="69"/>
    </row>
    <row r="105" spans="2:18">
      <c r="B105" s="68"/>
      <c r="C105" s="9"/>
      <c r="D105" s="9"/>
      <c r="E105" s="9"/>
      <c r="F105" s="9"/>
      <c r="G105" s="9"/>
      <c r="H105" s="9"/>
      <c r="I105" s="69"/>
    </row>
    <row r="106" spans="2:18">
      <c r="B106" s="68"/>
      <c r="C106" s="9"/>
      <c r="D106" s="9"/>
      <c r="E106" s="9"/>
      <c r="F106" s="9"/>
      <c r="G106" s="9"/>
      <c r="H106" s="9"/>
      <c r="I106" s="69"/>
    </row>
    <row r="107" spans="2:18">
      <c r="B107" s="68"/>
      <c r="C107" s="9"/>
      <c r="D107" s="70">
        <v>0</v>
      </c>
      <c r="E107" s="71" t="s">
        <v>121</v>
      </c>
      <c r="F107" s="72" t="s">
        <v>122</v>
      </c>
      <c r="G107" s="73" t="s">
        <v>123</v>
      </c>
      <c r="H107" s="74" t="s">
        <v>124</v>
      </c>
      <c r="I107" s="75" t="s">
        <v>125</v>
      </c>
    </row>
    <row r="108" spans="2:18">
      <c r="B108" s="76" t="s">
        <v>127</v>
      </c>
      <c r="C108" s="93"/>
      <c r="D108" s="77">
        <v>0</v>
      </c>
      <c r="E108" s="9">
        <v>0</v>
      </c>
      <c r="F108" s="77">
        <v>0</v>
      </c>
      <c r="G108" s="77">
        <v>1</v>
      </c>
      <c r="H108" s="77">
        <v>0</v>
      </c>
      <c r="I108" s="78">
        <v>0</v>
      </c>
      <c r="O108" s="46">
        <v>8</v>
      </c>
    </row>
    <row r="109" spans="2:18">
      <c r="B109" s="79" t="s">
        <v>128</v>
      </c>
      <c r="C109" s="94"/>
      <c r="D109" s="77">
        <v>0</v>
      </c>
      <c r="E109" s="9">
        <v>0</v>
      </c>
      <c r="F109" s="77">
        <v>0</v>
      </c>
      <c r="G109" s="77">
        <v>1</v>
      </c>
      <c r="H109" s="77">
        <v>0</v>
      </c>
      <c r="I109" s="78">
        <v>0</v>
      </c>
      <c r="O109" s="46">
        <v>5</v>
      </c>
    </row>
    <row r="110" spans="2:18">
      <c r="B110" s="76" t="s">
        <v>129</v>
      </c>
      <c r="C110" s="93"/>
      <c r="D110" s="77">
        <v>0</v>
      </c>
      <c r="E110" s="9">
        <v>0</v>
      </c>
      <c r="F110" s="77">
        <v>0</v>
      </c>
      <c r="G110" s="77">
        <v>1</v>
      </c>
      <c r="H110" s="77">
        <v>0</v>
      </c>
      <c r="I110" s="78">
        <v>0</v>
      </c>
      <c r="O110" s="46">
        <v>2</v>
      </c>
    </row>
    <row r="111" spans="2:18">
      <c r="B111" s="80" t="s">
        <v>130</v>
      </c>
      <c r="C111" s="95"/>
      <c r="D111" s="77">
        <v>0</v>
      </c>
      <c r="E111" s="81">
        <v>0</v>
      </c>
      <c r="F111" s="81">
        <v>0</v>
      </c>
      <c r="G111" s="81">
        <v>0</v>
      </c>
      <c r="H111" s="81">
        <v>0</v>
      </c>
      <c r="I111" s="82">
        <v>1</v>
      </c>
      <c r="O111" s="46">
        <v>10</v>
      </c>
    </row>
    <row r="112" spans="2:18" ht="30">
      <c r="B112" s="83" t="s">
        <v>131</v>
      </c>
      <c r="C112" s="96"/>
      <c r="D112" s="77">
        <v>0</v>
      </c>
      <c r="E112" s="77">
        <v>0</v>
      </c>
      <c r="F112" s="77">
        <v>0</v>
      </c>
      <c r="G112" s="77">
        <v>1</v>
      </c>
      <c r="H112" s="77">
        <v>0</v>
      </c>
      <c r="I112" s="78">
        <v>0</v>
      </c>
      <c r="O112" s="46">
        <v>8</v>
      </c>
    </row>
    <row r="113" spans="2:18">
      <c r="B113" s="80" t="s">
        <v>132</v>
      </c>
      <c r="C113" s="95"/>
      <c r="D113" s="77">
        <v>0</v>
      </c>
      <c r="E113" s="77">
        <v>0</v>
      </c>
      <c r="F113" s="77">
        <v>0</v>
      </c>
      <c r="G113" s="77">
        <v>1</v>
      </c>
      <c r="H113" s="77">
        <v>0</v>
      </c>
      <c r="I113" s="78">
        <v>0</v>
      </c>
      <c r="O113" s="46">
        <v>8</v>
      </c>
    </row>
    <row r="114" spans="2:18">
      <c r="B114" s="80" t="s">
        <v>133</v>
      </c>
      <c r="C114" s="95"/>
      <c r="D114" s="77">
        <v>0</v>
      </c>
      <c r="E114" s="77">
        <v>0</v>
      </c>
      <c r="F114" s="77">
        <v>0</v>
      </c>
      <c r="G114" s="77">
        <v>1</v>
      </c>
      <c r="H114" s="77">
        <v>0</v>
      </c>
      <c r="I114" s="78">
        <v>0</v>
      </c>
      <c r="O114" s="46">
        <v>10</v>
      </c>
    </row>
    <row r="115" spans="2:18">
      <c r="B115" s="84" t="s">
        <v>134</v>
      </c>
      <c r="C115" s="98"/>
      <c r="D115" s="77">
        <v>0</v>
      </c>
      <c r="E115" s="77">
        <v>0</v>
      </c>
      <c r="F115" s="77">
        <v>0</v>
      </c>
      <c r="G115" s="77">
        <v>1</v>
      </c>
      <c r="H115" s="77">
        <v>0</v>
      </c>
      <c r="I115" s="78">
        <v>0</v>
      </c>
      <c r="O115" s="46">
        <v>8</v>
      </c>
    </row>
    <row r="116" spans="2:18">
      <c r="B116" s="85" t="s">
        <v>135</v>
      </c>
      <c r="C116" s="72"/>
      <c r="D116" s="77">
        <v>0</v>
      </c>
      <c r="E116" s="77">
        <v>0</v>
      </c>
      <c r="F116" s="77">
        <v>0</v>
      </c>
      <c r="G116" s="77">
        <v>1</v>
      </c>
      <c r="H116" s="77">
        <v>0</v>
      </c>
      <c r="I116" s="78">
        <v>0</v>
      </c>
      <c r="O116" s="46">
        <v>8</v>
      </c>
    </row>
    <row r="117" spans="2:18">
      <c r="B117" s="86" t="s">
        <v>136</v>
      </c>
      <c r="C117" s="77"/>
      <c r="D117" s="58">
        <v>9</v>
      </c>
      <c r="E117" s="58">
        <v>9</v>
      </c>
      <c r="F117" s="81">
        <v>1</v>
      </c>
      <c r="G117" s="61">
        <v>0</v>
      </c>
      <c r="H117" s="81">
        <v>0</v>
      </c>
      <c r="I117" s="82">
        <v>0</v>
      </c>
      <c r="O117" s="46">
        <v>10</v>
      </c>
    </row>
    <row r="118" spans="2:18">
      <c r="B118" s="86" t="s">
        <v>137</v>
      </c>
      <c r="C118" s="77"/>
      <c r="D118" s="1">
        <v>9</v>
      </c>
      <c r="E118" s="58">
        <v>9</v>
      </c>
      <c r="F118" s="77">
        <v>0</v>
      </c>
      <c r="G118" s="77">
        <v>0</v>
      </c>
      <c r="H118" s="81">
        <v>1</v>
      </c>
      <c r="I118" s="82">
        <v>0</v>
      </c>
      <c r="O118" s="46">
        <v>10</v>
      </c>
    </row>
    <row r="119" spans="2:18">
      <c r="B119" s="86" t="s">
        <v>138</v>
      </c>
      <c r="C119" s="77"/>
      <c r="D119" s="1">
        <v>9</v>
      </c>
      <c r="E119" s="58">
        <v>9</v>
      </c>
      <c r="F119" s="81">
        <v>0</v>
      </c>
      <c r="G119" s="77">
        <v>0</v>
      </c>
      <c r="H119" s="81">
        <v>1</v>
      </c>
      <c r="I119" s="82">
        <v>0</v>
      </c>
      <c r="O119" s="46">
        <v>10</v>
      </c>
    </row>
    <row r="120" spans="2:18" ht="15.75" thickBot="1">
      <c r="B120" s="87"/>
      <c r="C120" s="88"/>
      <c r="D120" s="88"/>
      <c r="E120" s="88"/>
      <c r="F120" s="88"/>
      <c r="G120" s="88"/>
      <c r="H120" s="88"/>
      <c r="I120" s="89"/>
    </row>
    <row r="124" spans="2:18">
      <c r="B124" t="s">
        <v>151</v>
      </c>
      <c r="J124" t="s">
        <v>140</v>
      </c>
      <c r="N124" t="s">
        <v>143</v>
      </c>
      <c r="R124" t="str">
        <f>B124&amp;J124&amp;N124</f>
        <v>0,0,0,1,0,0,0,0,0,1,0,0,0,0,0,1,0,0,0,0,0,0,0,1,0,0,0,1,0,0,0,0,0,1,0,0,0,0,0,1,0,0,0,0,0,1,0,0,0,0,0,1,0,0,1,0,0,0,0,0,1,0,0,0,1,0,8,5,2,10,8,8,10,8,8,10,10,10</v>
      </c>
    </row>
    <row r="135" spans="1:9">
      <c r="B135" s="112"/>
      <c r="C135" s="113" t="s">
        <v>157</v>
      </c>
      <c r="D135" s="114" t="s">
        <v>156</v>
      </c>
      <c r="E135" s="115" t="s">
        <v>121</v>
      </c>
      <c r="F135" s="107" t="s">
        <v>122</v>
      </c>
      <c r="G135" s="116" t="s">
        <v>123</v>
      </c>
      <c r="H135" s="117" t="s">
        <v>124</v>
      </c>
      <c r="I135" s="118" t="s">
        <v>125</v>
      </c>
    </row>
    <row r="136" spans="1:9">
      <c r="A136" s="120" t="s">
        <v>165</v>
      </c>
      <c r="B136" s="90" t="s">
        <v>127</v>
      </c>
      <c r="C136" s="103">
        <v>9</v>
      </c>
      <c r="D136" s="58">
        <v>9</v>
      </c>
      <c r="E136" s="1">
        <v>0</v>
      </c>
      <c r="F136" s="58">
        <v>0</v>
      </c>
      <c r="G136" s="58">
        <v>0</v>
      </c>
      <c r="H136" s="58">
        <v>1</v>
      </c>
      <c r="I136" s="58">
        <v>0</v>
      </c>
    </row>
    <row r="137" spans="1:9">
      <c r="A137" s="120"/>
      <c r="B137" s="47" t="s">
        <v>154</v>
      </c>
      <c r="C137" s="104">
        <v>1</v>
      </c>
      <c r="D137" s="58">
        <v>0</v>
      </c>
      <c r="E137" s="1">
        <v>9</v>
      </c>
      <c r="F137" s="58">
        <v>9</v>
      </c>
      <c r="G137" s="58">
        <v>9</v>
      </c>
      <c r="H137" s="58">
        <v>9</v>
      </c>
      <c r="I137" s="58">
        <v>9</v>
      </c>
    </row>
    <row r="138" spans="1:9">
      <c r="A138" s="120"/>
      <c r="B138" s="91" t="s">
        <v>128</v>
      </c>
      <c r="C138" s="103">
        <v>9</v>
      </c>
      <c r="D138" s="58">
        <v>9</v>
      </c>
      <c r="E138" s="1">
        <v>0</v>
      </c>
      <c r="F138" s="58">
        <v>0</v>
      </c>
      <c r="G138" s="58">
        <v>1</v>
      </c>
      <c r="H138" s="58">
        <v>0</v>
      </c>
      <c r="I138" s="58">
        <v>0</v>
      </c>
    </row>
    <row r="139" spans="1:9">
      <c r="A139" s="120"/>
      <c r="B139" s="92" t="s">
        <v>155</v>
      </c>
      <c r="C139" s="103">
        <v>1</v>
      </c>
      <c r="D139" s="58">
        <v>0</v>
      </c>
      <c r="E139" s="1">
        <v>9</v>
      </c>
      <c r="F139" s="58">
        <v>9</v>
      </c>
      <c r="G139" s="58">
        <v>9</v>
      </c>
      <c r="H139" s="58">
        <v>9</v>
      </c>
      <c r="I139" s="58">
        <v>9</v>
      </c>
    </row>
    <row r="140" spans="1:9">
      <c r="A140" s="120"/>
      <c r="B140" s="90" t="s">
        <v>129</v>
      </c>
      <c r="C140" s="104">
        <v>9</v>
      </c>
      <c r="D140" s="58">
        <v>9</v>
      </c>
      <c r="E140" s="1">
        <v>0</v>
      </c>
      <c r="F140" s="58">
        <v>1</v>
      </c>
      <c r="G140" s="58">
        <v>0</v>
      </c>
      <c r="H140" s="58">
        <v>0</v>
      </c>
      <c r="I140" s="58">
        <v>0</v>
      </c>
    </row>
    <row r="141" spans="1:9">
      <c r="A141" s="120"/>
      <c r="B141" s="99" t="s">
        <v>158</v>
      </c>
      <c r="C141" s="104">
        <v>1</v>
      </c>
      <c r="D141" s="58">
        <v>0</v>
      </c>
      <c r="E141" s="58">
        <v>9</v>
      </c>
      <c r="F141" s="58">
        <v>9</v>
      </c>
      <c r="G141" s="58">
        <v>9</v>
      </c>
      <c r="H141" s="58">
        <v>9</v>
      </c>
      <c r="I141" s="58">
        <v>9</v>
      </c>
    </row>
    <row r="142" spans="1:9" s="100" customFormat="1">
      <c r="A142" s="121" t="s">
        <v>166</v>
      </c>
      <c r="B142" s="108" t="s">
        <v>130</v>
      </c>
      <c r="C142" s="103">
        <v>9</v>
      </c>
      <c r="D142" s="105">
        <v>9</v>
      </c>
      <c r="E142" s="105">
        <v>0</v>
      </c>
      <c r="F142" s="105">
        <v>0</v>
      </c>
      <c r="G142" s="105">
        <v>1</v>
      </c>
      <c r="H142" s="105">
        <v>0</v>
      </c>
      <c r="I142" s="105">
        <v>0</v>
      </c>
    </row>
    <row r="143" spans="1:9" s="100" customFormat="1">
      <c r="A143" s="121"/>
      <c r="B143" s="109" t="s">
        <v>159</v>
      </c>
      <c r="C143" s="103">
        <v>1</v>
      </c>
      <c r="D143" s="105">
        <v>0</v>
      </c>
      <c r="E143" s="105">
        <v>9</v>
      </c>
      <c r="F143" s="105">
        <v>9</v>
      </c>
      <c r="G143" s="105">
        <v>9</v>
      </c>
      <c r="H143" s="105">
        <v>9</v>
      </c>
      <c r="I143" s="105">
        <v>9</v>
      </c>
    </row>
    <row r="144" spans="1:9" s="100" customFormat="1" ht="30">
      <c r="A144" s="121"/>
      <c r="B144" s="110" t="s">
        <v>131</v>
      </c>
      <c r="C144" s="103">
        <v>9</v>
      </c>
      <c r="D144" s="105">
        <v>9</v>
      </c>
      <c r="E144" s="105">
        <v>0</v>
      </c>
      <c r="F144" s="105">
        <v>0</v>
      </c>
      <c r="G144" s="105">
        <v>0</v>
      </c>
      <c r="H144" s="105">
        <v>1</v>
      </c>
      <c r="I144" s="105">
        <v>0</v>
      </c>
    </row>
    <row r="145" spans="1:9" s="100" customFormat="1">
      <c r="A145" s="121"/>
      <c r="B145" s="111" t="s">
        <v>160</v>
      </c>
      <c r="C145" s="103">
        <v>1</v>
      </c>
      <c r="D145" s="105">
        <v>0</v>
      </c>
      <c r="E145" s="106">
        <v>9</v>
      </c>
      <c r="F145" s="106">
        <v>9</v>
      </c>
      <c r="G145" s="106">
        <v>9</v>
      </c>
      <c r="H145" s="106">
        <v>9</v>
      </c>
      <c r="I145" s="106">
        <v>9</v>
      </c>
    </row>
    <row r="146" spans="1:9">
      <c r="A146" s="121"/>
      <c r="B146" s="108" t="s">
        <v>132</v>
      </c>
      <c r="C146" s="104">
        <v>9</v>
      </c>
      <c r="D146" s="58">
        <v>9</v>
      </c>
      <c r="E146" s="58">
        <v>0</v>
      </c>
      <c r="F146" s="58">
        <v>0</v>
      </c>
      <c r="G146" s="58">
        <v>1</v>
      </c>
      <c r="H146" s="58">
        <v>0</v>
      </c>
      <c r="I146" s="58">
        <v>0</v>
      </c>
    </row>
    <row r="147" spans="1:9">
      <c r="A147" s="121"/>
      <c r="B147" s="109" t="s">
        <v>161</v>
      </c>
      <c r="C147" s="104">
        <v>1</v>
      </c>
      <c r="D147" s="58">
        <v>0</v>
      </c>
      <c r="E147" s="58">
        <v>9</v>
      </c>
      <c r="F147" s="58">
        <v>9</v>
      </c>
      <c r="G147" s="58">
        <v>9</v>
      </c>
      <c r="H147" s="58">
        <v>9</v>
      </c>
      <c r="I147" s="58">
        <v>9</v>
      </c>
    </row>
    <row r="148" spans="1:9">
      <c r="A148" s="121"/>
      <c r="B148" s="108" t="s">
        <v>162</v>
      </c>
      <c r="C148" s="104">
        <v>9</v>
      </c>
      <c r="D148" s="58">
        <v>9</v>
      </c>
      <c r="E148" s="58">
        <v>0</v>
      </c>
      <c r="F148" s="58">
        <v>0</v>
      </c>
      <c r="G148" s="58">
        <v>1</v>
      </c>
      <c r="H148" s="58">
        <v>0</v>
      </c>
      <c r="I148" s="58">
        <v>0</v>
      </c>
    </row>
    <row r="149" spans="1:9">
      <c r="A149" s="121"/>
      <c r="B149" s="109" t="s">
        <v>163</v>
      </c>
      <c r="C149" s="104">
        <v>1</v>
      </c>
      <c r="D149" s="58">
        <v>0</v>
      </c>
      <c r="E149" s="58">
        <v>9</v>
      </c>
      <c r="F149" s="58">
        <v>9</v>
      </c>
      <c r="G149" s="58">
        <v>9</v>
      </c>
      <c r="H149" s="58">
        <v>9</v>
      </c>
      <c r="I149" s="58">
        <v>9</v>
      </c>
    </row>
    <row r="150" spans="1:9">
      <c r="A150" s="122" t="s">
        <v>167</v>
      </c>
      <c r="B150" s="101" t="s">
        <v>164</v>
      </c>
      <c r="C150" s="104">
        <v>1</v>
      </c>
      <c r="D150" s="58">
        <v>0</v>
      </c>
      <c r="E150" s="58">
        <v>9</v>
      </c>
      <c r="F150" s="58">
        <v>9</v>
      </c>
      <c r="G150" s="58">
        <v>9</v>
      </c>
      <c r="H150" s="58">
        <v>9</v>
      </c>
      <c r="I150" s="58">
        <v>9</v>
      </c>
    </row>
    <row r="151" spans="1:9">
      <c r="A151" s="122"/>
      <c r="B151" s="102" t="s">
        <v>134</v>
      </c>
      <c r="C151" s="60">
        <v>9</v>
      </c>
      <c r="D151" s="58">
        <v>9</v>
      </c>
      <c r="E151" s="58">
        <v>0</v>
      </c>
      <c r="F151" s="58">
        <v>0</v>
      </c>
      <c r="G151" s="58">
        <v>1</v>
      </c>
      <c r="H151" s="58">
        <v>0</v>
      </c>
      <c r="I151" s="58">
        <v>0</v>
      </c>
    </row>
    <row r="152" spans="1:9">
      <c r="A152" s="122"/>
      <c r="C152" s="60">
        <v>9</v>
      </c>
      <c r="D152" s="58">
        <v>9</v>
      </c>
      <c r="E152" s="58">
        <v>0</v>
      </c>
      <c r="F152" s="58">
        <v>0</v>
      </c>
      <c r="G152" s="58">
        <v>0</v>
      </c>
      <c r="H152" s="58">
        <v>1</v>
      </c>
      <c r="I152" s="58">
        <v>0</v>
      </c>
    </row>
    <row r="153" spans="1:9" ht="23.25" customHeight="1">
      <c r="A153" s="123" t="s">
        <v>168</v>
      </c>
      <c r="B153" s="59" t="s">
        <v>136</v>
      </c>
      <c r="C153" s="58">
        <v>9</v>
      </c>
      <c r="D153" s="1">
        <v>9</v>
      </c>
      <c r="E153" s="58">
        <v>9</v>
      </c>
      <c r="F153" s="60">
        <v>1</v>
      </c>
      <c r="G153" s="60">
        <v>0</v>
      </c>
      <c r="H153" s="60">
        <v>0</v>
      </c>
      <c r="I153" s="60">
        <v>0</v>
      </c>
    </row>
    <row r="154" spans="1:9" ht="23.25" customHeight="1">
      <c r="A154" s="124"/>
      <c r="B154" s="59" t="s">
        <v>137</v>
      </c>
      <c r="C154" s="58">
        <v>9</v>
      </c>
      <c r="D154" s="1">
        <v>9</v>
      </c>
      <c r="E154" s="58">
        <v>9</v>
      </c>
      <c r="F154" s="60">
        <v>0</v>
      </c>
      <c r="G154" s="60">
        <v>0</v>
      </c>
      <c r="H154" s="60">
        <v>1</v>
      </c>
      <c r="I154" s="60">
        <v>0</v>
      </c>
    </row>
    <row r="155" spans="1:9" ht="23.25" customHeight="1">
      <c r="A155" s="124"/>
      <c r="B155" s="59" t="s">
        <v>138</v>
      </c>
      <c r="C155" s="1">
        <v>9</v>
      </c>
      <c r="D155" s="1">
        <v>9</v>
      </c>
      <c r="E155" s="1">
        <v>9</v>
      </c>
      <c r="F155" s="60">
        <v>0</v>
      </c>
      <c r="G155" s="60">
        <v>0</v>
      </c>
      <c r="H155" s="60">
        <v>1</v>
      </c>
      <c r="I155" s="60">
        <v>0</v>
      </c>
    </row>
    <row r="159" spans="1:9">
      <c r="B159" s="119" t="s">
        <v>169</v>
      </c>
    </row>
  </sheetData>
  <mergeCells count="4">
    <mergeCell ref="A136:A141"/>
    <mergeCell ref="A142:A149"/>
    <mergeCell ref="A150:A152"/>
    <mergeCell ref="A153:A155"/>
  </mergeCells>
  <conditionalFormatting sqref="B9:C10">
    <cfRule type="duplicateValues" dxfId="16" priority="13"/>
  </conditionalFormatting>
  <conditionalFormatting sqref="B30:C30">
    <cfRule type="duplicateValues" dxfId="15" priority="10"/>
  </conditionalFormatting>
  <conditionalFormatting sqref="B49:C49">
    <cfRule type="duplicateValues" dxfId="14" priority="9"/>
  </conditionalFormatting>
  <conditionalFormatting sqref="B50:C51">
    <cfRule type="duplicateValues" dxfId="13" priority="8"/>
  </conditionalFormatting>
  <conditionalFormatting sqref="B70:C70">
    <cfRule type="duplicateValues" dxfId="12" priority="7"/>
  </conditionalFormatting>
  <conditionalFormatting sqref="B71:C72">
    <cfRule type="duplicateValues" dxfId="11" priority="6"/>
  </conditionalFormatting>
  <conditionalFormatting sqref="B91:C91">
    <cfRule type="duplicateValues" dxfId="10" priority="5"/>
  </conditionalFormatting>
  <conditionalFormatting sqref="B92:C93">
    <cfRule type="duplicateValues" dxfId="9" priority="4"/>
  </conditionalFormatting>
  <conditionalFormatting sqref="B114:C114">
    <cfRule type="duplicateValues" dxfId="8" priority="3"/>
  </conditionalFormatting>
  <conditionalFormatting sqref="B115:C116">
    <cfRule type="duplicateValues" dxfId="7" priority="2"/>
  </conditionalFormatting>
  <conditionalFormatting sqref="B159 C151">
    <cfRule type="duplicateValues" dxfId="6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X177"/>
  <sheetViews>
    <sheetView topLeftCell="A79" zoomScale="110" zoomScaleNormal="110" workbookViewId="0">
      <selection activeCell="L104" sqref="L104"/>
    </sheetView>
  </sheetViews>
  <sheetFormatPr defaultRowHeight="15"/>
  <cols>
    <col min="1" max="1" width="9.140625" style="3"/>
    <col min="2" max="2" width="33" style="3" customWidth="1"/>
    <col min="3" max="3" width="19.140625" style="3" customWidth="1"/>
    <col min="4" max="9" width="15.42578125" style="3" customWidth="1"/>
    <col min="10" max="11" width="4.42578125" style="15" customWidth="1"/>
    <col min="12" max="12" width="7.28515625" style="3" customWidth="1"/>
    <col min="13" max="16384" width="9.140625" style="3"/>
  </cols>
  <sheetData>
    <row r="1" spans="1:24" ht="86.25" thickBot="1">
      <c r="A1" s="147" t="s">
        <v>170</v>
      </c>
      <c r="B1" s="147" t="s">
        <v>171</v>
      </c>
      <c r="C1" s="145" t="s">
        <v>157</v>
      </c>
      <c r="D1" s="145" t="s">
        <v>156</v>
      </c>
      <c r="E1" s="145" t="s">
        <v>121</v>
      </c>
      <c r="F1" s="145" t="s">
        <v>122</v>
      </c>
      <c r="G1" s="145" t="s">
        <v>123</v>
      </c>
      <c r="H1" s="145" t="s">
        <v>124</v>
      </c>
      <c r="I1" s="145" t="s">
        <v>125</v>
      </c>
      <c r="J1" s="143"/>
      <c r="K1" s="143"/>
      <c r="L1" s="143" t="s">
        <v>172</v>
      </c>
      <c r="M1" s="152"/>
      <c r="N1" s="150" t="s">
        <v>187</v>
      </c>
      <c r="O1" s="15"/>
      <c r="P1" s="15"/>
      <c r="Q1" s="15"/>
      <c r="R1" s="15"/>
      <c r="S1" s="15"/>
      <c r="T1" s="15"/>
      <c r="U1" s="15"/>
      <c r="V1" s="15"/>
      <c r="W1" s="15"/>
      <c r="X1" s="15"/>
    </row>
    <row r="2" spans="1:24">
      <c r="A2" s="144" t="s">
        <v>173</v>
      </c>
      <c r="B2" s="146" t="s">
        <v>127</v>
      </c>
      <c r="C2" s="153"/>
      <c r="D2" s="154"/>
      <c r="E2" s="154">
        <v>0</v>
      </c>
      <c r="F2" s="154">
        <v>0</v>
      </c>
      <c r="G2" s="154">
        <v>1</v>
      </c>
      <c r="H2" s="154">
        <v>0</v>
      </c>
      <c r="I2" s="155">
        <v>0</v>
      </c>
      <c r="J2" s="156"/>
      <c r="K2" s="147"/>
      <c r="L2" s="147">
        <v>10</v>
      </c>
      <c r="M2" s="152"/>
      <c r="N2" s="3">
        <v>5</v>
      </c>
      <c r="O2" s="15"/>
      <c r="P2" s="15"/>
      <c r="Q2" s="15">
        <v>0</v>
      </c>
      <c r="R2" s="15">
        <v>0.75</v>
      </c>
      <c r="S2" s="15">
        <v>1</v>
      </c>
      <c r="T2" s="15">
        <v>0.75</v>
      </c>
      <c r="U2" s="15">
        <v>0</v>
      </c>
      <c r="V2" s="15"/>
      <c r="W2" s="15"/>
      <c r="X2" s="15"/>
    </row>
    <row r="3" spans="1:24">
      <c r="A3" s="144"/>
      <c r="B3" s="146" t="s">
        <v>154</v>
      </c>
      <c r="C3" s="157">
        <v>1</v>
      </c>
      <c r="D3" s="147">
        <v>0</v>
      </c>
      <c r="E3" s="147"/>
      <c r="F3" s="147"/>
      <c r="G3" s="147"/>
      <c r="H3" s="147"/>
      <c r="I3" s="158"/>
      <c r="J3" s="156"/>
      <c r="K3" s="147"/>
      <c r="L3" s="147">
        <v>10</v>
      </c>
      <c r="M3" s="152"/>
      <c r="N3" s="3">
        <v>2</v>
      </c>
      <c r="O3" s="15">
        <v>1</v>
      </c>
      <c r="P3" s="15">
        <v>0</v>
      </c>
      <c r="Q3" s="159"/>
      <c r="R3" s="159"/>
      <c r="S3" s="159"/>
      <c r="T3" s="159"/>
      <c r="U3" s="159"/>
      <c r="V3" s="15"/>
      <c r="W3" s="15"/>
      <c r="X3" s="15"/>
    </row>
    <row r="4" spans="1:24">
      <c r="A4" s="144"/>
      <c r="B4" s="146" t="s">
        <v>128</v>
      </c>
      <c r="C4" s="157"/>
      <c r="D4" s="147"/>
      <c r="E4" s="147">
        <v>0</v>
      </c>
      <c r="F4" s="147">
        <v>0</v>
      </c>
      <c r="G4" s="147">
        <v>1</v>
      </c>
      <c r="H4" s="147">
        <v>0</v>
      </c>
      <c r="I4" s="158">
        <v>0</v>
      </c>
      <c r="J4" s="156"/>
      <c r="K4" s="147"/>
      <c r="L4" s="147">
        <v>5</v>
      </c>
      <c r="M4" s="152"/>
      <c r="N4" s="3">
        <v>5</v>
      </c>
      <c r="O4" s="15"/>
      <c r="P4" s="15"/>
      <c r="Q4" s="15">
        <v>0</v>
      </c>
      <c r="R4" s="15">
        <v>0.75</v>
      </c>
      <c r="S4" s="15">
        <v>1</v>
      </c>
      <c r="T4" s="15">
        <v>0.75</v>
      </c>
      <c r="U4" s="15">
        <v>0</v>
      </c>
      <c r="V4" s="15"/>
      <c r="W4" s="15"/>
      <c r="X4" s="15"/>
    </row>
    <row r="5" spans="1:24">
      <c r="A5" s="144"/>
      <c r="B5" s="146" t="s">
        <v>155</v>
      </c>
      <c r="C5" s="157">
        <v>1</v>
      </c>
      <c r="D5" s="147">
        <v>0</v>
      </c>
      <c r="E5" s="147"/>
      <c r="F5" s="147"/>
      <c r="G5" s="147"/>
      <c r="H5" s="147"/>
      <c r="I5" s="158"/>
      <c r="J5" s="156"/>
      <c r="K5" s="147"/>
      <c r="L5" s="147">
        <v>5</v>
      </c>
      <c r="M5" s="152"/>
      <c r="N5" s="3">
        <v>2</v>
      </c>
      <c r="O5" s="15">
        <v>1</v>
      </c>
      <c r="P5" s="15">
        <v>0</v>
      </c>
      <c r="Q5" s="159"/>
      <c r="R5" s="159"/>
      <c r="S5" s="159"/>
      <c r="T5" s="159"/>
      <c r="U5" s="159"/>
      <c r="V5" s="15"/>
      <c r="W5" s="15"/>
      <c r="X5" s="15"/>
    </row>
    <row r="6" spans="1:24">
      <c r="A6" s="144"/>
      <c r="B6" s="146" t="s">
        <v>174</v>
      </c>
      <c r="C6" s="157"/>
      <c r="D6" s="147"/>
      <c r="E6" s="147">
        <v>0</v>
      </c>
      <c r="F6" s="147">
        <v>0</v>
      </c>
      <c r="G6" s="147">
        <v>1</v>
      </c>
      <c r="H6" s="147">
        <v>0</v>
      </c>
      <c r="I6" s="158">
        <v>0</v>
      </c>
      <c r="J6" s="156"/>
      <c r="K6" s="147"/>
      <c r="L6" s="147">
        <v>2</v>
      </c>
      <c r="M6" s="152"/>
      <c r="N6" s="3">
        <v>5</v>
      </c>
      <c r="O6" s="159"/>
      <c r="P6" s="159"/>
      <c r="Q6" s="15">
        <v>0</v>
      </c>
      <c r="R6" s="15">
        <v>0.75</v>
      </c>
      <c r="S6" s="15">
        <v>1</v>
      </c>
      <c r="T6" s="15">
        <v>0.75</v>
      </c>
      <c r="U6" s="15">
        <v>0</v>
      </c>
      <c r="V6" s="15"/>
      <c r="W6" s="15"/>
      <c r="X6" s="15"/>
    </row>
    <row r="7" spans="1:24">
      <c r="A7" s="144"/>
      <c r="B7" s="146" t="s">
        <v>158</v>
      </c>
      <c r="C7" s="157">
        <v>1</v>
      </c>
      <c r="D7" s="147">
        <v>0</v>
      </c>
      <c r="E7" s="147"/>
      <c r="F7" s="147"/>
      <c r="G7" s="147"/>
      <c r="H7" s="147"/>
      <c r="I7" s="158"/>
      <c r="J7" s="156"/>
      <c r="K7" s="147"/>
      <c r="L7" s="147">
        <v>2</v>
      </c>
      <c r="M7" s="152"/>
      <c r="N7" s="3">
        <v>2</v>
      </c>
      <c r="O7" s="15">
        <v>1</v>
      </c>
      <c r="P7" s="15">
        <v>0</v>
      </c>
      <c r="Q7" s="159"/>
      <c r="R7" s="159"/>
      <c r="S7" s="159"/>
      <c r="T7" s="159"/>
      <c r="U7" s="159"/>
      <c r="V7" s="15"/>
      <c r="W7" s="15"/>
      <c r="X7" s="15"/>
    </row>
    <row r="8" spans="1:24">
      <c r="A8" s="144" t="s">
        <v>175</v>
      </c>
      <c r="B8" s="146" t="s">
        <v>130</v>
      </c>
      <c r="C8" s="157"/>
      <c r="D8" s="147"/>
      <c r="E8" s="147">
        <v>0</v>
      </c>
      <c r="F8" s="147">
        <v>1</v>
      </c>
      <c r="G8" s="147">
        <v>0</v>
      </c>
      <c r="H8" s="147">
        <v>0</v>
      </c>
      <c r="I8" s="158">
        <v>0</v>
      </c>
      <c r="J8" s="156"/>
      <c r="K8" s="147"/>
      <c r="L8" s="147">
        <v>10</v>
      </c>
      <c r="M8" s="160"/>
      <c r="N8" s="3">
        <v>5</v>
      </c>
      <c r="O8" s="159"/>
      <c r="P8" s="159"/>
      <c r="Q8" s="15">
        <v>0</v>
      </c>
      <c r="R8" s="15">
        <v>0.75</v>
      </c>
      <c r="S8" s="15">
        <v>1</v>
      </c>
      <c r="T8" s="15">
        <v>0.75</v>
      </c>
      <c r="U8" s="15">
        <v>0</v>
      </c>
      <c r="V8" s="15"/>
      <c r="W8" s="15"/>
      <c r="X8" s="15"/>
    </row>
    <row r="9" spans="1:24" ht="25.5" customHeight="1">
      <c r="A9" s="144"/>
      <c r="B9" s="146" t="s">
        <v>159</v>
      </c>
      <c r="C9" s="157">
        <v>1</v>
      </c>
      <c r="D9" s="147">
        <v>0</v>
      </c>
      <c r="E9" s="147"/>
      <c r="F9" s="147"/>
      <c r="G9" s="147"/>
      <c r="H9" s="147"/>
      <c r="I9" s="158"/>
      <c r="J9" s="156"/>
      <c r="K9" s="147"/>
      <c r="L9" s="147">
        <v>10</v>
      </c>
      <c r="M9" s="160"/>
      <c r="N9" s="3">
        <v>2</v>
      </c>
      <c r="O9" s="15">
        <v>1</v>
      </c>
      <c r="P9" s="15">
        <v>0</v>
      </c>
      <c r="Q9" s="159"/>
      <c r="R9" s="159"/>
      <c r="S9" s="159"/>
      <c r="T9" s="159"/>
      <c r="U9" s="159"/>
      <c r="V9" s="15"/>
      <c r="W9" s="15"/>
      <c r="X9" s="15"/>
    </row>
    <row r="10" spans="1:24" ht="25.5" customHeight="1">
      <c r="A10" s="144"/>
      <c r="B10" s="146" t="s">
        <v>131</v>
      </c>
      <c r="C10" s="157"/>
      <c r="D10" s="147"/>
      <c r="E10" s="147">
        <v>0</v>
      </c>
      <c r="F10" s="147">
        <v>1</v>
      </c>
      <c r="G10" s="147">
        <v>0</v>
      </c>
      <c r="H10" s="147">
        <v>0</v>
      </c>
      <c r="I10" s="158">
        <v>0</v>
      </c>
      <c r="J10" s="156"/>
      <c r="K10" s="147"/>
      <c r="L10" s="147">
        <v>8</v>
      </c>
      <c r="M10" s="160"/>
      <c r="N10" s="3">
        <v>5</v>
      </c>
      <c r="O10" s="159"/>
      <c r="P10" s="159"/>
      <c r="Q10" s="15">
        <v>0</v>
      </c>
      <c r="R10" s="15">
        <v>0.75</v>
      </c>
      <c r="S10" s="15">
        <v>1</v>
      </c>
      <c r="T10" s="15">
        <v>0.75</v>
      </c>
      <c r="U10" s="15">
        <v>0</v>
      </c>
      <c r="V10" s="15"/>
      <c r="W10" s="15"/>
      <c r="X10" s="15"/>
    </row>
    <row r="11" spans="1:24" ht="25.5" customHeight="1">
      <c r="A11" s="144"/>
      <c r="B11" s="146" t="s">
        <v>160</v>
      </c>
      <c r="C11" s="157">
        <v>1</v>
      </c>
      <c r="D11" s="147">
        <v>0</v>
      </c>
      <c r="E11" s="147"/>
      <c r="F11" s="147"/>
      <c r="G11" s="147"/>
      <c r="H11" s="147"/>
      <c r="I11" s="158"/>
      <c r="J11" s="156"/>
      <c r="K11" s="147"/>
      <c r="L11" s="147">
        <v>8</v>
      </c>
      <c r="M11" s="160"/>
      <c r="N11" s="3">
        <v>2</v>
      </c>
      <c r="O11" s="15">
        <v>1</v>
      </c>
      <c r="P11" s="15">
        <v>0</v>
      </c>
      <c r="Q11" s="159"/>
      <c r="R11" s="159"/>
      <c r="S11" s="159"/>
      <c r="T11" s="159"/>
      <c r="U11" s="159"/>
      <c r="V11" s="15"/>
      <c r="W11" s="15"/>
      <c r="X11" s="15"/>
    </row>
    <row r="12" spans="1:24" ht="25.5" customHeight="1">
      <c r="A12" s="144"/>
      <c r="B12" s="146" t="s">
        <v>132</v>
      </c>
      <c r="C12" s="157"/>
      <c r="D12" s="147"/>
      <c r="E12" s="147">
        <v>0</v>
      </c>
      <c r="F12" s="147">
        <v>0</v>
      </c>
      <c r="G12" s="147">
        <v>1</v>
      </c>
      <c r="H12" s="147">
        <v>0</v>
      </c>
      <c r="I12" s="158">
        <v>0</v>
      </c>
      <c r="J12" s="156"/>
      <c r="K12" s="147"/>
      <c r="L12" s="147">
        <v>7</v>
      </c>
      <c r="M12" s="160"/>
      <c r="N12" s="3">
        <v>5</v>
      </c>
      <c r="O12" s="159"/>
      <c r="P12" s="159"/>
      <c r="Q12" s="15">
        <v>0</v>
      </c>
      <c r="R12" s="15">
        <v>0.75</v>
      </c>
      <c r="S12" s="15">
        <v>1</v>
      </c>
      <c r="T12" s="15">
        <v>0.75</v>
      </c>
      <c r="U12" s="15">
        <v>0</v>
      </c>
      <c r="V12" s="15"/>
      <c r="W12" s="15"/>
      <c r="X12" s="15"/>
    </row>
    <row r="13" spans="1:24" ht="25.5" customHeight="1">
      <c r="A13" s="144"/>
      <c r="B13" s="146" t="s">
        <v>154</v>
      </c>
      <c r="C13" s="157">
        <v>1</v>
      </c>
      <c r="D13" s="147">
        <v>0</v>
      </c>
      <c r="E13" s="147"/>
      <c r="F13" s="147"/>
      <c r="G13" s="147"/>
      <c r="H13" s="147"/>
      <c r="I13" s="158"/>
      <c r="J13" s="156"/>
      <c r="K13" s="147"/>
      <c r="L13" s="147">
        <v>7</v>
      </c>
      <c r="M13" s="160"/>
      <c r="N13" s="3">
        <v>2</v>
      </c>
      <c r="O13" s="15">
        <v>1</v>
      </c>
      <c r="P13" s="15">
        <v>0</v>
      </c>
      <c r="Q13" s="159"/>
      <c r="R13" s="159"/>
      <c r="S13" s="159"/>
      <c r="T13" s="159"/>
      <c r="U13" s="159"/>
      <c r="V13" s="15"/>
      <c r="W13" s="15"/>
      <c r="X13" s="15"/>
    </row>
    <row r="14" spans="1:24" ht="25.5" customHeight="1">
      <c r="A14" s="144"/>
      <c r="B14" s="146" t="s">
        <v>176</v>
      </c>
      <c r="C14" s="157"/>
      <c r="D14" s="147"/>
      <c r="E14" s="147">
        <v>1</v>
      </c>
      <c r="F14" s="147">
        <v>0</v>
      </c>
      <c r="G14" s="147">
        <v>0</v>
      </c>
      <c r="H14" s="147">
        <v>0</v>
      </c>
      <c r="I14" s="158">
        <v>0</v>
      </c>
      <c r="J14" s="156"/>
      <c r="K14" s="147"/>
      <c r="L14" s="147">
        <v>10</v>
      </c>
      <c r="M14" s="160"/>
      <c r="N14" s="3">
        <v>5</v>
      </c>
      <c r="O14" s="159"/>
      <c r="P14" s="159"/>
      <c r="Q14" s="15">
        <v>0</v>
      </c>
      <c r="R14" s="15">
        <v>0.75</v>
      </c>
      <c r="S14" s="15">
        <v>1</v>
      </c>
      <c r="T14" s="15">
        <v>0.75</v>
      </c>
      <c r="U14" s="15">
        <v>0</v>
      </c>
      <c r="V14" s="15"/>
      <c r="W14" s="15"/>
      <c r="X14" s="15"/>
    </row>
    <row r="15" spans="1:24" ht="25.5" customHeight="1">
      <c r="A15" s="144"/>
      <c r="B15" s="146" t="s">
        <v>163</v>
      </c>
      <c r="C15" s="157">
        <v>0</v>
      </c>
      <c r="D15" s="147">
        <v>1</v>
      </c>
      <c r="E15" s="147"/>
      <c r="F15" s="147"/>
      <c r="G15" s="147"/>
      <c r="H15" s="147"/>
      <c r="I15" s="158"/>
      <c r="J15" s="156"/>
      <c r="K15" s="147"/>
      <c r="L15" s="147">
        <v>10</v>
      </c>
      <c r="M15" s="160"/>
      <c r="N15" s="3">
        <v>2</v>
      </c>
      <c r="O15" s="15">
        <v>1</v>
      </c>
      <c r="P15" s="15">
        <v>0</v>
      </c>
      <c r="Q15" s="159"/>
      <c r="R15" s="159"/>
      <c r="S15" s="159"/>
      <c r="T15" s="159"/>
      <c r="U15" s="159"/>
      <c r="V15" s="15"/>
      <c r="W15" s="15"/>
      <c r="X15" s="15"/>
    </row>
    <row r="16" spans="1:24" ht="25.5" customHeight="1">
      <c r="A16" s="144" t="s">
        <v>177</v>
      </c>
      <c r="B16" s="146" t="s">
        <v>177</v>
      </c>
      <c r="C16" s="157">
        <v>1</v>
      </c>
      <c r="D16" s="147">
        <v>0</v>
      </c>
      <c r="E16" s="147"/>
      <c r="F16" s="147"/>
      <c r="G16" s="147"/>
      <c r="H16" s="147"/>
      <c r="I16" s="158"/>
      <c r="J16" s="156"/>
      <c r="K16" s="147"/>
      <c r="L16" s="147">
        <v>8</v>
      </c>
      <c r="M16" s="160"/>
      <c r="N16" s="159">
        <v>2</v>
      </c>
      <c r="O16" s="15">
        <v>1</v>
      </c>
      <c r="P16" s="15">
        <v>0</v>
      </c>
      <c r="Q16" s="159"/>
      <c r="R16" s="159"/>
      <c r="S16" s="159"/>
      <c r="T16" s="159"/>
      <c r="U16" s="159"/>
      <c r="V16" s="15"/>
      <c r="W16" s="15"/>
      <c r="X16" s="15"/>
    </row>
    <row r="17" spans="1:24" ht="25.5" customHeight="1">
      <c r="A17" s="144"/>
      <c r="B17" s="146" t="s">
        <v>178</v>
      </c>
      <c r="C17" s="157"/>
      <c r="D17" s="147"/>
      <c r="E17" s="147">
        <v>0</v>
      </c>
      <c r="F17" s="147">
        <v>0</v>
      </c>
      <c r="G17" s="147">
        <v>1</v>
      </c>
      <c r="H17" s="147">
        <v>0</v>
      </c>
      <c r="I17" s="158">
        <v>0</v>
      </c>
      <c r="J17" s="156"/>
      <c r="K17" s="147"/>
      <c r="L17" s="147">
        <v>8</v>
      </c>
      <c r="M17" s="160"/>
      <c r="N17" s="159">
        <v>5</v>
      </c>
      <c r="O17" s="159"/>
      <c r="P17" s="159"/>
      <c r="Q17" s="15">
        <v>0</v>
      </c>
      <c r="R17" s="15">
        <v>0.75</v>
      </c>
      <c r="S17" s="15">
        <v>1</v>
      </c>
      <c r="T17" s="15">
        <v>0.75</v>
      </c>
      <c r="U17" s="15">
        <v>0</v>
      </c>
      <c r="V17" s="15"/>
      <c r="W17" s="15"/>
      <c r="X17" s="15"/>
    </row>
    <row r="18" spans="1:24" ht="25.5" customHeight="1">
      <c r="A18" s="144"/>
      <c r="B18" s="161" t="s">
        <v>184</v>
      </c>
      <c r="C18" s="157"/>
      <c r="D18" s="147"/>
      <c r="E18" s="147">
        <v>0</v>
      </c>
      <c r="F18" s="147">
        <v>0</v>
      </c>
      <c r="G18" s="147">
        <v>1</v>
      </c>
      <c r="H18" s="147">
        <v>0</v>
      </c>
      <c r="I18" s="158">
        <v>0</v>
      </c>
      <c r="J18" s="156"/>
      <c r="L18" s="147">
        <v>8</v>
      </c>
      <c r="N18" s="159">
        <v>5</v>
      </c>
      <c r="O18" s="159"/>
      <c r="P18" s="159"/>
      <c r="Q18" s="15">
        <v>0</v>
      </c>
      <c r="R18" s="15">
        <v>0.75</v>
      </c>
      <c r="S18" s="15">
        <v>1</v>
      </c>
      <c r="T18" s="15">
        <v>0.75</v>
      </c>
      <c r="U18" s="15">
        <v>0</v>
      </c>
      <c r="V18" s="162"/>
      <c r="W18" s="162"/>
      <c r="X18" s="15"/>
    </row>
    <row r="19" spans="1:24" ht="25.5" customHeight="1">
      <c r="A19" s="163" t="s">
        <v>179</v>
      </c>
      <c r="B19" s="146" t="s">
        <v>136</v>
      </c>
      <c r="C19" s="157"/>
      <c r="D19" s="147"/>
      <c r="E19" s="147"/>
      <c r="F19" s="147">
        <v>0</v>
      </c>
      <c r="G19" s="147">
        <v>0</v>
      </c>
      <c r="H19" s="147">
        <v>1</v>
      </c>
      <c r="I19" s="158">
        <v>0</v>
      </c>
      <c r="J19" s="156"/>
      <c r="K19" s="147"/>
      <c r="L19" s="147">
        <v>10</v>
      </c>
      <c r="M19" s="160"/>
      <c r="N19" s="159">
        <v>4</v>
      </c>
      <c r="O19" s="159"/>
      <c r="P19" s="162"/>
      <c r="Q19" s="162"/>
      <c r="R19" s="15">
        <v>0.6</v>
      </c>
      <c r="S19" s="15">
        <v>1</v>
      </c>
      <c r="T19" s="15">
        <v>0.3</v>
      </c>
      <c r="U19" s="15">
        <v>0</v>
      </c>
      <c r="V19" s="15"/>
      <c r="W19" s="162"/>
      <c r="X19" s="15"/>
    </row>
    <row r="20" spans="1:24" ht="25.5" customHeight="1">
      <c r="A20" s="163" t="s">
        <v>180</v>
      </c>
      <c r="B20" s="146" t="s">
        <v>137</v>
      </c>
      <c r="C20" s="157"/>
      <c r="D20" s="147"/>
      <c r="E20" s="147"/>
      <c r="F20" s="147">
        <v>0</v>
      </c>
      <c r="G20" s="147">
        <v>1</v>
      </c>
      <c r="H20" s="147">
        <v>0</v>
      </c>
      <c r="I20" s="158">
        <v>0</v>
      </c>
      <c r="J20" s="156"/>
      <c r="K20" s="147"/>
      <c r="L20" s="147">
        <v>5</v>
      </c>
      <c r="M20" s="160"/>
      <c r="N20" s="159">
        <v>4</v>
      </c>
      <c r="O20" s="159"/>
      <c r="P20" s="159"/>
      <c r="Q20" s="162"/>
      <c r="R20" s="15">
        <v>0.6</v>
      </c>
      <c r="S20" s="15">
        <v>1</v>
      </c>
      <c r="T20" s="15">
        <v>0.3</v>
      </c>
      <c r="U20" s="15">
        <v>0</v>
      </c>
      <c r="V20" s="15"/>
      <c r="W20" s="162"/>
      <c r="X20" s="15"/>
    </row>
    <row r="21" spans="1:24" ht="15.75" thickBot="1">
      <c r="A21" s="164"/>
      <c r="B21" s="146" t="s">
        <v>138</v>
      </c>
      <c r="C21" s="165"/>
      <c r="D21" s="166"/>
      <c r="E21" s="166"/>
      <c r="F21" s="166">
        <v>0</v>
      </c>
      <c r="G21" s="166">
        <v>1</v>
      </c>
      <c r="H21" s="166">
        <v>0</v>
      </c>
      <c r="I21" s="167">
        <v>0</v>
      </c>
      <c r="J21" s="156"/>
      <c r="K21" s="147"/>
      <c r="L21" s="147">
        <v>5</v>
      </c>
      <c r="M21" s="160"/>
      <c r="N21" s="159">
        <v>4</v>
      </c>
      <c r="O21" s="159"/>
      <c r="P21" s="159"/>
      <c r="Q21" s="162"/>
      <c r="R21" s="15">
        <v>0.6</v>
      </c>
      <c r="S21" s="15">
        <v>1</v>
      </c>
      <c r="T21" s="15">
        <v>0.3</v>
      </c>
      <c r="U21" s="15">
        <v>0</v>
      </c>
      <c r="V21" s="15"/>
      <c r="W21" s="15"/>
      <c r="X21" s="15"/>
    </row>
    <row r="22" spans="1:24">
      <c r="B22" s="159"/>
      <c r="C22" s="159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"/>
      <c r="T22" s="15"/>
      <c r="U22" s="15"/>
      <c r="V22" s="15"/>
      <c r="W22" s="15"/>
      <c r="X22" s="15"/>
    </row>
    <row r="23" spans="1:24" s="168" customFormat="1">
      <c r="B23" s="148" t="s">
        <v>181</v>
      </c>
      <c r="C23" s="169"/>
      <c r="D23" s="169"/>
      <c r="E23" s="169"/>
      <c r="F23" s="169"/>
      <c r="G23" s="169" t="s">
        <v>140</v>
      </c>
      <c r="H23" s="149" t="s">
        <v>182</v>
      </c>
      <c r="I23" s="169"/>
      <c r="J23" s="169"/>
      <c r="K23" s="169"/>
      <c r="L23" s="169" t="str">
        <f>CONCATENATE(B23,G23,H23)</f>
        <v>0,0,1,0,0,1,0,0,0,1,0,0,1,0,0,0,1,0,0,1,0,0,1,0,0,0,1,0,0,1,0,0,0,1,0,0,0,1,0,0,1,0,1,0,0,0,0,0,1,1,0,0,0,1,0,0,0,0,1,0,0,0,0,1,0,0,1,0,0,0,1,0,0,10,10,5,5,2,2,10,10,8,8,7,7,10,10,8,8,8,10,5,5</v>
      </c>
      <c r="M23" s="169"/>
      <c r="N23" s="160" t="s">
        <v>185</v>
      </c>
      <c r="O23" s="169" t="s">
        <v>183</v>
      </c>
      <c r="P23" s="169"/>
      <c r="Q23" s="169"/>
      <c r="R23" s="169"/>
    </row>
    <row r="24" spans="1:24" ht="15.75" thickBot="1">
      <c r="B24" s="159"/>
      <c r="C24" s="159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</row>
    <row r="25" spans="1:24" ht="86.25" thickBot="1">
      <c r="A25" s="170" t="s">
        <v>186</v>
      </c>
      <c r="B25" s="171" t="s">
        <v>171</v>
      </c>
      <c r="C25" s="134" t="s">
        <v>157</v>
      </c>
      <c r="D25" s="134" t="s">
        <v>156</v>
      </c>
      <c r="E25" s="134" t="s">
        <v>121</v>
      </c>
      <c r="F25" s="134" t="s">
        <v>122</v>
      </c>
      <c r="G25" s="134" t="s">
        <v>123</v>
      </c>
      <c r="H25" s="134" t="s">
        <v>124</v>
      </c>
      <c r="I25" s="134" t="s">
        <v>125</v>
      </c>
      <c r="K25" s="159"/>
      <c r="L25" s="134" t="s">
        <v>172</v>
      </c>
      <c r="M25" s="159"/>
      <c r="N25" s="159"/>
      <c r="O25" s="159"/>
      <c r="P25" s="159"/>
      <c r="Q25" s="159"/>
      <c r="R25" s="159"/>
    </row>
    <row r="26" spans="1:24" ht="15.75" thickBot="1">
      <c r="A26" s="141" t="s">
        <v>173</v>
      </c>
      <c r="B26" s="151" t="s">
        <v>127</v>
      </c>
      <c r="C26" s="151"/>
      <c r="D26" s="151"/>
      <c r="E26" s="151">
        <v>0</v>
      </c>
      <c r="F26" s="151">
        <v>0</v>
      </c>
      <c r="G26" s="151">
        <v>0</v>
      </c>
      <c r="H26" s="151">
        <v>1</v>
      </c>
      <c r="I26" s="151">
        <v>0</v>
      </c>
      <c r="K26" s="159"/>
      <c r="L26" s="151">
        <v>10</v>
      </c>
      <c r="M26" s="159"/>
      <c r="N26" s="159"/>
      <c r="O26" s="159"/>
      <c r="P26" s="159"/>
      <c r="Q26" s="159"/>
      <c r="R26" s="159"/>
    </row>
    <row r="27" spans="1:24" ht="15.75" thickBot="1">
      <c r="A27" s="140"/>
      <c r="B27" s="151" t="s">
        <v>154</v>
      </c>
      <c r="C27" s="151">
        <v>1</v>
      </c>
      <c r="D27" s="151">
        <v>0</v>
      </c>
      <c r="E27" s="151"/>
      <c r="F27" s="151"/>
      <c r="G27" s="151"/>
      <c r="H27" s="151"/>
      <c r="I27" s="151"/>
      <c r="K27" s="159"/>
      <c r="L27" s="151">
        <v>10</v>
      </c>
      <c r="M27" s="159"/>
      <c r="N27" s="159"/>
      <c r="O27" s="159"/>
      <c r="P27" s="159"/>
      <c r="Q27" s="172"/>
      <c r="R27" s="159"/>
    </row>
    <row r="28" spans="1:24" ht="15.75" thickBot="1">
      <c r="A28" s="140"/>
      <c r="B28" s="151" t="s">
        <v>128</v>
      </c>
      <c r="C28" s="151"/>
      <c r="D28" s="151"/>
      <c r="E28" s="151">
        <v>0</v>
      </c>
      <c r="F28" s="151">
        <v>0</v>
      </c>
      <c r="G28" s="151">
        <v>1</v>
      </c>
      <c r="H28" s="151">
        <v>0</v>
      </c>
      <c r="I28" s="151">
        <v>0</v>
      </c>
      <c r="K28" s="172"/>
      <c r="L28" s="151">
        <v>6</v>
      </c>
      <c r="M28" s="159"/>
      <c r="N28" s="159"/>
      <c r="O28" s="159"/>
      <c r="P28" s="159"/>
      <c r="Q28" s="159"/>
      <c r="R28" s="159"/>
    </row>
    <row r="29" spans="1:24" ht="15.75" thickBot="1">
      <c r="A29" s="140"/>
      <c r="B29" s="151" t="s">
        <v>155</v>
      </c>
      <c r="C29" s="151">
        <v>1</v>
      </c>
      <c r="D29" s="151">
        <v>0</v>
      </c>
      <c r="E29" s="151"/>
      <c r="F29" s="151"/>
      <c r="G29" s="151"/>
      <c r="H29" s="151"/>
      <c r="I29" s="151"/>
      <c r="K29" s="172"/>
      <c r="L29" s="151">
        <v>6</v>
      </c>
      <c r="M29" s="159"/>
      <c r="N29" s="159"/>
      <c r="O29" s="159"/>
      <c r="P29" s="159"/>
      <c r="Q29" s="172"/>
      <c r="R29" s="159"/>
    </row>
    <row r="30" spans="1:24" ht="15.75" thickBot="1">
      <c r="A30" s="140"/>
      <c r="B30" s="151" t="s">
        <v>174</v>
      </c>
      <c r="C30" s="151"/>
      <c r="D30" s="151"/>
      <c r="E30" s="151">
        <v>0</v>
      </c>
      <c r="F30" s="151">
        <v>1</v>
      </c>
      <c r="G30" s="151">
        <v>0</v>
      </c>
      <c r="H30" s="151">
        <v>0</v>
      </c>
      <c r="I30" s="151">
        <v>0</v>
      </c>
      <c r="K30" s="172"/>
      <c r="L30" s="151">
        <v>2</v>
      </c>
      <c r="M30" s="159"/>
      <c r="N30" s="159"/>
      <c r="O30" s="159"/>
      <c r="P30" s="159"/>
      <c r="Q30" s="172"/>
      <c r="R30" s="159"/>
    </row>
    <row r="31" spans="1:24" ht="15.75" thickBot="1">
      <c r="A31" s="142"/>
      <c r="B31" s="151" t="s">
        <v>158</v>
      </c>
      <c r="C31" s="151">
        <v>1</v>
      </c>
      <c r="D31" s="151">
        <v>0</v>
      </c>
      <c r="E31" s="151"/>
      <c r="F31" s="151"/>
      <c r="G31" s="151"/>
      <c r="H31" s="151"/>
      <c r="I31" s="151"/>
      <c r="K31" s="172"/>
      <c r="L31" s="151">
        <v>2</v>
      </c>
      <c r="M31" s="159"/>
      <c r="N31" s="159"/>
      <c r="O31" s="159"/>
      <c r="P31" s="159"/>
      <c r="Q31" s="172"/>
      <c r="R31" s="159"/>
    </row>
    <row r="32" spans="1:24" ht="15.75" thickBot="1">
      <c r="A32" s="141" t="s">
        <v>175</v>
      </c>
      <c r="B32" s="151" t="s">
        <v>130</v>
      </c>
      <c r="C32" s="151"/>
      <c r="D32" s="151"/>
      <c r="E32" s="151">
        <v>0</v>
      </c>
      <c r="F32" s="151">
        <v>0</v>
      </c>
      <c r="G32" s="151">
        <v>1</v>
      </c>
      <c r="H32" s="151">
        <v>0</v>
      </c>
      <c r="I32" s="151">
        <v>0</v>
      </c>
      <c r="K32" s="172"/>
      <c r="L32" s="151">
        <v>8</v>
      </c>
      <c r="M32" s="159"/>
      <c r="N32" s="159"/>
      <c r="O32" s="159"/>
      <c r="P32" s="159"/>
      <c r="Q32" s="172"/>
      <c r="R32" s="159"/>
    </row>
    <row r="33" spans="1:18" ht="15.75" thickBot="1">
      <c r="A33" s="140"/>
      <c r="B33" s="151" t="s">
        <v>159</v>
      </c>
      <c r="C33" s="151">
        <v>1</v>
      </c>
      <c r="D33" s="151">
        <v>0</v>
      </c>
      <c r="E33" s="151"/>
      <c r="F33" s="151"/>
      <c r="G33" s="151"/>
      <c r="H33" s="151"/>
      <c r="I33" s="151"/>
      <c r="K33" s="172"/>
      <c r="L33" s="151">
        <v>8</v>
      </c>
      <c r="M33" s="159"/>
      <c r="N33" s="159"/>
      <c r="O33" s="159"/>
      <c r="P33" s="159"/>
      <c r="Q33" s="172"/>
      <c r="R33" s="159"/>
    </row>
    <row r="34" spans="1:18" ht="15.75" thickBot="1">
      <c r="A34" s="140"/>
      <c r="B34" s="151" t="s">
        <v>131</v>
      </c>
      <c r="C34" s="151"/>
      <c r="D34" s="151"/>
      <c r="E34" s="151">
        <v>0</v>
      </c>
      <c r="F34" s="151">
        <v>0</v>
      </c>
      <c r="G34" s="151">
        <v>1</v>
      </c>
      <c r="H34" s="151">
        <v>0</v>
      </c>
      <c r="I34" s="151">
        <v>0</v>
      </c>
      <c r="K34" s="172"/>
      <c r="L34" s="151">
        <v>8</v>
      </c>
      <c r="M34" s="159"/>
      <c r="N34" s="159"/>
      <c r="O34" s="159"/>
      <c r="P34" s="159"/>
      <c r="Q34" s="172"/>
      <c r="R34" s="159"/>
    </row>
    <row r="35" spans="1:18" ht="15.75" thickBot="1">
      <c r="A35" s="140"/>
      <c r="B35" s="151" t="s">
        <v>160</v>
      </c>
      <c r="C35" s="151">
        <v>1</v>
      </c>
      <c r="D35" s="151">
        <v>0</v>
      </c>
      <c r="E35" s="151"/>
      <c r="F35" s="151"/>
      <c r="G35" s="151"/>
      <c r="H35" s="151"/>
      <c r="I35" s="151"/>
      <c r="K35" s="172"/>
      <c r="L35" s="151">
        <v>8</v>
      </c>
      <c r="M35" s="159"/>
      <c r="N35" s="159"/>
      <c r="O35" s="159"/>
      <c r="P35" s="159"/>
      <c r="Q35" s="172"/>
      <c r="R35" s="159"/>
    </row>
    <row r="36" spans="1:18" ht="15.75" thickBot="1">
      <c r="A36" s="140"/>
      <c r="B36" s="151" t="s">
        <v>132</v>
      </c>
      <c r="C36" s="151"/>
      <c r="D36" s="151"/>
      <c r="E36" s="151">
        <v>0</v>
      </c>
      <c r="F36" s="151">
        <v>0</v>
      </c>
      <c r="G36" s="151">
        <v>0</v>
      </c>
      <c r="H36" s="151">
        <v>1</v>
      </c>
      <c r="I36" s="151">
        <v>0</v>
      </c>
      <c r="K36" s="172"/>
      <c r="L36" s="151">
        <v>8</v>
      </c>
      <c r="M36" s="159"/>
      <c r="N36" s="159"/>
      <c r="O36" s="159"/>
      <c r="P36" s="159"/>
      <c r="Q36" s="172"/>
      <c r="R36" s="159"/>
    </row>
    <row r="37" spans="1:18" ht="15.75" thickBot="1">
      <c r="A37" s="140"/>
      <c r="B37" s="151" t="s">
        <v>154</v>
      </c>
      <c r="C37" s="151">
        <v>1</v>
      </c>
      <c r="D37" s="151">
        <v>0</v>
      </c>
      <c r="E37" s="151"/>
      <c r="F37" s="151"/>
      <c r="G37" s="151"/>
      <c r="H37" s="151"/>
      <c r="I37" s="151"/>
      <c r="K37" s="172"/>
      <c r="L37" s="151">
        <v>8</v>
      </c>
      <c r="M37" s="159"/>
      <c r="N37" s="159"/>
      <c r="O37" s="159"/>
      <c r="P37" s="159"/>
      <c r="Q37" s="172"/>
      <c r="R37" s="159"/>
    </row>
    <row r="38" spans="1:18" ht="15.75" thickBot="1">
      <c r="A38" s="140"/>
      <c r="B38" s="151" t="s">
        <v>176</v>
      </c>
      <c r="C38" s="151"/>
      <c r="D38" s="151"/>
      <c r="E38" s="151">
        <v>0</v>
      </c>
      <c r="F38" s="151">
        <v>0</v>
      </c>
      <c r="G38" s="151">
        <v>1</v>
      </c>
      <c r="H38" s="151">
        <v>0</v>
      </c>
      <c r="I38" s="151">
        <v>0</v>
      </c>
      <c r="K38" s="172"/>
      <c r="L38" s="151">
        <v>8</v>
      </c>
      <c r="M38" s="159"/>
      <c r="N38" s="159"/>
      <c r="O38" s="159"/>
      <c r="P38" s="159"/>
      <c r="Q38" s="172"/>
      <c r="R38" s="159"/>
    </row>
    <row r="39" spans="1:18" ht="15.75" thickBot="1">
      <c r="A39" s="142"/>
      <c r="B39" s="151" t="s">
        <v>163</v>
      </c>
      <c r="C39" s="151">
        <v>1</v>
      </c>
      <c r="D39" s="151">
        <v>0</v>
      </c>
      <c r="E39" s="151"/>
      <c r="F39" s="151"/>
      <c r="G39" s="151"/>
      <c r="H39" s="151"/>
      <c r="I39" s="151"/>
      <c r="K39" s="172"/>
      <c r="L39" s="151">
        <v>8</v>
      </c>
      <c r="M39" s="159"/>
      <c r="N39" s="159"/>
      <c r="O39" s="159"/>
      <c r="P39" s="159"/>
      <c r="Q39" s="172"/>
      <c r="R39" s="159"/>
    </row>
    <row r="40" spans="1:18" ht="15.75" thickBot="1">
      <c r="A40" s="141" t="s">
        <v>177</v>
      </c>
      <c r="B40" s="151" t="s">
        <v>177</v>
      </c>
      <c r="C40" s="151">
        <v>1</v>
      </c>
      <c r="D40" s="151">
        <v>0</v>
      </c>
      <c r="E40" s="151"/>
      <c r="F40" s="151"/>
      <c r="G40" s="151"/>
      <c r="H40" s="151"/>
      <c r="I40" s="151"/>
      <c r="K40" s="172"/>
      <c r="L40" s="151">
        <v>8</v>
      </c>
      <c r="M40" s="159"/>
      <c r="N40" s="159"/>
      <c r="O40" s="159"/>
      <c r="P40" s="159"/>
      <c r="Q40" s="172"/>
      <c r="R40" s="159"/>
    </row>
    <row r="41" spans="1:18" ht="15.75" thickBot="1">
      <c r="A41" s="140"/>
      <c r="B41" s="151" t="s">
        <v>178</v>
      </c>
      <c r="C41" s="151"/>
      <c r="D41" s="151"/>
      <c r="E41" s="151">
        <v>0</v>
      </c>
      <c r="F41" s="151">
        <v>0</v>
      </c>
      <c r="G41" s="151">
        <v>1</v>
      </c>
      <c r="H41" s="151">
        <v>0</v>
      </c>
      <c r="I41" s="151">
        <v>0</v>
      </c>
      <c r="K41" s="159"/>
      <c r="L41" s="151">
        <v>8</v>
      </c>
      <c r="M41" s="159"/>
      <c r="N41" s="159"/>
      <c r="O41" s="159"/>
      <c r="P41" s="159"/>
      <c r="Q41" s="159"/>
      <c r="R41" s="159"/>
    </row>
    <row r="42" spans="1:18" ht="15.75" thickBot="1">
      <c r="A42" s="142"/>
      <c r="C42" s="151"/>
      <c r="D42" s="151"/>
      <c r="E42" s="151">
        <v>0</v>
      </c>
      <c r="F42" s="151">
        <v>0</v>
      </c>
      <c r="G42" s="151">
        <v>1</v>
      </c>
      <c r="H42" s="151">
        <v>0</v>
      </c>
      <c r="I42" s="151">
        <v>0</v>
      </c>
      <c r="K42" s="3"/>
      <c r="L42" s="151">
        <v>8</v>
      </c>
      <c r="M42" s="159"/>
      <c r="N42" s="159"/>
      <c r="O42" s="159"/>
      <c r="P42" s="159"/>
      <c r="Q42" s="159"/>
      <c r="R42" s="159"/>
    </row>
    <row r="43" spans="1:18" ht="50.25" thickBot="1">
      <c r="A43" s="135" t="s">
        <v>179</v>
      </c>
      <c r="B43" s="151" t="s">
        <v>136</v>
      </c>
      <c r="C43" s="151"/>
      <c r="D43" s="151"/>
      <c r="E43" s="151"/>
      <c r="F43" s="151">
        <v>0</v>
      </c>
      <c r="G43" s="151">
        <v>0</v>
      </c>
      <c r="H43" s="151">
        <v>1</v>
      </c>
      <c r="I43" s="151">
        <v>0</v>
      </c>
      <c r="K43" s="159"/>
      <c r="L43" s="151">
        <v>10</v>
      </c>
      <c r="M43" s="159"/>
      <c r="N43" s="159"/>
      <c r="O43" s="159"/>
      <c r="P43" s="159"/>
      <c r="Q43" s="159"/>
      <c r="R43" s="159"/>
    </row>
    <row r="44" spans="1:18" ht="43.5" thickBot="1">
      <c r="A44" s="135" t="s">
        <v>180</v>
      </c>
      <c r="B44" s="151" t="s">
        <v>137</v>
      </c>
      <c r="C44" s="151"/>
      <c r="D44" s="151"/>
      <c r="E44" s="151"/>
      <c r="F44" s="151">
        <v>0</v>
      </c>
      <c r="G44" s="151">
        <v>1</v>
      </c>
      <c r="H44" s="151">
        <v>0</v>
      </c>
      <c r="I44" s="151">
        <v>0</v>
      </c>
      <c r="K44" s="159"/>
      <c r="L44" s="151">
        <v>1</v>
      </c>
      <c r="M44" s="159"/>
      <c r="N44" s="159"/>
      <c r="O44" s="159"/>
      <c r="P44" s="159"/>
      <c r="Q44" s="159"/>
      <c r="R44" s="159"/>
    </row>
    <row r="45" spans="1:18" ht="15.75" thickBot="1">
      <c r="A45" s="173"/>
      <c r="B45" s="151" t="s">
        <v>138</v>
      </c>
      <c r="C45" s="151"/>
      <c r="D45" s="151"/>
      <c r="E45" s="151"/>
      <c r="F45" s="151">
        <v>0</v>
      </c>
      <c r="G45" s="151">
        <v>1</v>
      </c>
      <c r="H45" s="151">
        <v>0</v>
      </c>
      <c r="I45" s="151">
        <v>0</v>
      </c>
      <c r="K45" s="159"/>
      <c r="L45" s="151">
        <v>1</v>
      </c>
      <c r="M45" s="159"/>
      <c r="N45" s="159"/>
      <c r="O45" s="159"/>
      <c r="P45" s="159"/>
      <c r="Q45" s="159"/>
      <c r="R45" s="159"/>
    </row>
    <row r="46" spans="1:18">
      <c r="B46" s="159"/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59"/>
      <c r="Q46" s="159"/>
      <c r="R46" s="159"/>
    </row>
    <row r="47" spans="1:18">
      <c r="B47" s="159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59"/>
      <c r="R47" s="159"/>
    </row>
    <row r="48" spans="1:18" ht="15.75" thickBot="1">
      <c r="B48" s="151" t="s">
        <v>188</v>
      </c>
      <c r="C48" s="159"/>
      <c r="D48" s="159"/>
      <c r="E48" s="159"/>
      <c r="F48" s="159"/>
      <c r="G48" s="169" t="s">
        <v>140</v>
      </c>
      <c r="H48" s="159" t="s">
        <v>189</v>
      </c>
      <c r="I48" s="159"/>
      <c r="J48" s="159"/>
      <c r="K48" s="159"/>
      <c r="L48" s="169" t="str">
        <f>CONCATENATE(B48,G48,H48)</f>
        <v>0,0,0,1,0,1,0,0,0,1,0,0,1,0,0,1,0,0,0,1,0,0,0,1,0,0,1,0,0,0,1,0,0,1,0,0,0,0,1,0,1,0,0,0,1,0,0,1,0,1,0,0,0,1,0,0,0,0,1,0,0,0,0,1,0,0,1,0,0,0,1,0,0,10,10,6,6,2,2,8,8,8,8,8,8,8,8,8,8,8,10,1,1</v>
      </c>
      <c r="M48" s="159"/>
      <c r="N48" s="159"/>
      <c r="O48" s="159"/>
      <c r="P48" s="159"/>
      <c r="Q48" s="159"/>
      <c r="R48" s="159"/>
    </row>
    <row r="49" spans="1:18">
      <c r="B49" s="174"/>
      <c r="C49" s="174"/>
      <c r="D49" s="159"/>
      <c r="E49" s="175"/>
      <c r="F49" s="172"/>
      <c r="G49" s="172"/>
      <c r="H49" s="172"/>
      <c r="I49" s="172"/>
      <c r="J49" s="172"/>
      <c r="K49" s="172"/>
      <c r="L49" s="159"/>
      <c r="M49" s="159"/>
      <c r="N49" s="159"/>
      <c r="O49" s="159"/>
      <c r="P49" s="159"/>
      <c r="Q49" s="172"/>
      <c r="R49" s="159"/>
    </row>
    <row r="50" spans="1:18" ht="15.75" thickBot="1">
      <c r="B50" s="174"/>
      <c r="C50" s="174"/>
      <c r="D50" s="172"/>
      <c r="E50" s="159"/>
      <c r="F50" s="172"/>
      <c r="G50" s="172"/>
      <c r="H50" s="172"/>
      <c r="I50" s="172"/>
      <c r="J50" s="172"/>
      <c r="K50" s="172"/>
      <c r="L50" s="159"/>
      <c r="M50" s="159"/>
      <c r="N50" s="159"/>
      <c r="O50" s="159"/>
      <c r="P50" s="159"/>
      <c r="Q50" s="172"/>
      <c r="R50" s="159"/>
    </row>
    <row r="51" spans="1:18" ht="86.25" thickBot="1">
      <c r="A51" s="131" t="s">
        <v>190</v>
      </c>
      <c r="B51" s="132" t="s">
        <v>171</v>
      </c>
      <c r="C51" s="133" t="s">
        <v>157</v>
      </c>
      <c r="D51" s="134" t="s">
        <v>156</v>
      </c>
      <c r="E51" s="134" t="s">
        <v>121</v>
      </c>
      <c r="F51" s="133" t="s">
        <v>122</v>
      </c>
      <c r="G51" s="133" t="s">
        <v>123</v>
      </c>
      <c r="H51" s="133" t="s">
        <v>124</v>
      </c>
      <c r="I51" s="133" t="s">
        <v>125</v>
      </c>
      <c r="K51" s="172"/>
      <c r="L51" s="133" t="s">
        <v>172</v>
      </c>
      <c r="M51" s="159"/>
      <c r="N51" s="159"/>
      <c r="O51" s="159"/>
      <c r="P51" s="159"/>
      <c r="Q51" s="172"/>
      <c r="R51" s="159"/>
    </row>
    <row r="52" spans="1:18" ht="15.75" thickBot="1">
      <c r="A52" s="141" t="s">
        <v>173</v>
      </c>
      <c r="B52" s="136" t="s">
        <v>127</v>
      </c>
      <c r="C52" s="136"/>
      <c r="D52" s="136"/>
      <c r="E52" s="137">
        <v>0</v>
      </c>
      <c r="F52" s="136">
        <v>0</v>
      </c>
      <c r="G52" s="136">
        <v>0</v>
      </c>
      <c r="H52" s="136">
        <v>1</v>
      </c>
      <c r="I52" s="136">
        <v>0</v>
      </c>
      <c r="K52" s="172"/>
      <c r="L52" s="136">
        <v>10</v>
      </c>
      <c r="M52" s="159"/>
      <c r="N52" s="159"/>
      <c r="O52" s="159"/>
      <c r="P52" s="159"/>
      <c r="Q52" s="172"/>
      <c r="R52" s="159"/>
    </row>
    <row r="53" spans="1:18" ht="15.75" thickBot="1">
      <c r="A53" s="140"/>
      <c r="B53" s="136" t="s">
        <v>154</v>
      </c>
      <c r="C53" s="136">
        <v>1</v>
      </c>
      <c r="D53" s="136">
        <v>0</v>
      </c>
      <c r="E53" s="137"/>
      <c r="F53" s="136"/>
      <c r="G53" s="136"/>
      <c r="H53" s="136"/>
      <c r="I53" s="136"/>
      <c r="K53" s="172"/>
      <c r="L53" s="136">
        <v>10</v>
      </c>
      <c r="M53" s="159"/>
      <c r="N53" s="159"/>
      <c r="O53" s="159"/>
      <c r="P53" s="159"/>
      <c r="Q53" s="172"/>
      <c r="R53" s="159"/>
    </row>
    <row r="54" spans="1:18" ht="15.75" thickBot="1">
      <c r="A54" s="140"/>
      <c r="B54" s="136" t="s">
        <v>128</v>
      </c>
      <c r="C54" s="136"/>
      <c r="D54" s="136"/>
      <c r="E54" s="137">
        <v>0</v>
      </c>
      <c r="F54" s="136">
        <v>1</v>
      </c>
      <c r="G54" s="136">
        <v>0</v>
      </c>
      <c r="H54" s="136">
        <v>0</v>
      </c>
      <c r="I54" s="136">
        <v>0</v>
      </c>
      <c r="K54" s="172"/>
      <c r="L54" s="136">
        <v>5</v>
      </c>
      <c r="M54" s="159"/>
      <c r="N54" s="159"/>
      <c r="O54" s="159"/>
      <c r="P54" s="159"/>
      <c r="Q54" s="172"/>
      <c r="R54" s="159"/>
    </row>
    <row r="55" spans="1:18" ht="15.75" thickBot="1">
      <c r="A55" s="140"/>
      <c r="B55" s="136" t="s">
        <v>155</v>
      </c>
      <c r="C55" s="136">
        <v>1</v>
      </c>
      <c r="D55" s="136">
        <v>0</v>
      </c>
      <c r="E55" s="137"/>
      <c r="F55" s="136"/>
      <c r="G55" s="136"/>
      <c r="H55" s="136"/>
      <c r="I55" s="136"/>
      <c r="K55" s="172"/>
      <c r="L55" s="136">
        <v>5</v>
      </c>
      <c r="M55" s="159"/>
      <c r="N55" s="159"/>
      <c r="O55" s="159"/>
      <c r="P55" s="159"/>
      <c r="Q55" s="172"/>
      <c r="R55" s="159"/>
    </row>
    <row r="56" spans="1:18" ht="15.75" thickBot="1">
      <c r="A56" s="140"/>
      <c r="B56" s="136" t="s">
        <v>174</v>
      </c>
      <c r="C56" s="136"/>
      <c r="D56" s="136"/>
      <c r="E56" s="137">
        <v>0</v>
      </c>
      <c r="F56" s="136">
        <v>1</v>
      </c>
      <c r="G56" s="136">
        <v>0</v>
      </c>
      <c r="H56" s="136">
        <v>0</v>
      </c>
      <c r="I56" s="136">
        <v>0</v>
      </c>
      <c r="K56" s="172"/>
      <c r="L56" s="136">
        <v>2</v>
      </c>
      <c r="M56" s="159"/>
      <c r="N56" s="159"/>
      <c r="O56" s="159"/>
      <c r="P56" s="159"/>
      <c r="Q56" s="172"/>
      <c r="R56" s="159"/>
    </row>
    <row r="57" spans="1:18" ht="15.75" thickBot="1">
      <c r="A57" s="142"/>
      <c r="B57" s="136" t="s">
        <v>158</v>
      </c>
      <c r="C57" s="136">
        <v>1</v>
      </c>
      <c r="D57" s="136">
        <v>0</v>
      </c>
      <c r="E57" s="136"/>
      <c r="F57" s="136"/>
      <c r="G57" s="136"/>
      <c r="H57" s="136"/>
      <c r="I57" s="136"/>
      <c r="K57" s="172"/>
      <c r="L57" s="136">
        <v>2</v>
      </c>
      <c r="M57" s="159"/>
      <c r="N57" s="159"/>
      <c r="O57" s="159"/>
      <c r="P57" s="159"/>
      <c r="Q57" s="172"/>
      <c r="R57" s="159"/>
    </row>
    <row r="58" spans="1:18" ht="15.75" thickBot="1">
      <c r="A58" s="141" t="s">
        <v>175</v>
      </c>
      <c r="B58" s="136" t="s">
        <v>130</v>
      </c>
      <c r="C58" s="136"/>
      <c r="D58" s="136"/>
      <c r="E58" s="136">
        <v>0</v>
      </c>
      <c r="F58" s="136">
        <v>0</v>
      </c>
      <c r="G58" s="136">
        <v>1</v>
      </c>
      <c r="H58" s="136">
        <v>0</v>
      </c>
      <c r="I58" s="136">
        <v>0</v>
      </c>
      <c r="K58" s="172"/>
      <c r="L58" s="136">
        <v>8</v>
      </c>
      <c r="M58" s="159"/>
      <c r="N58" s="159"/>
      <c r="O58" s="159"/>
      <c r="P58" s="159"/>
      <c r="Q58" s="172"/>
      <c r="R58" s="159"/>
    </row>
    <row r="59" spans="1:18" ht="15.75" thickBot="1">
      <c r="A59" s="140"/>
      <c r="B59" s="136" t="s">
        <v>159</v>
      </c>
      <c r="C59" s="136">
        <v>1</v>
      </c>
      <c r="D59" s="136">
        <v>0</v>
      </c>
      <c r="E59" s="136"/>
      <c r="F59" s="136"/>
      <c r="G59" s="136"/>
      <c r="H59" s="136"/>
      <c r="I59" s="136"/>
      <c r="K59" s="172"/>
      <c r="L59" s="136">
        <v>8</v>
      </c>
      <c r="M59" s="159"/>
      <c r="N59" s="159"/>
      <c r="O59" s="159"/>
      <c r="P59" s="159"/>
      <c r="Q59" s="172"/>
      <c r="R59" s="159"/>
    </row>
    <row r="60" spans="1:18" ht="27" thickBot="1">
      <c r="A60" s="140"/>
      <c r="B60" s="136" t="s">
        <v>131</v>
      </c>
      <c r="C60" s="136"/>
      <c r="D60" s="136"/>
      <c r="E60" s="136">
        <v>0</v>
      </c>
      <c r="F60" s="136">
        <v>0</v>
      </c>
      <c r="G60" s="136">
        <v>1</v>
      </c>
      <c r="H60" s="136">
        <v>0</v>
      </c>
      <c r="I60" s="136">
        <v>0</v>
      </c>
      <c r="K60" s="172"/>
      <c r="L60" s="136">
        <v>8</v>
      </c>
      <c r="M60" s="159"/>
      <c r="N60" s="159"/>
      <c r="O60" s="159"/>
      <c r="P60" s="159"/>
      <c r="Q60" s="172"/>
      <c r="R60" s="159"/>
    </row>
    <row r="61" spans="1:18" ht="15.75" thickBot="1">
      <c r="A61" s="140"/>
      <c r="B61" s="136" t="s">
        <v>160</v>
      </c>
      <c r="C61" s="136">
        <v>1</v>
      </c>
      <c r="D61" s="136">
        <v>0</v>
      </c>
      <c r="E61" s="137"/>
      <c r="F61" s="137"/>
      <c r="G61" s="137"/>
      <c r="H61" s="137"/>
      <c r="I61" s="137"/>
      <c r="K61" s="172"/>
      <c r="L61" s="136">
        <v>8</v>
      </c>
      <c r="M61" s="159"/>
      <c r="N61" s="159"/>
      <c r="O61" s="159"/>
      <c r="P61" s="159"/>
      <c r="Q61" s="172"/>
      <c r="R61" s="159"/>
    </row>
    <row r="62" spans="1:18" ht="15.75" thickBot="1">
      <c r="A62" s="140"/>
      <c r="B62" s="136" t="s">
        <v>132</v>
      </c>
      <c r="C62" s="136"/>
      <c r="D62" s="136"/>
      <c r="E62" s="136">
        <v>0</v>
      </c>
      <c r="F62" s="136">
        <v>0</v>
      </c>
      <c r="G62" s="136">
        <v>1</v>
      </c>
      <c r="H62" s="136">
        <v>0</v>
      </c>
      <c r="I62" s="136">
        <v>0</v>
      </c>
      <c r="K62" s="159"/>
      <c r="L62" s="136">
        <v>8</v>
      </c>
      <c r="M62" s="159"/>
      <c r="N62" s="159"/>
      <c r="O62" s="159"/>
      <c r="P62" s="159"/>
      <c r="Q62" s="159"/>
      <c r="R62" s="159"/>
    </row>
    <row r="63" spans="1:18" ht="15.75" thickBot="1">
      <c r="A63" s="140"/>
      <c r="B63" s="136" t="s">
        <v>154</v>
      </c>
      <c r="C63" s="136">
        <v>1</v>
      </c>
      <c r="D63" s="136">
        <v>0</v>
      </c>
      <c r="E63" s="136"/>
      <c r="F63" s="136"/>
      <c r="G63" s="136"/>
      <c r="H63" s="136"/>
      <c r="I63" s="136"/>
      <c r="K63" s="159"/>
      <c r="L63" s="136">
        <v>8</v>
      </c>
      <c r="M63" s="159"/>
      <c r="N63" s="159"/>
      <c r="O63" s="159"/>
      <c r="P63" s="159"/>
      <c r="Q63" s="159"/>
      <c r="R63" s="159"/>
    </row>
    <row r="64" spans="1:18" ht="15.75" thickBot="1">
      <c r="A64" s="140"/>
      <c r="B64" s="136" t="s">
        <v>176</v>
      </c>
      <c r="C64" s="136"/>
      <c r="D64" s="136"/>
      <c r="E64" s="136">
        <v>0</v>
      </c>
      <c r="F64" s="136">
        <v>0</v>
      </c>
      <c r="G64" s="136">
        <v>1</v>
      </c>
      <c r="H64" s="136">
        <v>0</v>
      </c>
      <c r="I64" s="136">
        <v>0</v>
      </c>
      <c r="K64" s="159"/>
      <c r="L64" s="136">
        <v>8</v>
      </c>
      <c r="M64" s="159"/>
      <c r="N64" s="159"/>
      <c r="O64" s="159"/>
      <c r="P64" s="159"/>
      <c r="Q64" s="159"/>
      <c r="R64" s="159"/>
    </row>
    <row r="65" spans="1:18" ht="15.75" thickBot="1">
      <c r="A65" s="142"/>
      <c r="B65" s="136" t="s">
        <v>163</v>
      </c>
      <c r="C65" s="136">
        <v>1</v>
      </c>
      <c r="D65" s="136">
        <v>0</v>
      </c>
      <c r="E65" s="136"/>
      <c r="F65" s="136"/>
      <c r="G65" s="136"/>
      <c r="H65" s="136"/>
      <c r="I65" s="136"/>
      <c r="K65" s="159"/>
      <c r="L65" s="136">
        <v>8</v>
      </c>
      <c r="M65" s="159"/>
      <c r="N65" s="159"/>
      <c r="O65" s="159"/>
      <c r="P65" s="159"/>
      <c r="Q65" s="159"/>
      <c r="R65" s="159"/>
    </row>
    <row r="66" spans="1:18" ht="15.75" thickBot="1">
      <c r="A66" s="141" t="s">
        <v>177</v>
      </c>
      <c r="B66" s="136" t="s">
        <v>177</v>
      </c>
      <c r="C66" s="136">
        <v>0</v>
      </c>
      <c r="D66" s="136">
        <v>1</v>
      </c>
      <c r="E66" s="136"/>
      <c r="F66" s="136"/>
      <c r="G66" s="136"/>
      <c r="H66" s="136"/>
      <c r="I66" s="136"/>
      <c r="K66" s="159"/>
      <c r="L66" s="136">
        <v>10</v>
      </c>
      <c r="M66" s="159"/>
      <c r="N66" s="159"/>
      <c r="O66" s="159"/>
      <c r="P66" s="159"/>
      <c r="Q66" s="159"/>
      <c r="R66" s="159"/>
    </row>
    <row r="67" spans="1:18" ht="15.75" thickBot="1">
      <c r="A67" s="140"/>
      <c r="B67" s="136" t="s">
        <v>178</v>
      </c>
      <c r="C67" s="136"/>
      <c r="D67" s="136"/>
      <c r="E67" s="136">
        <v>0</v>
      </c>
      <c r="F67" s="136">
        <v>0</v>
      </c>
      <c r="G67" s="136">
        <v>1</v>
      </c>
      <c r="H67" s="136">
        <v>0</v>
      </c>
      <c r="I67" s="136">
        <v>0</v>
      </c>
      <c r="K67" s="159"/>
      <c r="L67" s="136">
        <v>10</v>
      </c>
      <c r="M67" s="159"/>
      <c r="N67" s="159"/>
      <c r="O67" s="159"/>
      <c r="P67" s="159"/>
      <c r="Q67" s="159"/>
      <c r="R67" s="159"/>
    </row>
    <row r="68" spans="1:18" ht="15.75" thickBot="1">
      <c r="A68" s="142"/>
      <c r="C68" s="136"/>
      <c r="D68" s="136"/>
      <c r="E68" s="136">
        <v>0</v>
      </c>
      <c r="F68" s="136">
        <v>0</v>
      </c>
      <c r="G68" s="136">
        <v>0</v>
      </c>
      <c r="H68" s="136">
        <v>0</v>
      </c>
      <c r="I68" s="136">
        <v>1</v>
      </c>
      <c r="L68" s="136">
        <v>10</v>
      </c>
      <c r="M68" s="159"/>
      <c r="N68" s="159"/>
      <c r="O68" s="159"/>
      <c r="P68" s="159"/>
      <c r="Q68" s="159"/>
      <c r="R68" s="159"/>
    </row>
    <row r="69" spans="1:18" ht="21.75" thickBot="1">
      <c r="A69" s="138" t="s">
        <v>179</v>
      </c>
      <c r="B69" s="136" t="s">
        <v>136</v>
      </c>
      <c r="C69" s="136"/>
      <c r="D69" s="137"/>
      <c r="E69" s="136"/>
      <c r="F69" s="136">
        <v>0</v>
      </c>
      <c r="G69" s="136">
        <v>0</v>
      </c>
      <c r="H69" s="136">
        <v>1</v>
      </c>
      <c r="I69" s="136">
        <v>0</v>
      </c>
      <c r="K69" s="159"/>
      <c r="L69" s="136">
        <v>10</v>
      </c>
      <c r="M69" s="159"/>
      <c r="N69" s="159"/>
      <c r="O69" s="159"/>
      <c r="P69" s="159"/>
      <c r="Q69" s="159"/>
      <c r="R69" s="159"/>
    </row>
    <row r="70" spans="1:18" ht="20.25" thickBot="1">
      <c r="A70" s="138" t="s">
        <v>180</v>
      </c>
      <c r="B70" s="136" t="s">
        <v>137</v>
      </c>
      <c r="C70" s="136"/>
      <c r="D70" s="137"/>
      <c r="E70" s="136"/>
      <c r="F70" s="136">
        <v>0</v>
      </c>
      <c r="G70" s="136">
        <v>1</v>
      </c>
      <c r="H70" s="136">
        <v>0</v>
      </c>
      <c r="I70" s="136">
        <v>0</v>
      </c>
      <c r="K70" s="172"/>
      <c r="L70" s="136">
        <v>10</v>
      </c>
      <c r="M70" s="159"/>
      <c r="N70" s="159"/>
      <c r="O70" s="159"/>
      <c r="P70" s="159"/>
      <c r="Q70" s="159"/>
      <c r="R70" s="159"/>
    </row>
    <row r="71" spans="1:18" ht="15.75" thickBot="1">
      <c r="A71" s="139"/>
      <c r="B71" s="136" t="s">
        <v>138</v>
      </c>
      <c r="C71" s="137"/>
      <c r="D71" s="137"/>
      <c r="E71" s="137"/>
      <c r="F71" s="136">
        <v>0</v>
      </c>
      <c r="G71" s="136">
        <v>1</v>
      </c>
      <c r="H71" s="136">
        <v>0</v>
      </c>
      <c r="I71" s="136">
        <v>0</v>
      </c>
      <c r="K71" s="172"/>
      <c r="L71" s="136">
        <v>10</v>
      </c>
      <c r="M71" s="159"/>
      <c r="N71" s="159"/>
      <c r="O71" s="159"/>
      <c r="P71" s="159"/>
      <c r="Q71" s="172"/>
      <c r="R71" s="159"/>
    </row>
    <row r="72" spans="1:18">
      <c r="B72" s="174"/>
      <c r="C72" s="174"/>
      <c r="D72" s="172"/>
      <c r="E72" s="159"/>
      <c r="F72" s="172"/>
      <c r="G72" s="172"/>
      <c r="H72" s="172"/>
      <c r="I72" s="172"/>
      <c r="J72" s="172"/>
      <c r="K72" s="172"/>
      <c r="L72" s="159"/>
      <c r="M72" s="159"/>
      <c r="N72" s="159"/>
      <c r="O72" s="159"/>
      <c r="P72" s="159"/>
      <c r="Q72" s="172"/>
      <c r="R72" s="159"/>
    </row>
    <row r="73" spans="1:18" ht="15.75" thickBot="1">
      <c r="B73" s="151" t="s">
        <v>191</v>
      </c>
      <c r="C73" s="174"/>
      <c r="D73" s="172"/>
      <c r="E73" s="159"/>
      <c r="F73" s="172"/>
      <c r="G73" s="169" t="s">
        <v>140</v>
      </c>
      <c r="H73" s="159" t="s">
        <v>192</v>
      </c>
      <c r="I73" s="172"/>
      <c r="J73" s="172"/>
      <c r="K73" s="172"/>
      <c r="L73" s="169" t="str">
        <f>CONCATENATE(B73,G73,H73)</f>
        <v>0,0,0,1,0,1,0,0,1,0,0,0,1,0,0,1,0,0,0,1,0,0,0,1,0,0,1,0,0,0,1,0,0,1,0,0,0,1,0,0,1,0,0,0,1,0,0,1,0,0,1,0,0,1,0,0,0,0,0,0,1,0,0,1,0,0,1,0,0,0,1,0,0,10,10,5,5,2,2,8,8,8,8,8,8,8,8,10,10,10,10,10,10</v>
      </c>
      <c r="M73" s="159"/>
      <c r="N73" s="159"/>
      <c r="O73" s="159"/>
      <c r="P73" s="159"/>
      <c r="Q73" s="172"/>
      <c r="R73" s="159"/>
    </row>
    <row r="74" spans="1:18">
      <c r="B74" s="174"/>
      <c r="C74" s="174"/>
      <c r="D74" s="172"/>
      <c r="E74" s="172"/>
      <c r="F74" s="172"/>
      <c r="G74" s="172"/>
      <c r="H74" s="172"/>
      <c r="I74" s="172"/>
      <c r="J74" s="172"/>
      <c r="K74" s="172"/>
      <c r="L74" s="159"/>
      <c r="M74" s="159"/>
      <c r="N74" s="159"/>
      <c r="O74" s="159"/>
      <c r="P74" s="159"/>
      <c r="Q74" s="172"/>
      <c r="R74" s="159"/>
    </row>
    <row r="75" spans="1:18">
      <c r="B75" s="174"/>
      <c r="C75" s="174"/>
      <c r="D75" s="172"/>
      <c r="E75" s="172"/>
      <c r="F75" s="172"/>
      <c r="G75" s="172"/>
      <c r="H75" s="172"/>
      <c r="I75" s="172"/>
      <c r="J75" s="172"/>
      <c r="K75" s="172"/>
      <c r="L75" s="159"/>
      <c r="M75" s="159"/>
      <c r="N75" s="159"/>
      <c r="O75" s="159"/>
      <c r="P75" s="159"/>
      <c r="Q75" s="172"/>
      <c r="R75" s="159"/>
    </row>
    <row r="76" spans="1:18">
      <c r="B76" s="174"/>
      <c r="C76" s="174"/>
      <c r="D76" s="172"/>
      <c r="E76" s="172"/>
      <c r="F76" s="172"/>
      <c r="G76" s="172"/>
      <c r="H76" s="172"/>
      <c r="I76" s="172"/>
      <c r="J76" s="172"/>
      <c r="K76" s="172"/>
      <c r="L76" s="159"/>
      <c r="M76" s="159"/>
      <c r="N76" s="159"/>
      <c r="O76" s="159"/>
      <c r="P76" s="159"/>
      <c r="Q76" s="172"/>
      <c r="R76" s="159"/>
    </row>
    <row r="77" spans="1:18">
      <c r="B77" s="174"/>
      <c r="C77" s="174"/>
      <c r="D77" s="172"/>
      <c r="E77" s="172"/>
      <c r="F77" s="172"/>
      <c r="G77" s="172"/>
      <c r="H77" s="172"/>
      <c r="I77" s="172"/>
      <c r="J77" s="172"/>
      <c r="K77" s="172"/>
      <c r="L77" s="159"/>
      <c r="M77" s="159"/>
      <c r="N77" s="159"/>
      <c r="O77" s="159"/>
      <c r="P77" s="159"/>
      <c r="Q77" s="172"/>
      <c r="R77" s="159"/>
    </row>
    <row r="78" spans="1:18" ht="15.75" thickBot="1">
      <c r="B78" s="174"/>
      <c r="C78" s="174"/>
      <c r="D78" s="172"/>
      <c r="E78" s="172"/>
      <c r="F78" s="172"/>
      <c r="G78" s="172"/>
      <c r="H78" s="172"/>
      <c r="I78" s="172"/>
      <c r="J78" s="172"/>
      <c r="K78" s="172"/>
      <c r="L78" s="159"/>
      <c r="M78" s="159"/>
      <c r="N78" s="159"/>
      <c r="O78" s="159"/>
      <c r="P78" s="159"/>
      <c r="Q78" s="172"/>
      <c r="R78" s="159"/>
    </row>
    <row r="79" spans="1:18" ht="86.25" thickBot="1">
      <c r="A79" s="131" t="s">
        <v>193</v>
      </c>
      <c r="B79" s="132" t="s">
        <v>194</v>
      </c>
      <c r="C79" s="133" t="s">
        <v>157</v>
      </c>
      <c r="D79" s="134" t="s">
        <v>156</v>
      </c>
      <c r="E79" s="134" t="s">
        <v>121</v>
      </c>
      <c r="F79" s="133" t="s">
        <v>122</v>
      </c>
      <c r="G79" s="133" t="s">
        <v>123</v>
      </c>
      <c r="H79" s="133" t="s">
        <v>124</v>
      </c>
      <c r="I79" s="133" t="s">
        <v>125</v>
      </c>
      <c r="K79" s="172"/>
      <c r="L79" s="133" t="s">
        <v>172</v>
      </c>
      <c r="M79" s="159"/>
      <c r="N79" s="159"/>
      <c r="O79" s="159"/>
      <c r="P79" s="159"/>
      <c r="Q79" s="172"/>
      <c r="R79" s="159"/>
    </row>
    <row r="80" spans="1:18" ht="15.75" thickBot="1">
      <c r="A80" s="141" t="s">
        <v>173</v>
      </c>
      <c r="B80" s="136" t="s">
        <v>127</v>
      </c>
      <c r="C80" s="136"/>
      <c r="D80" s="136"/>
      <c r="E80" s="137">
        <v>0</v>
      </c>
      <c r="F80" s="136">
        <v>0</v>
      </c>
      <c r="G80" s="136">
        <v>1</v>
      </c>
      <c r="H80" s="136">
        <v>0</v>
      </c>
      <c r="I80" s="136">
        <v>0</v>
      </c>
      <c r="K80" s="172"/>
      <c r="L80" s="136">
        <v>10</v>
      </c>
      <c r="N80" s="159"/>
      <c r="O80" s="159"/>
      <c r="P80" s="179">
        <v>1</v>
      </c>
      <c r="Q80" s="172"/>
      <c r="R80" s="159"/>
    </row>
    <row r="81" spans="1:18" ht="15.75" thickBot="1">
      <c r="A81" s="140"/>
      <c r="B81" s="136" t="s">
        <v>154</v>
      </c>
      <c r="C81" s="136">
        <v>1</v>
      </c>
      <c r="D81" s="136">
        <v>0</v>
      </c>
      <c r="E81" s="137"/>
      <c r="F81" s="136"/>
      <c r="G81" s="136"/>
      <c r="H81" s="136"/>
      <c r="I81" s="136"/>
      <c r="K81" s="172"/>
      <c r="L81" s="136">
        <v>10</v>
      </c>
      <c r="N81" s="159"/>
      <c r="O81" s="159"/>
      <c r="P81" s="179">
        <v>1</v>
      </c>
      <c r="Q81" s="172"/>
      <c r="R81" s="159"/>
    </row>
    <row r="82" spans="1:18" ht="15.75" thickBot="1">
      <c r="A82" s="140"/>
      <c r="B82" s="136" t="s">
        <v>128</v>
      </c>
      <c r="C82" s="136"/>
      <c r="D82" s="136"/>
      <c r="E82" s="137">
        <v>0</v>
      </c>
      <c r="F82" s="136">
        <v>0</v>
      </c>
      <c r="G82" s="136">
        <v>1</v>
      </c>
      <c r="H82" s="136">
        <v>0</v>
      </c>
      <c r="I82" s="136">
        <v>0</v>
      </c>
      <c r="K82" s="172"/>
      <c r="L82" s="136">
        <v>5</v>
      </c>
      <c r="N82" s="159"/>
      <c r="O82" s="159"/>
      <c r="P82" s="179">
        <v>1</v>
      </c>
      <c r="Q82" s="172"/>
      <c r="R82" s="159"/>
    </row>
    <row r="83" spans="1:18" ht="15.75" thickBot="1">
      <c r="A83" s="140"/>
      <c r="B83" s="136" t="s">
        <v>155</v>
      </c>
      <c r="C83" s="136">
        <v>1</v>
      </c>
      <c r="D83" s="136">
        <v>0</v>
      </c>
      <c r="E83" s="137"/>
      <c r="F83" s="136"/>
      <c r="G83" s="136"/>
      <c r="H83" s="136"/>
      <c r="I83" s="136"/>
      <c r="K83" s="159"/>
      <c r="L83" s="136">
        <v>5</v>
      </c>
      <c r="N83" s="159"/>
      <c r="O83" s="159"/>
      <c r="P83" s="179">
        <v>1</v>
      </c>
      <c r="Q83" s="159"/>
      <c r="R83" s="159"/>
    </row>
    <row r="84" spans="1:18" ht="15.75" thickBot="1">
      <c r="A84" s="140"/>
      <c r="B84" s="136" t="s">
        <v>174</v>
      </c>
      <c r="C84" s="136"/>
      <c r="D84" s="136"/>
      <c r="E84" s="137">
        <v>0</v>
      </c>
      <c r="F84" s="136">
        <v>0</v>
      </c>
      <c r="G84" s="136">
        <v>1</v>
      </c>
      <c r="H84" s="136">
        <v>0</v>
      </c>
      <c r="I84" s="136">
        <v>0</v>
      </c>
      <c r="K84" s="159"/>
      <c r="L84" s="136">
        <v>2</v>
      </c>
      <c r="N84" s="159"/>
      <c r="O84" s="159"/>
      <c r="P84" s="179">
        <v>1</v>
      </c>
      <c r="Q84" s="159"/>
      <c r="R84" s="159"/>
    </row>
    <row r="85" spans="1:18" ht="15.75" thickBot="1">
      <c r="A85" s="142"/>
      <c r="B85" s="136" t="s">
        <v>158</v>
      </c>
      <c r="C85" s="136">
        <v>1</v>
      </c>
      <c r="D85" s="136">
        <v>0</v>
      </c>
      <c r="E85" s="136"/>
      <c r="F85" s="136"/>
      <c r="G85" s="136"/>
      <c r="H85" s="136"/>
      <c r="I85" s="136"/>
      <c r="K85" s="159"/>
      <c r="L85" s="136">
        <v>2</v>
      </c>
      <c r="N85" s="159"/>
      <c r="O85" s="159"/>
      <c r="P85" s="179">
        <v>1</v>
      </c>
      <c r="Q85" s="159"/>
      <c r="R85" s="159"/>
    </row>
    <row r="86" spans="1:18" ht="15.75" thickBot="1">
      <c r="A86" s="141" t="s">
        <v>175</v>
      </c>
      <c r="B86" s="136" t="s">
        <v>130</v>
      </c>
      <c r="C86" s="136"/>
      <c r="D86" s="136"/>
      <c r="E86" s="136">
        <v>1</v>
      </c>
      <c r="F86" s="136">
        <v>0</v>
      </c>
      <c r="G86" s="136">
        <v>0</v>
      </c>
      <c r="H86" s="136">
        <v>0</v>
      </c>
      <c r="I86" s="136">
        <v>0</v>
      </c>
      <c r="K86" s="159"/>
      <c r="L86" s="136">
        <v>8</v>
      </c>
      <c r="N86" s="159"/>
      <c r="O86" s="159"/>
      <c r="P86" s="179">
        <v>1</v>
      </c>
      <c r="Q86" s="159"/>
      <c r="R86" s="159"/>
    </row>
    <row r="87" spans="1:18" ht="15.75" thickBot="1">
      <c r="A87" s="140"/>
      <c r="B87" s="136" t="s">
        <v>159</v>
      </c>
      <c r="C87" s="136">
        <v>0</v>
      </c>
      <c r="D87" s="136">
        <v>1</v>
      </c>
      <c r="E87" s="136"/>
      <c r="F87" s="136"/>
      <c r="G87" s="136"/>
      <c r="H87" s="136"/>
      <c r="I87" s="136"/>
      <c r="K87" s="159"/>
      <c r="L87" s="136">
        <v>8</v>
      </c>
      <c r="N87" s="159"/>
      <c r="O87" s="159"/>
      <c r="P87" s="179">
        <v>1</v>
      </c>
      <c r="Q87" s="159"/>
      <c r="R87" s="159"/>
    </row>
    <row r="88" spans="1:18" ht="27" thickBot="1">
      <c r="A88" s="140"/>
      <c r="B88" s="136" t="s">
        <v>131</v>
      </c>
      <c r="C88" s="136"/>
      <c r="D88" s="136"/>
      <c r="E88" s="136">
        <v>0</v>
      </c>
      <c r="F88" s="136">
        <v>0</v>
      </c>
      <c r="G88" s="136">
        <v>1</v>
      </c>
      <c r="H88" s="136">
        <v>0</v>
      </c>
      <c r="I88" s="136">
        <v>0</v>
      </c>
      <c r="K88" s="159"/>
      <c r="L88" s="136">
        <v>8</v>
      </c>
      <c r="N88" s="159"/>
      <c r="O88" s="159"/>
      <c r="P88" s="179">
        <v>1</v>
      </c>
      <c r="Q88" s="159"/>
      <c r="R88" s="159"/>
    </row>
    <row r="89" spans="1:18" ht="15.75" thickBot="1">
      <c r="A89" s="140"/>
      <c r="B89" s="136" t="s">
        <v>160</v>
      </c>
      <c r="C89" s="136">
        <v>1</v>
      </c>
      <c r="D89" s="136">
        <v>0</v>
      </c>
      <c r="E89" s="137"/>
      <c r="F89" s="137"/>
      <c r="G89" s="137"/>
      <c r="H89" s="137"/>
      <c r="I89" s="137"/>
      <c r="K89" s="159"/>
      <c r="L89" s="136">
        <v>8</v>
      </c>
      <c r="N89" s="159"/>
      <c r="O89" s="159"/>
      <c r="P89" s="179">
        <v>1</v>
      </c>
      <c r="Q89" s="159"/>
      <c r="R89" s="159"/>
    </row>
    <row r="90" spans="1:18" ht="15.75" thickBot="1">
      <c r="A90" s="140"/>
      <c r="B90" s="136" t="s">
        <v>132</v>
      </c>
      <c r="C90" s="136"/>
      <c r="D90" s="136"/>
      <c r="E90" s="136">
        <v>0</v>
      </c>
      <c r="F90" s="136">
        <v>0</v>
      </c>
      <c r="G90" s="136">
        <v>1</v>
      </c>
      <c r="H90" s="136">
        <v>0</v>
      </c>
      <c r="I90" s="136">
        <v>0</v>
      </c>
      <c r="K90" s="159"/>
      <c r="L90" s="136">
        <v>8</v>
      </c>
      <c r="N90" s="159"/>
      <c r="O90" s="159"/>
      <c r="P90" s="179">
        <v>1</v>
      </c>
      <c r="Q90" s="159"/>
      <c r="R90" s="159"/>
    </row>
    <row r="91" spans="1:18" ht="15.75" thickBot="1">
      <c r="A91" s="140"/>
      <c r="B91" s="136" t="s">
        <v>154</v>
      </c>
      <c r="C91" s="136">
        <v>1</v>
      </c>
      <c r="D91" s="136">
        <v>0</v>
      </c>
      <c r="E91" s="136"/>
      <c r="F91" s="136"/>
      <c r="G91" s="136"/>
      <c r="H91" s="136"/>
      <c r="I91" s="136"/>
      <c r="K91" s="172"/>
      <c r="L91" s="136">
        <v>8</v>
      </c>
      <c r="N91" s="159"/>
      <c r="O91" s="159"/>
      <c r="P91" s="179">
        <v>1</v>
      </c>
      <c r="Q91" s="159"/>
      <c r="R91" s="159"/>
    </row>
    <row r="92" spans="1:18" ht="15.75" thickBot="1">
      <c r="A92" s="140"/>
      <c r="B92" s="136" t="s">
        <v>176</v>
      </c>
      <c r="C92" s="136"/>
      <c r="D92" s="136"/>
      <c r="E92" s="136">
        <v>0</v>
      </c>
      <c r="F92" s="136">
        <v>0</v>
      </c>
      <c r="G92" s="136">
        <v>1</v>
      </c>
      <c r="H92" s="136">
        <v>0</v>
      </c>
      <c r="I92" s="136">
        <v>0</v>
      </c>
      <c r="K92" s="172"/>
      <c r="L92" s="136">
        <v>8</v>
      </c>
      <c r="N92" s="159"/>
      <c r="O92" s="159"/>
      <c r="P92" s="179">
        <v>1</v>
      </c>
      <c r="Q92" s="172"/>
      <c r="R92" s="159"/>
    </row>
    <row r="93" spans="1:18" ht="15.75" thickBot="1">
      <c r="A93" s="142"/>
      <c r="B93" s="136" t="s">
        <v>163</v>
      </c>
      <c r="C93" s="136">
        <v>1</v>
      </c>
      <c r="D93" s="136">
        <v>0</v>
      </c>
      <c r="E93" s="136"/>
      <c r="F93" s="136"/>
      <c r="G93" s="136"/>
      <c r="H93" s="136"/>
      <c r="I93" s="136"/>
      <c r="K93" s="172"/>
      <c r="L93" s="136">
        <v>8</v>
      </c>
      <c r="N93" s="159"/>
      <c r="O93" s="159"/>
      <c r="P93" s="179">
        <v>1</v>
      </c>
      <c r="Q93" s="172"/>
      <c r="R93" s="159"/>
    </row>
    <row r="94" spans="1:18" ht="15.75" thickBot="1">
      <c r="A94" s="141" t="s">
        <v>177</v>
      </c>
      <c r="B94" s="136" t="s">
        <v>177</v>
      </c>
      <c r="C94" s="136">
        <v>1</v>
      </c>
      <c r="D94" s="136">
        <v>0</v>
      </c>
      <c r="E94" s="136"/>
      <c r="F94" s="136"/>
      <c r="G94" s="136"/>
      <c r="H94" s="136"/>
      <c r="I94" s="136"/>
      <c r="K94" s="172"/>
      <c r="L94" s="136">
        <v>10</v>
      </c>
      <c r="N94" s="159"/>
      <c r="O94" s="159"/>
      <c r="P94" s="179">
        <v>1</v>
      </c>
      <c r="Q94" s="172"/>
      <c r="R94" s="159"/>
    </row>
    <row r="95" spans="1:18" ht="15.75" thickBot="1">
      <c r="A95" s="140"/>
      <c r="B95" s="136" t="s">
        <v>178</v>
      </c>
      <c r="C95" s="136"/>
      <c r="D95" s="136"/>
      <c r="E95" s="136">
        <v>0</v>
      </c>
      <c r="F95" s="136">
        <v>0</v>
      </c>
      <c r="G95" s="136">
        <v>1</v>
      </c>
      <c r="H95" s="136">
        <v>0</v>
      </c>
      <c r="I95" s="136">
        <v>0</v>
      </c>
      <c r="K95" s="172"/>
      <c r="L95" s="136">
        <v>10</v>
      </c>
      <c r="N95" s="159"/>
      <c r="O95" s="159"/>
      <c r="P95" s="179">
        <v>1</v>
      </c>
      <c r="Q95" s="172"/>
      <c r="R95" s="159"/>
    </row>
    <row r="96" spans="1:18" ht="15.75" thickBot="1">
      <c r="A96" s="142"/>
      <c r="C96" s="136"/>
      <c r="D96" s="136"/>
      <c r="E96" s="136">
        <v>0</v>
      </c>
      <c r="F96" s="136">
        <v>0</v>
      </c>
      <c r="G96" s="136">
        <v>1</v>
      </c>
      <c r="H96" s="136">
        <v>0</v>
      </c>
      <c r="I96" s="136">
        <v>0</v>
      </c>
      <c r="L96" s="136">
        <v>10</v>
      </c>
      <c r="N96" s="159"/>
      <c r="O96" s="159" t="s">
        <v>196</v>
      </c>
      <c r="P96" s="179">
        <v>1</v>
      </c>
      <c r="Q96" s="172"/>
      <c r="R96" s="159"/>
    </row>
    <row r="97" spans="1:20" ht="21.75" thickBot="1">
      <c r="A97" s="138" t="s">
        <v>179</v>
      </c>
      <c r="B97" s="136" t="s">
        <v>136</v>
      </c>
      <c r="C97" s="136"/>
      <c r="D97" s="137"/>
      <c r="E97" s="136"/>
      <c r="F97" s="136">
        <v>1</v>
      </c>
      <c r="G97" s="136">
        <v>0</v>
      </c>
      <c r="H97" s="136">
        <v>0</v>
      </c>
      <c r="I97" s="136">
        <v>0</v>
      </c>
      <c r="K97" s="172"/>
      <c r="L97" s="136">
        <v>10</v>
      </c>
      <c r="N97" s="159"/>
      <c r="O97" s="159"/>
      <c r="P97" s="179">
        <v>1</v>
      </c>
      <c r="Q97" s="172"/>
      <c r="R97" s="159"/>
    </row>
    <row r="98" spans="1:20" ht="20.25" thickBot="1">
      <c r="A98" s="138" t="s">
        <v>180</v>
      </c>
      <c r="B98" s="136" t="s">
        <v>137</v>
      </c>
      <c r="C98" s="136"/>
      <c r="D98" s="137"/>
      <c r="E98" s="136"/>
      <c r="F98" s="136">
        <v>0</v>
      </c>
      <c r="G98" s="136">
        <v>1</v>
      </c>
      <c r="H98" s="136">
        <v>0</v>
      </c>
      <c r="I98" s="136">
        <v>0</v>
      </c>
      <c r="K98" s="172"/>
      <c r="L98" s="136">
        <v>10</v>
      </c>
      <c r="N98" s="159"/>
      <c r="O98" s="159"/>
      <c r="P98" s="179">
        <v>1</v>
      </c>
      <c r="Q98" s="172"/>
      <c r="R98" s="159"/>
    </row>
    <row r="99" spans="1:20" ht="15.75" thickBot="1">
      <c r="A99" s="139"/>
      <c r="B99" s="136" t="s">
        <v>138</v>
      </c>
      <c r="C99" s="137"/>
      <c r="D99" s="137"/>
      <c r="E99" s="137"/>
      <c r="F99" s="136">
        <v>0</v>
      </c>
      <c r="G99" s="136">
        <v>0</v>
      </c>
      <c r="H99" s="136">
        <v>1</v>
      </c>
      <c r="I99" s="136">
        <v>0</v>
      </c>
      <c r="K99" s="172"/>
      <c r="L99" s="136">
        <v>10</v>
      </c>
      <c r="N99" s="159"/>
      <c r="O99" s="159"/>
      <c r="P99" s="179">
        <v>1</v>
      </c>
      <c r="Q99" s="172"/>
      <c r="R99" s="159"/>
    </row>
    <row r="100" spans="1:20">
      <c r="B100" s="172"/>
      <c r="C100" s="172"/>
      <c r="D100" s="172"/>
      <c r="E100" s="172"/>
      <c r="F100" s="172"/>
      <c r="G100" s="172"/>
      <c r="H100" s="172"/>
      <c r="I100" s="172"/>
      <c r="J100" s="172"/>
      <c r="K100" s="172"/>
      <c r="L100" s="159"/>
      <c r="M100" s="159"/>
      <c r="N100" s="159"/>
      <c r="O100" s="159"/>
      <c r="P100" s="159"/>
      <c r="Q100" s="172"/>
      <c r="R100" s="159"/>
    </row>
    <row r="101" spans="1:20">
      <c r="B101" s="172"/>
      <c r="C101" s="172"/>
      <c r="D101" s="172"/>
      <c r="E101" s="172"/>
      <c r="F101" s="172"/>
      <c r="G101" s="172"/>
      <c r="H101" s="172"/>
      <c r="I101" s="172"/>
      <c r="J101" s="172"/>
      <c r="K101" s="172"/>
      <c r="L101" s="159"/>
      <c r="M101" s="159"/>
      <c r="N101" s="159"/>
      <c r="O101" s="159"/>
      <c r="P101" s="159"/>
      <c r="Q101" s="172"/>
      <c r="R101" s="159"/>
    </row>
    <row r="102" spans="1:20" ht="15.75" thickBot="1">
      <c r="B102" s="151" t="s">
        <v>195</v>
      </c>
      <c r="C102" s="172"/>
      <c r="D102" s="159"/>
      <c r="E102" s="172"/>
      <c r="F102" s="172"/>
      <c r="G102" s="169" t="s">
        <v>140</v>
      </c>
      <c r="H102" s="172" t="s">
        <v>192</v>
      </c>
      <c r="I102" s="172"/>
      <c r="J102" s="172"/>
      <c r="K102" s="172"/>
      <c r="L102" s="169" t="str">
        <f>CONCATENATE(B102,G102,H102)</f>
        <v>0,0,1,0,0,1,0,0,0,1,0,0,1,0,0,0,1,0,0,1,0,1,0,0,0,0,0,1,0,0,1,0,0,1,0,0,0,1,0,0,1,0,0,0,1,0,0,1,0,1,0,0,0,1,0,0,0,0,1,0,0,1,0,0,0,0,1,0,0,0,0,1,0,10,10,5,5,2,2,8,8,8,8,8,8,8,8,10,10,10,10,10,10</v>
      </c>
      <c r="M102" s="159"/>
      <c r="N102" s="159"/>
      <c r="O102" s="159"/>
      <c r="P102" s="159"/>
      <c r="Q102" s="172"/>
      <c r="R102" s="159"/>
    </row>
    <row r="103" spans="1:20">
      <c r="B103" s="172"/>
      <c r="C103" s="172"/>
      <c r="D103" s="159"/>
      <c r="E103" s="172"/>
      <c r="F103" s="172"/>
      <c r="G103" s="172"/>
      <c r="H103" s="172"/>
      <c r="I103" s="172"/>
      <c r="J103" s="172"/>
      <c r="K103" s="172"/>
      <c r="L103" s="159"/>
      <c r="M103" s="159"/>
      <c r="N103" s="159"/>
      <c r="O103" s="159"/>
      <c r="P103" s="159"/>
      <c r="Q103" s="172"/>
      <c r="R103" s="159"/>
    </row>
    <row r="104" spans="1:20">
      <c r="B104" s="159"/>
      <c r="C104" s="159"/>
      <c r="D104" s="159"/>
      <c r="E104" s="159"/>
      <c r="F104" s="159"/>
      <c r="G104" s="159"/>
      <c r="H104" s="159" t="s">
        <v>196</v>
      </c>
      <c r="I104" s="159"/>
      <c r="J104" s="159"/>
      <c r="K104" s="159"/>
      <c r="L104" s="169" t="str">
        <f>CONCATENATE(B102,G102,H104)</f>
        <v>0,0,1,0,0,1,0,0,0,1,0,0,1,0,0,0,1,0,0,1,0,1,0,0,0,0,0,1,0,0,1,0,0,1,0,0,0,1,0,0,1,0,0,0,1,0,0,1,0,1,0,0,0,1,0,0,0,0,1,0,0,1,0,0,0,0,1,0,0,0,0,1,0,1,1,1,1,1,1,1,1,1,1,1,1,1,1,1,1,1,1,1,1</v>
      </c>
      <c r="M104" s="159"/>
      <c r="N104" s="159"/>
      <c r="O104" s="159"/>
      <c r="P104" s="159"/>
      <c r="Q104" s="159"/>
      <c r="R104" s="159"/>
    </row>
    <row r="105" spans="1:20">
      <c r="B105" s="159"/>
      <c r="C105" s="159"/>
      <c r="D105" s="159"/>
      <c r="E105" s="159"/>
      <c r="F105" s="159"/>
      <c r="G105" s="159"/>
      <c r="H105" s="159"/>
      <c r="I105" s="159"/>
      <c r="J105" s="159"/>
      <c r="K105" s="159"/>
      <c r="L105" s="159"/>
      <c r="M105" s="159"/>
      <c r="N105" s="159"/>
      <c r="O105" s="159"/>
      <c r="P105" s="159"/>
      <c r="Q105" s="159"/>
      <c r="R105" s="159"/>
    </row>
    <row r="106" spans="1:20">
      <c r="B106" s="159"/>
      <c r="C106" s="159"/>
      <c r="D106" s="159"/>
      <c r="E106" s="159"/>
      <c r="F106" s="159"/>
      <c r="G106" s="159"/>
      <c r="H106" s="159"/>
      <c r="I106" s="159"/>
      <c r="J106" s="159"/>
      <c r="K106" s="159"/>
      <c r="L106" s="159"/>
      <c r="M106" s="159"/>
      <c r="N106" s="159"/>
      <c r="O106" s="159"/>
      <c r="P106" s="159"/>
      <c r="Q106" s="159"/>
      <c r="R106" s="159"/>
    </row>
    <row r="107" spans="1:20">
      <c r="B107" s="159"/>
      <c r="C107" s="159"/>
      <c r="D107" s="159"/>
      <c r="E107" s="159"/>
      <c r="F107" s="159"/>
      <c r="G107" s="159"/>
      <c r="H107" s="159"/>
      <c r="I107" s="159"/>
      <c r="J107" s="159"/>
      <c r="K107" s="159"/>
      <c r="L107" s="159"/>
      <c r="M107" s="159"/>
      <c r="N107" s="159"/>
      <c r="O107" s="159"/>
      <c r="P107" s="159"/>
      <c r="Q107" s="159"/>
      <c r="R107" s="159"/>
    </row>
    <row r="108" spans="1:20">
      <c r="B108" s="159"/>
      <c r="C108" s="159"/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59"/>
      <c r="O108" s="159"/>
      <c r="P108" s="159"/>
      <c r="Q108" s="159"/>
      <c r="R108" s="159"/>
      <c r="T108" s="3" t="str">
        <f>B108&amp;L108&amp;P108</f>
        <v/>
      </c>
    </row>
    <row r="109" spans="1:20">
      <c r="B109" s="159"/>
      <c r="C109" s="159"/>
      <c r="D109" s="159"/>
      <c r="E109" s="159"/>
      <c r="F109" s="159"/>
      <c r="G109" s="159"/>
      <c r="H109" s="159"/>
      <c r="I109" s="159"/>
      <c r="J109" s="159"/>
      <c r="K109" s="159"/>
      <c r="L109" s="159"/>
      <c r="M109" s="159"/>
      <c r="N109" s="159"/>
      <c r="O109" s="159"/>
      <c r="P109" s="159"/>
      <c r="Q109" s="159"/>
      <c r="R109" s="159"/>
    </row>
    <row r="110" spans="1:20">
      <c r="B110" s="159"/>
      <c r="C110" s="159"/>
      <c r="D110" s="159"/>
      <c r="E110" s="159"/>
      <c r="F110" s="159"/>
      <c r="G110" s="159"/>
      <c r="H110" s="159"/>
      <c r="I110" s="159"/>
      <c r="J110" s="159"/>
      <c r="K110" s="159"/>
      <c r="L110" s="159"/>
      <c r="M110" s="159"/>
      <c r="N110" s="159"/>
      <c r="O110" s="159"/>
      <c r="P110" s="159"/>
      <c r="Q110" s="159"/>
      <c r="R110" s="159"/>
    </row>
    <row r="111" spans="1:20">
      <c r="B111" s="159"/>
      <c r="C111" s="159"/>
      <c r="D111" s="159"/>
      <c r="E111" s="159"/>
      <c r="F111" s="159"/>
      <c r="G111" s="159"/>
      <c r="H111" s="159"/>
      <c r="I111" s="159"/>
      <c r="J111" s="159"/>
      <c r="K111" s="159"/>
      <c r="L111" s="159"/>
      <c r="M111" s="159"/>
      <c r="N111" s="159"/>
      <c r="O111" s="159"/>
      <c r="P111" s="159"/>
      <c r="Q111" s="159"/>
      <c r="R111" s="159"/>
    </row>
    <row r="112" spans="1:20">
      <c r="B112" s="159"/>
      <c r="C112" s="159"/>
      <c r="D112" s="159"/>
      <c r="E112" s="159"/>
      <c r="F112" s="159"/>
      <c r="G112" s="159"/>
      <c r="H112" s="159"/>
      <c r="I112" s="159"/>
      <c r="J112" s="159"/>
      <c r="K112" s="159"/>
      <c r="L112" s="159"/>
      <c r="M112" s="159"/>
      <c r="N112" s="159"/>
      <c r="O112" s="159"/>
      <c r="P112" s="159"/>
      <c r="Q112" s="159"/>
      <c r="R112" s="159"/>
    </row>
    <row r="113" spans="2:18">
      <c r="B113" s="159"/>
      <c r="C113" s="159"/>
      <c r="D113" s="159"/>
      <c r="E113" s="159"/>
      <c r="F113" s="159"/>
      <c r="G113" s="159"/>
      <c r="H113" s="159"/>
      <c r="I113" s="159"/>
      <c r="J113" s="159"/>
      <c r="K113" s="159"/>
      <c r="L113" s="159"/>
      <c r="M113" s="159"/>
      <c r="N113" s="159"/>
      <c r="O113" s="159"/>
      <c r="P113" s="159"/>
      <c r="Q113" s="159"/>
      <c r="R113" s="159"/>
    </row>
    <row r="114" spans="2:18">
      <c r="B114" s="159"/>
      <c r="C114" s="159"/>
      <c r="D114" s="159"/>
      <c r="E114" s="175"/>
      <c r="F114" s="172"/>
      <c r="G114" s="172"/>
      <c r="H114" s="172"/>
      <c r="I114" s="172"/>
      <c r="J114" s="172"/>
      <c r="K114" s="172"/>
      <c r="L114" s="159"/>
      <c r="M114" s="159"/>
      <c r="N114" s="159"/>
      <c r="O114" s="159"/>
      <c r="P114" s="159"/>
      <c r="Q114" s="159"/>
      <c r="R114" s="159"/>
    </row>
    <row r="115" spans="2:18">
      <c r="B115" s="174"/>
      <c r="C115" s="174"/>
      <c r="D115" s="172"/>
      <c r="E115" s="159"/>
      <c r="F115" s="172"/>
      <c r="G115" s="172"/>
      <c r="H115" s="172"/>
      <c r="I115" s="172"/>
      <c r="J115" s="172"/>
      <c r="K115" s="172"/>
      <c r="L115" s="159"/>
      <c r="M115" s="159"/>
      <c r="N115" s="159"/>
      <c r="O115" s="159"/>
      <c r="P115" s="159"/>
      <c r="Q115" s="172"/>
      <c r="R115" s="159"/>
    </row>
    <row r="116" spans="2:18">
      <c r="B116" s="174"/>
      <c r="C116" s="174"/>
      <c r="D116" s="172"/>
      <c r="E116" s="159"/>
      <c r="F116" s="172"/>
      <c r="G116" s="172"/>
      <c r="H116" s="172"/>
      <c r="I116" s="172"/>
      <c r="J116" s="172"/>
      <c r="K116" s="172"/>
      <c r="L116" s="159"/>
      <c r="M116" s="159"/>
      <c r="N116" s="159"/>
      <c r="O116" s="159"/>
      <c r="P116" s="159"/>
      <c r="Q116" s="172"/>
      <c r="R116" s="159"/>
    </row>
    <row r="117" spans="2:18">
      <c r="B117" s="174"/>
      <c r="C117" s="174"/>
      <c r="D117" s="172"/>
      <c r="E117" s="159"/>
      <c r="F117" s="172"/>
      <c r="G117" s="172"/>
      <c r="H117" s="172"/>
      <c r="I117" s="172"/>
      <c r="J117" s="172"/>
      <c r="K117" s="172"/>
      <c r="L117" s="159"/>
      <c r="M117" s="159"/>
      <c r="N117" s="159"/>
      <c r="O117" s="159"/>
      <c r="P117" s="159"/>
      <c r="Q117" s="172"/>
      <c r="R117" s="159"/>
    </row>
    <row r="118" spans="2:18">
      <c r="B118" s="174"/>
      <c r="C118" s="174"/>
      <c r="D118" s="172"/>
      <c r="E118" s="172"/>
      <c r="F118" s="172"/>
      <c r="G118" s="172"/>
      <c r="H118" s="172"/>
      <c r="I118" s="172"/>
      <c r="J118" s="172"/>
      <c r="K118" s="172"/>
      <c r="L118" s="159"/>
      <c r="M118" s="159"/>
      <c r="N118" s="159"/>
      <c r="O118" s="159"/>
      <c r="P118" s="159"/>
      <c r="Q118" s="172"/>
      <c r="R118" s="159"/>
    </row>
    <row r="119" spans="2:18">
      <c r="B119" s="174"/>
      <c r="C119" s="174"/>
      <c r="D119" s="172"/>
      <c r="E119" s="172"/>
      <c r="F119" s="172"/>
      <c r="G119" s="172"/>
      <c r="H119" s="172"/>
      <c r="I119" s="172"/>
      <c r="J119" s="172"/>
      <c r="K119" s="172"/>
      <c r="L119" s="159"/>
      <c r="M119" s="159"/>
      <c r="N119" s="159"/>
      <c r="O119" s="159"/>
      <c r="P119" s="159"/>
      <c r="Q119" s="172"/>
      <c r="R119" s="159"/>
    </row>
    <row r="120" spans="2:18">
      <c r="B120" s="174"/>
      <c r="C120" s="174"/>
      <c r="D120" s="172"/>
      <c r="E120" s="172"/>
      <c r="F120" s="172"/>
      <c r="G120" s="172"/>
      <c r="H120" s="172"/>
      <c r="I120" s="172"/>
      <c r="J120" s="172"/>
      <c r="K120" s="172"/>
      <c r="L120" s="159"/>
      <c r="M120" s="159"/>
      <c r="N120" s="159"/>
      <c r="O120" s="159"/>
      <c r="P120" s="159"/>
      <c r="Q120" s="172"/>
      <c r="R120" s="159"/>
    </row>
    <row r="121" spans="2:18">
      <c r="B121" s="174"/>
      <c r="C121" s="174"/>
      <c r="D121" s="172"/>
      <c r="E121" s="172"/>
      <c r="F121" s="172"/>
      <c r="G121" s="172"/>
      <c r="H121" s="172"/>
      <c r="I121" s="172"/>
      <c r="J121" s="172"/>
      <c r="K121" s="172"/>
      <c r="L121" s="159"/>
      <c r="M121" s="159"/>
      <c r="N121" s="159"/>
      <c r="O121" s="159"/>
      <c r="P121" s="159"/>
      <c r="Q121" s="172"/>
      <c r="R121" s="159"/>
    </row>
    <row r="122" spans="2:18">
      <c r="B122" s="174"/>
      <c r="C122" s="174"/>
      <c r="D122" s="172"/>
      <c r="E122" s="172"/>
      <c r="F122" s="172"/>
      <c r="G122" s="172"/>
      <c r="H122" s="172"/>
      <c r="I122" s="172"/>
      <c r="J122" s="172"/>
      <c r="K122" s="172"/>
      <c r="L122" s="159"/>
      <c r="M122" s="159"/>
      <c r="N122" s="159"/>
      <c r="O122" s="159"/>
      <c r="P122" s="159"/>
      <c r="Q122" s="172"/>
      <c r="R122" s="159"/>
    </row>
    <row r="123" spans="2:18">
      <c r="B123" s="172"/>
      <c r="C123" s="172"/>
      <c r="D123" s="172"/>
      <c r="E123" s="172"/>
      <c r="F123" s="172"/>
      <c r="G123" s="172"/>
      <c r="H123" s="172"/>
      <c r="I123" s="172"/>
      <c r="J123" s="172"/>
      <c r="K123" s="172"/>
      <c r="L123" s="159"/>
      <c r="M123" s="159"/>
      <c r="N123" s="159"/>
      <c r="O123" s="159"/>
      <c r="P123" s="159"/>
      <c r="Q123" s="172"/>
      <c r="R123" s="159"/>
    </row>
    <row r="124" spans="2:18">
      <c r="B124" s="172"/>
      <c r="C124" s="172"/>
      <c r="D124" s="172"/>
      <c r="E124" s="172"/>
      <c r="F124" s="172"/>
      <c r="G124" s="172"/>
      <c r="H124" s="172"/>
      <c r="I124" s="172"/>
      <c r="J124" s="172"/>
      <c r="K124" s="172"/>
      <c r="L124" s="159"/>
      <c r="M124" s="159"/>
      <c r="N124" s="159"/>
      <c r="O124" s="159"/>
      <c r="P124" s="159"/>
      <c r="Q124" s="172"/>
      <c r="R124" s="159"/>
    </row>
    <row r="125" spans="2:18">
      <c r="B125" s="172"/>
      <c r="C125" s="172"/>
      <c r="D125" s="159"/>
      <c r="E125" s="172"/>
      <c r="F125" s="172"/>
      <c r="G125" s="172"/>
      <c r="H125" s="172"/>
      <c r="I125" s="172"/>
      <c r="J125" s="172"/>
      <c r="K125" s="172"/>
      <c r="L125" s="159"/>
      <c r="M125" s="159"/>
      <c r="N125" s="159"/>
      <c r="O125" s="159"/>
      <c r="P125" s="159"/>
      <c r="Q125" s="172"/>
      <c r="R125" s="159"/>
    </row>
    <row r="126" spans="2:18">
      <c r="B126" s="172"/>
      <c r="C126" s="172"/>
      <c r="D126" s="159"/>
      <c r="E126" s="172"/>
      <c r="F126" s="172"/>
      <c r="G126" s="172"/>
      <c r="H126" s="172"/>
      <c r="I126" s="172"/>
      <c r="J126" s="172"/>
      <c r="K126" s="172"/>
      <c r="L126" s="159"/>
      <c r="M126" s="159"/>
      <c r="N126" s="159"/>
      <c r="O126" s="159"/>
      <c r="P126" s="159"/>
      <c r="Q126" s="172"/>
      <c r="R126" s="159"/>
    </row>
    <row r="127" spans="2:18">
      <c r="B127" s="159"/>
      <c r="C127" s="159"/>
      <c r="D127" s="159"/>
      <c r="E127" s="159"/>
      <c r="F127" s="159"/>
      <c r="G127" s="159"/>
      <c r="H127" s="159"/>
      <c r="I127" s="159"/>
      <c r="J127" s="159"/>
      <c r="K127" s="159"/>
      <c r="L127" s="159"/>
      <c r="M127" s="159"/>
      <c r="N127" s="159"/>
      <c r="O127" s="159"/>
      <c r="P127" s="159"/>
      <c r="Q127" s="159"/>
      <c r="R127" s="159"/>
    </row>
    <row r="128" spans="2:18">
      <c r="B128" s="159"/>
      <c r="C128" s="159"/>
      <c r="D128" s="159"/>
      <c r="E128" s="159"/>
      <c r="F128" s="159"/>
      <c r="G128" s="159"/>
      <c r="H128" s="159"/>
      <c r="I128" s="159"/>
      <c r="J128" s="159"/>
      <c r="K128" s="159"/>
      <c r="L128" s="159"/>
      <c r="M128" s="159"/>
      <c r="N128" s="159"/>
      <c r="O128" s="159"/>
      <c r="P128" s="159"/>
      <c r="Q128" s="159"/>
      <c r="R128" s="159"/>
    </row>
    <row r="129" spans="1:20">
      <c r="B129" s="159"/>
      <c r="C129" s="159"/>
      <c r="D129" s="159"/>
      <c r="E129" s="159"/>
      <c r="F129" s="159"/>
      <c r="G129" s="159"/>
      <c r="H129" s="159"/>
      <c r="I129" s="159"/>
      <c r="J129" s="159"/>
      <c r="K129" s="159"/>
      <c r="L129" s="159"/>
      <c r="M129" s="159"/>
      <c r="N129" s="159"/>
      <c r="O129" s="159"/>
      <c r="P129" s="159"/>
      <c r="Q129" s="159"/>
      <c r="R129" s="159"/>
    </row>
    <row r="130" spans="1:20">
      <c r="B130" s="159"/>
      <c r="C130" s="159"/>
      <c r="D130" s="159"/>
      <c r="E130" s="159"/>
      <c r="F130" s="159"/>
      <c r="G130" s="159"/>
      <c r="H130" s="159"/>
      <c r="I130" s="159"/>
      <c r="J130" s="159"/>
      <c r="K130" s="159"/>
      <c r="L130" s="159"/>
      <c r="M130" s="159"/>
      <c r="N130" s="159"/>
      <c r="O130" s="159"/>
      <c r="P130" s="159"/>
      <c r="Q130" s="159"/>
      <c r="R130" s="159"/>
    </row>
    <row r="131" spans="1:20">
      <c r="B131" s="159"/>
      <c r="C131" s="159"/>
      <c r="D131" s="159"/>
      <c r="E131" s="159"/>
      <c r="F131" s="159"/>
      <c r="G131" s="159"/>
      <c r="H131" s="159"/>
      <c r="I131" s="159"/>
      <c r="J131" s="159"/>
      <c r="K131" s="159"/>
      <c r="L131" s="159"/>
      <c r="M131" s="159"/>
      <c r="N131" s="159"/>
      <c r="O131" s="159"/>
      <c r="P131" s="159"/>
      <c r="Q131" s="159"/>
      <c r="R131" s="159"/>
      <c r="T131" s="3" t="str">
        <f>B131&amp;L131&amp;P131</f>
        <v/>
      </c>
    </row>
    <row r="132" spans="1:20">
      <c r="B132" s="159"/>
      <c r="C132" s="159"/>
      <c r="D132" s="159"/>
      <c r="E132" s="159"/>
      <c r="F132" s="159"/>
      <c r="G132" s="159"/>
      <c r="H132" s="159"/>
      <c r="I132" s="159"/>
      <c r="J132" s="159"/>
      <c r="K132" s="159"/>
      <c r="L132" s="159"/>
      <c r="M132" s="159"/>
      <c r="N132" s="159"/>
      <c r="O132" s="159"/>
      <c r="P132" s="159"/>
      <c r="Q132" s="159"/>
      <c r="R132" s="159"/>
    </row>
    <row r="133" spans="1:20">
      <c r="B133" s="159"/>
      <c r="C133" s="159"/>
      <c r="D133" s="159"/>
      <c r="E133" s="159"/>
      <c r="F133" s="159"/>
      <c r="G133" s="159"/>
      <c r="H133" s="159"/>
      <c r="I133" s="159"/>
      <c r="J133" s="159"/>
      <c r="K133" s="159"/>
      <c r="L133" s="159"/>
      <c r="M133" s="159"/>
      <c r="N133" s="159"/>
      <c r="O133" s="159"/>
      <c r="P133" s="159"/>
      <c r="Q133" s="159"/>
      <c r="R133" s="159"/>
    </row>
    <row r="134" spans="1:20">
      <c r="B134" s="159"/>
      <c r="C134" s="159"/>
      <c r="D134" s="159"/>
      <c r="E134" s="159"/>
      <c r="F134" s="159"/>
      <c r="G134" s="159"/>
      <c r="H134" s="159"/>
      <c r="I134" s="159"/>
      <c r="J134" s="159"/>
      <c r="K134" s="159"/>
      <c r="L134" s="159"/>
      <c r="M134" s="159"/>
      <c r="N134" s="159"/>
      <c r="O134" s="159"/>
      <c r="P134" s="159"/>
      <c r="Q134" s="159"/>
      <c r="R134" s="159"/>
    </row>
    <row r="135" spans="1:20">
      <c r="B135" s="159"/>
      <c r="C135" s="159"/>
      <c r="D135" s="159"/>
      <c r="E135" s="159"/>
      <c r="F135" s="159"/>
      <c r="G135" s="159"/>
      <c r="H135" s="159"/>
      <c r="I135" s="159"/>
      <c r="J135" s="159"/>
      <c r="K135" s="159"/>
      <c r="L135" s="159"/>
      <c r="M135" s="159"/>
      <c r="N135" s="159"/>
      <c r="O135" s="159"/>
      <c r="P135" s="159"/>
      <c r="Q135" s="159"/>
      <c r="R135" s="159"/>
    </row>
    <row r="136" spans="1:20">
      <c r="B136" s="159"/>
      <c r="C136" s="159"/>
      <c r="D136" s="159"/>
      <c r="E136" s="159"/>
      <c r="F136" s="159"/>
      <c r="G136" s="159"/>
      <c r="H136" s="159"/>
      <c r="I136" s="159"/>
      <c r="J136" s="159"/>
      <c r="K136" s="159"/>
      <c r="L136" s="159"/>
      <c r="M136" s="159"/>
      <c r="N136" s="159"/>
      <c r="O136" s="159"/>
      <c r="P136" s="159"/>
      <c r="Q136" s="159"/>
      <c r="R136" s="159"/>
    </row>
    <row r="137" spans="1:20">
      <c r="B137" s="159"/>
      <c r="C137" s="159"/>
      <c r="D137" s="159"/>
      <c r="E137" s="159"/>
      <c r="F137" s="159"/>
      <c r="G137" s="159"/>
      <c r="H137" s="159"/>
      <c r="I137" s="159"/>
      <c r="J137" s="159"/>
      <c r="K137" s="159"/>
      <c r="L137" s="159"/>
      <c r="M137" s="159"/>
      <c r="N137" s="159"/>
      <c r="O137" s="159"/>
      <c r="P137" s="159"/>
      <c r="Q137" s="159"/>
      <c r="R137" s="159"/>
    </row>
    <row r="138" spans="1:20">
      <c r="B138" s="159"/>
      <c r="C138" s="159"/>
      <c r="D138" s="159"/>
      <c r="E138" s="159"/>
      <c r="F138" s="159"/>
      <c r="G138" s="159"/>
      <c r="H138" s="159"/>
      <c r="I138" s="159"/>
      <c r="J138" s="159"/>
      <c r="K138" s="159"/>
      <c r="L138" s="159"/>
      <c r="M138" s="159"/>
      <c r="N138" s="159"/>
      <c r="O138" s="159"/>
      <c r="P138" s="159"/>
      <c r="Q138" s="159"/>
      <c r="R138" s="159"/>
    </row>
    <row r="139" spans="1:20">
      <c r="B139" s="159"/>
      <c r="C139" s="159"/>
      <c r="D139" s="159"/>
      <c r="E139" s="159"/>
      <c r="F139" s="159"/>
      <c r="G139" s="159"/>
      <c r="H139" s="159"/>
      <c r="I139" s="159"/>
      <c r="J139" s="159"/>
      <c r="K139" s="159"/>
      <c r="L139" s="159"/>
      <c r="M139" s="159"/>
      <c r="N139" s="159"/>
      <c r="O139" s="159"/>
      <c r="P139" s="159"/>
      <c r="Q139" s="159"/>
      <c r="R139" s="159"/>
    </row>
    <row r="140" spans="1:20">
      <c r="B140" s="159"/>
      <c r="C140" s="159"/>
      <c r="D140" s="159"/>
      <c r="E140" s="159"/>
      <c r="F140" s="159"/>
      <c r="G140" s="159"/>
      <c r="H140" s="159"/>
      <c r="I140" s="159"/>
      <c r="J140" s="159"/>
      <c r="K140" s="159"/>
      <c r="L140" s="159"/>
      <c r="M140" s="159"/>
      <c r="N140" s="159"/>
      <c r="O140" s="159"/>
      <c r="P140" s="159"/>
      <c r="Q140" s="159"/>
      <c r="R140" s="159"/>
    </row>
    <row r="141" spans="1:20">
      <c r="B141" s="159"/>
      <c r="C141" s="159"/>
      <c r="D141" s="159"/>
      <c r="E141" s="159"/>
      <c r="F141" s="159"/>
      <c r="G141" s="159"/>
      <c r="H141" s="159"/>
      <c r="I141" s="159"/>
      <c r="J141" s="159"/>
      <c r="K141" s="159"/>
      <c r="L141" s="159"/>
      <c r="M141" s="159"/>
      <c r="N141" s="159"/>
      <c r="O141" s="159"/>
      <c r="P141" s="159"/>
      <c r="Q141" s="159"/>
      <c r="R141" s="159"/>
    </row>
    <row r="142" spans="1:20">
      <c r="B142" s="174"/>
      <c r="C142" s="174"/>
      <c r="D142" s="159"/>
      <c r="E142" s="175"/>
      <c r="F142" s="172"/>
      <c r="G142" s="172"/>
      <c r="H142" s="172"/>
      <c r="I142" s="172"/>
      <c r="J142" s="172"/>
      <c r="K142" s="172"/>
      <c r="L142" s="159"/>
      <c r="M142" s="159"/>
      <c r="N142" s="159"/>
      <c r="O142" s="159"/>
      <c r="P142" s="159"/>
      <c r="Q142" s="159"/>
      <c r="R142" s="159"/>
    </row>
    <row r="143" spans="1:20">
      <c r="A143" s="125" t="s">
        <v>165</v>
      </c>
      <c r="B143" s="176"/>
      <c r="C143" s="176"/>
      <c r="D143" s="172"/>
      <c r="E143" s="159"/>
      <c r="F143" s="172"/>
      <c r="G143" s="172"/>
      <c r="H143" s="172"/>
      <c r="I143" s="172"/>
      <c r="J143" s="172"/>
      <c r="K143" s="172"/>
      <c r="L143" s="159"/>
      <c r="M143" s="159"/>
      <c r="N143" s="159"/>
      <c r="O143" s="159"/>
      <c r="P143" s="159"/>
      <c r="Q143" s="159"/>
      <c r="R143" s="159"/>
    </row>
    <row r="144" spans="1:20">
      <c r="A144" s="125"/>
      <c r="B144" s="174"/>
      <c r="C144" s="174"/>
      <c r="D144" s="172"/>
      <c r="E144" s="159"/>
      <c r="F144" s="172"/>
      <c r="G144" s="172"/>
      <c r="H144" s="172"/>
      <c r="I144" s="172"/>
      <c r="J144" s="172"/>
      <c r="K144" s="172"/>
      <c r="L144" s="159"/>
      <c r="M144" s="159"/>
      <c r="N144" s="159"/>
      <c r="O144" s="159"/>
      <c r="P144" s="159"/>
      <c r="Q144" s="159"/>
      <c r="R144" s="159"/>
    </row>
    <row r="145" spans="1:18">
      <c r="A145" s="125"/>
      <c r="B145" s="176"/>
      <c r="C145" s="176"/>
      <c r="D145" s="172"/>
      <c r="E145" s="159"/>
      <c r="F145" s="172"/>
      <c r="G145" s="172"/>
      <c r="H145" s="172"/>
      <c r="I145" s="172"/>
      <c r="J145" s="172"/>
      <c r="K145" s="172"/>
      <c r="L145" s="159"/>
      <c r="M145" s="159"/>
      <c r="N145" s="159"/>
      <c r="O145" s="159"/>
      <c r="P145" s="159"/>
      <c r="Q145" s="159"/>
      <c r="R145" s="159"/>
    </row>
    <row r="146" spans="1:18">
      <c r="A146" s="125"/>
      <c r="B146" s="177"/>
      <c r="C146" s="176"/>
      <c r="D146" s="172"/>
      <c r="E146" s="159"/>
      <c r="F146" s="172"/>
      <c r="G146" s="172"/>
      <c r="H146" s="172"/>
      <c r="I146" s="172"/>
      <c r="J146" s="172"/>
      <c r="K146" s="172"/>
      <c r="L146" s="159"/>
      <c r="M146" s="159"/>
      <c r="N146" s="159"/>
      <c r="O146" s="159"/>
      <c r="P146" s="159"/>
      <c r="Q146" s="159"/>
      <c r="R146" s="159"/>
    </row>
    <row r="147" spans="1:18">
      <c r="A147" s="125"/>
      <c r="B147" s="176"/>
      <c r="C147" s="174"/>
      <c r="D147" s="172"/>
      <c r="E147" s="159"/>
      <c r="F147" s="172"/>
      <c r="G147" s="172"/>
      <c r="H147" s="172"/>
      <c r="I147" s="172"/>
      <c r="J147" s="172"/>
      <c r="K147" s="172"/>
      <c r="L147" s="159"/>
      <c r="M147" s="159"/>
      <c r="N147" s="159"/>
      <c r="O147" s="159"/>
      <c r="P147" s="159"/>
      <c r="Q147" s="159"/>
      <c r="R147" s="159"/>
    </row>
    <row r="148" spans="1:18">
      <c r="A148" s="125"/>
      <c r="B148" s="177"/>
      <c r="C148" s="174"/>
      <c r="D148" s="172"/>
      <c r="E148" s="172"/>
      <c r="F148" s="172"/>
      <c r="G148" s="172"/>
      <c r="H148" s="172"/>
      <c r="I148" s="172"/>
      <c r="J148" s="172"/>
      <c r="K148" s="172"/>
      <c r="L148" s="159"/>
      <c r="M148" s="159"/>
      <c r="N148" s="159"/>
      <c r="O148" s="159"/>
      <c r="P148" s="159"/>
      <c r="Q148" s="159"/>
      <c r="R148" s="159"/>
    </row>
    <row r="149" spans="1:18" s="100" customFormat="1">
      <c r="A149" s="126" t="s">
        <v>166</v>
      </c>
      <c r="B149" s="176"/>
      <c r="C149" s="176"/>
      <c r="D149" s="178"/>
      <c r="E149" s="178"/>
      <c r="F149" s="178"/>
      <c r="G149" s="178"/>
      <c r="H149" s="178"/>
      <c r="I149" s="178"/>
      <c r="J149" s="178"/>
      <c r="K149" s="178"/>
      <c r="L149" s="129"/>
      <c r="M149" s="129"/>
      <c r="N149" s="129"/>
      <c r="O149" s="129"/>
      <c r="P149" s="129"/>
      <c r="Q149" s="129"/>
      <c r="R149" s="129"/>
    </row>
    <row r="150" spans="1:18" s="100" customFormat="1">
      <c r="A150" s="126"/>
      <c r="B150" s="174"/>
      <c r="C150" s="176"/>
      <c r="D150" s="178"/>
      <c r="E150" s="178"/>
      <c r="F150" s="178"/>
      <c r="G150" s="178"/>
      <c r="H150" s="178"/>
      <c r="I150" s="178"/>
      <c r="J150" s="178"/>
      <c r="K150" s="178"/>
      <c r="L150" s="129"/>
      <c r="M150" s="129"/>
      <c r="N150" s="129"/>
      <c r="O150" s="129"/>
      <c r="P150" s="129"/>
      <c r="Q150" s="129"/>
      <c r="R150" s="129"/>
    </row>
    <row r="151" spans="1:18" s="100" customFormat="1">
      <c r="A151" s="126"/>
      <c r="B151" s="176"/>
      <c r="C151" s="176"/>
      <c r="D151" s="178"/>
      <c r="E151" s="178"/>
      <c r="F151" s="178"/>
      <c r="G151" s="178"/>
      <c r="H151" s="178"/>
      <c r="I151" s="178"/>
      <c r="J151" s="178"/>
      <c r="K151" s="178"/>
      <c r="L151" s="129"/>
      <c r="M151" s="129"/>
      <c r="N151" s="129"/>
      <c r="O151" s="129"/>
      <c r="P151" s="129"/>
      <c r="Q151" s="129"/>
      <c r="R151" s="129"/>
    </row>
    <row r="152" spans="1:18" s="100" customFormat="1">
      <c r="A152" s="126"/>
      <c r="B152" s="174"/>
      <c r="C152" s="176"/>
      <c r="D152" s="178"/>
      <c r="E152" s="129"/>
      <c r="F152" s="129"/>
      <c r="G152" s="129"/>
      <c r="H152" s="129"/>
      <c r="I152" s="129"/>
      <c r="J152" s="129"/>
      <c r="K152" s="129"/>
      <c r="L152" s="129"/>
      <c r="M152" s="129"/>
      <c r="N152" s="129"/>
      <c r="O152" s="129"/>
      <c r="P152" s="129"/>
      <c r="Q152" s="129"/>
      <c r="R152" s="129"/>
    </row>
    <row r="153" spans="1:18">
      <c r="A153" s="126"/>
      <c r="B153" s="176"/>
      <c r="C153" s="174"/>
      <c r="D153" s="172"/>
      <c r="E153" s="172"/>
      <c r="F153" s="172"/>
      <c r="G153" s="172"/>
      <c r="H153" s="172"/>
      <c r="I153" s="172"/>
      <c r="J153" s="172"/>
      <c r="K153" s="172"/>
      <c r="L153" s="159"/>
      <c r="M153" s="159"/>
      <c r="N153" s="159"/>
      <c r="O153" s="159"/>
      <c r="P153" s="159"/>
      <c r="Q153" s="159"/>
      <c r="R153" s="159"/>
    </row>
    <row r="154" spans="1:18">
      <c r="A154" s="126"/>
      <c r="B154" s="174"/>
      <c r="C154" s="174"/>
      <c r="D154" s="172"/>
      <c r="E154" s="172"/>
      <c r="F154" s="172"/>
      <c r="G154" s="172"/>
      <c r="H154" s="172"/>
      <c r="I154" s="172"/>
      <c r="J154" s="172"/>
      <c r="K154" s="172"/>
      <c r="L154" s="159"/>
      <c r="M154" s="159"/>
      <c r="N154" s="159"/>
      <c r="O154" s="159"/>
      <c r="P154" s="159"/>
      <c r="Q154" s="159"/>
      <c r="R154" s="159"/>
    </row>
    <row r="155" spans="1:18">
      <c r="A155" s="126"/>
      <c r="B155" s="176"/>
      <c r="C155" s="174"/>
      <c r="D155" s="172"/>
      <c r="E155" s="172"/>
      <c r="F155" s="172"/>
      <c r="G155" s="172"/>
      <c r="H155" s="172"/>
      <c r="I155" s="172"/>
      <c r="J155" s="172"/>
      <c r="K155" s="172"/>
      <c r="L155" s="159"/>
      <c r="M155" s="159"/>
      <c r="N155" s="159"/>
      <c r="O155" s="159"/>
      <c r="P155" s="159"/>
      <c r="Q155" s="159"/>
      <c r="R155" s="159"/>
    </row>
    <row r="156" spans="1:18">
      <c r="A156" s="126"/>
      <c r="B156" s="174"/>
      <c r="C156" s="174"/>
      <c r="D156" s="172"/>
      <c r="E156" s="172"/>
      <c r="F156" s="172"/>
      <c r="G156" s="172"/>
      <c r="H156" s="172"/>
      <c r="I156" s="172"/>
      <c r="J156" s="172"/>
      <c r="K156" s="172"/>
      <c r="L156" s="159"/>
      <c r="M156" s="159"/>
      <c r="N156" s="159"/>
      <c r="O156" s="159"/>
      <c r="P156" s="159"/>
      <c r="Q156" s="159"/>
      <c r="R156" s="159"/>
    </row>
    <row r="157" spans="1:18">
      <c r="A157" s="127" t="s">
        <v>167</v>
      </c>
      <c r="B157" s="174"/>
      <c r="C157" s="174"/>
      <c r="D157" s="172"/>
      <c r="E157" s="172"/>
      <c r="F157" s="172"/>
      <c r="G157" s="172"/>
      <c r="H157" s="172"/>
      <c r="I157" s="172"/>
      <c r="J157" s="172"/>
      <c r="K157" s="172"/>
      <c r="L157" s="159"/>
      <c r="M157" s="159"/>
      <c r="N157" s="159"/>
      <c r="O157" s="159"/>
      <c r="P157" s="159"/>
      <c r="Q157" s="159"/>
      <c r="R157" s="159"/>
    </row>
    <row r="158" spans="1:18">
      <c r="A158" s="127"/>
      <c r="B158" s="176"/>
      <c r="C158" s="172"/>
      <c r="D158" s="172"/>
      <c r="E158" s="172"/>
      <c r="F158" s="172"/>
      <c r="G158" s="172"/>
      <c r="H158" s="172"/>
      <c r="I158" s="172"/>
      <c r="J158" s="172"/>
      <c r="K158" s="172"/>
      <c r="L158" s="159"/>
      <c r="M158" s="159"/>
      <c r="N158" s="159"/>
      <c r="O158" s="159"/>
      <c r="P158" s="159"/>
      <c r="Q158" s="159"/>
      <c r="R158" s="159"/>
    </row>
    <row r="159" spans="1:18">
      <c r="A159" s="127"/>
      <c r="B159" s="159"/>
      <c r="C159" s="172"/>
      <c r="D159" s="172"/>
      <c r="E159" s="172"/>
      <c r="F159" s="172"/>
      <c r="G159" s="172"/>
      <c r="H159" s="172"/>
      <c r="I159" s="172"/>
      <c r="J159" s="172"/>
      <c r="K159" s="172"/>
      <c r="L159" s="159"/>
      <c r="M159" s="159"/>
      <c r="N159" s="159"/>
      <c r="O159" s="159"/>
      <c r="P159" s="159"/>
      <c r="Q159" s="159"/>
      <c r="R159" s="159"/>
    </row>
    <row r="160" spans="1:18" ht="23.25" customHeight="1">
      <c r="A160" s="128" t="s">
        <v>168</v>
      </c>
      <c r="B160" s="172"/>
      <c r="C160" s="172"/>
      <c r="D160" s="159"/>
      <c r="E160" s="172"/>
      <c r="F160" s="172"/>
      <c r="G160" s="172"/>
      <c r="H160" s="172"/>
      <c r="I160" s="172"/>
      <c r="J160" s="172"/>
      <c r="K160" s="172"/>
      <c r="L160" s="159"/>
      <c r="M160" s="159"/>
      <c r="N160" s="159"/>
      <c r="O160" s="159"/>
      <c r="P160" s="159"/>
      <c r="Q160" s="159"/>
      <c r="R160" s="159"/>
    </row>
    <row r="161" spans="1:18" ht="23.25" customHeight="1">
      <c r="A161" s="128"/>
      <c r="B161" s="172"/>
      <c r="C161" s="172"/>
      <c r="D161" s="159"/>
      <c r="E161" s="172"/>
      <c r="F161" s="172"/>
      <c r="G161" s="172"/>
      <c r="H161" s="172"/>
      <c r="I161" s="172"/>
      <c r="J161" s="172"/>
      <c r="K161" s="172"/>
      <c r="L161" s="159"/>
      <c r="M161" s="159"/>
      <c r="N161" s="159"/>
      <c r="O161" s="159"/>
      <c r="P161" s="159"/>
      <c r="Q161" s="159"/>
      <c r="R161" s="159"/>
    </row>
    <row r="162" spans="1:18" ht="23.25" customHeight="1">
      <c r="A162" s="128"/>
      <c r="B162" s="172"/>
      <c r="C162" s="159"/>
      <c r="D162" s="159"/>
      <c r="E162" s="159"/>
      <c r="F162" s="172"/>
      <c r="G162" s="172"/>
      <c r="H162" s="172"/>
      <c r="I162" s="172"/>
      <c r="J162" s="172"/>
      <c r="K162" s="172"/>
      <c r="L162" s="159"/>
      <c r="M162" s="159"/>
      <c r="N162" s="159"/>
      <c r="O162" s="159"/>
      <c r="P162" s="159"/>
      <c r="Q162" s="159"/>
      <c r="R162" s="159"/>
    </row>
    <row r="163" spans="1:18">
      <c r="B163" s="159"/>
      <c r="C163" s="159"/>
      <c r="D163" s="159"/>
      <c r="E163" s="159"/>
      <c r="F163" s="159"/>
      <c r="G163" s="159"/>
      <c r="H163" s="159"/>
      <c r="I163" s="159"/>
      <c r="J163" s="159"/>
      <c r="K163" s="159"/>
      <c r="L163" s="159"/>
      <c r="M163" s="159"/>
      <c r="N163" s="159"/>
      <c r="O163" s="159"/>
      <c r="P163" s="159"/>
      <c r="Q163" s="159"/>
      <c r="R163" s="159"/>
    </row>
    <row r="164" spans="1:18">
      <c r="B164" s="159"/>
      <c r="C164" s="159"/>
      <c r="D164" s="159"/>
      <c r="E164" s="159"/>
      <c r="F164" s="159"/>
      <c r="G164" s="159"/>
      <c r="H164" s="159"/>
      <c r="I164" s="159"/>
      <c r="J164" s="159"/>
      <c r="K164" s="159"/>
      <c r="L164" s="159"/>
      <c r="M164" s="159"/>
      <c r="N164" s="159"/>
      <c r="O164" s="159"/>
      <c r="P164" s="159"/>
      <c r="Q164" s="159"/>
      <c r="R164" s="159"/>
    </row>
    <row r="165" spans="1:18">
      <c r="B165" s="159"/>
      <c r="C165" s="159"/>
      <c r="D165" s="159"/>
      <c r="E165" s="159"/>
      <c r="F165" s="159"/>
      <c r="G165" s="159"/>
      <c r="H165" s="159"/>
      <c r="I165" s="159"/>
      <c r="J165" s="159"/>
      <c r="K165" s="159"/>
      <c r="L165" s="159"/>
      <c r="M165" s="159"/>
      <c r="N165" s="159"/>
      <c r="O165" s="159"/>
      <c r="P165" s="159"/>
      <c r="Q165" s="159"/>
      <c r="R165" s="159"/>
    </row>
    <row r="166" spans="1:18">
      <c r="B166" s="130"/>
      <c r="C166" s="159"/>
      <c r="D166" s="159"/>
      <c r="E166" s="159"/>
      <c r="F166" s="159"/>
      <c r="G166" s="159"/>
      <c r="H166" s="159"/>
      <c r="I166" s="159"/>
      <c r="J166" s="159"/>
      <c r="K166" s="159"/>
      <c r="L166" s="159"/>
      <c r="M166" s="159"/>
      <c r="N166" s="159"/>
      <c r="O166" s="159"/>
      <c r="P166" s="159"/>
      <c r="Q166" s="159"/>
      <c r="R166" s="159"/>
    </row>
    <row r="167" spans="1:18">
      <c r="B167" s="159"/>
      <c r="C167" s="159"/>
      <c r="D167" s="159"/>
      <c r="E167" s="159"/>
      <c r="F167" s="159"/>
      <c r="G167" s="159"/>
      <c r="H167" s="159"/>
      <c r="I167" s="159"/>
      <c r="J167" s="159"/>
      <c r="K167" s="159"/>
      <c r="L167" s="159"/>
      <c r="M167" s="159"/>
      <c r="N167" s="159"/>
      <c r="O167" s="159"/>
      <c r="P167" s="159"/>
      <c r="Q167" s="159"/>
      <c r="R167" s="159"/>
    </row>
    <row r="168" spans="1:18">
      <c r="B168" s="159"/>
      <c r="C168" s="159"/>
      <c r="D168" s="159"/>
      <c r="E168" s="159"/>
      <c r="F168" s="159"/>
      <c r="G168" s="159"/>
      <c r="H168" s="159"/>
      <c r="I168" s="159"/>
      <c r="J168" s="159"/>
      <c r="K168" s="159"/>
      <c r="L168" s="159"/>
      <c r="M168" s="159"/>
      <c r="N168" s="159"/>
      <c r="O168" s="159"/>
      <c r="P168" s="159"/>
      <c r="Q168" s="159"/>
      <c r="R168" s="159"/>
    </row>
    <row r="169" spans="1:18">
      <c r="B169" s="159"/>
      <c r="C169" s="159"/>
      <c r="D169" s="159"/>
      <c r="E169" s="159"/>
      <c r="F169" s="159"/>
      <c r="G169" s="159"/>
      <c r="H169" s="159"/>
      <c r="I169" s="159"/>
      <c r="J169" s="159"/>
      <c r="K169" s="159"/>
      <c r="L169" s="159"/>
      <c r="M169" s="159"/>
      <c r="N169" s="159"/>
      <c r="O169" s="159"/>
      <c r="P169" s="159"/>
      <c r="Q169" s="159"/>
      <c r="R169" s="159"/>
    </row>
    <row r="170" spans="1:18">
      <c r="B170" s="159"/>
      <c r="C170" s="159"/>
      <c r="D170" s="159"/>
      <c r="E170" s="159"/>
      <c r="F170" s="159"/>
      <c r="G170" s="159"/>
      <c r="H170" s="159"/>
      <c r="I170" s="159"/>
      <c r="J170" s="159"/>
      <c r="K170" s="159"/>
      <c r="L170" s="159"/>
      <c r="M170" s="159"/>
      <c r="N170" s="159"/>
      <c r="O170" s="159"/>
      <c r="P170" s="159"/>
      <c r="Q170" s="159"/>
      <c r="R170" s="159"/>
    </row>
    <row r="171" spans="1:18">
      <c r="B171" s="159"/>
      <c r="C171" s="159"/>
      <c r="D171" s="159"/>
      <c r="E171" s="159"/>
      <c r="F171" s="159"/>
      <c r="G171" s="159"/>
      <c r="H171" s="159"/>
      <c r="I171" s="159"/>
      <c r="J171" s="159"/>
      <c r="K171" s="159"/>
      <c r="L171" s="159"/>
      <c r="M171" s="159"/>
      <c r="N171" s="159"/>
      <c r="O171" s="159"/>
      <c r="P171" s="159"/>
      <c r="Q171" s="159"/>
      <c r="R171" s="159"/>
    </row>
    <row r="172" spans="1:18">
      <c r="B172" s="159"/>
      <c r="C172" s="159"/>
      <c r="D172" s="159"/>
      <c r="E172" s="159"/>
      <c r="F172" s="159"/>
      <c r="G172" s="159"/>
      <c r="H172" s="159"/>
      <c r="I172" s="159"/>
      <c r="J172" s="159"/>
      <c r="K172" s="159"/>
      <c r="L172" s="159"/>
      <c r="M172" s="159"/>
      <c r="N172" s="159"/>
      <c r="O172" s="159"/>
      <c r="P172" s="159"/>
      <c r="Q172" s="159"/>
      <c r="R172" s="159"/>
    </row>
    <row r="173" spans="1:18">
      <c r="B173" s="159"/>
      <c r="C173" s="159"/>
      <c r="D173" s="159"/>
      <c r="E173" s="159"/>
      <c r="F173" s="159"/>
      <c r="G173" s="159"/>
      <c r="H173" s="159"/>
      <c r="I173" s="159"/>
      <c r="J173" s="159"/>
      <c r="K173" s="159"/>
      <c r="L173" s="159"/>
      <c r="M173" s="159"/>
      <c r="N173" s="159"/>
      <c r="O173" s="159"/>
      <c r="P173" s="159"/>
      <c r="Q173" s="159"/>
      <c r="R173" s="159"/>
    </row>
    <row r="174" spans="1:18">
      <c r="B174" s="159"/>
      <c r="C174" s="159"/>
      <c r="D174" s="159"/>
      <c r="E174" s="159"/>
      <c r="F174" s="159"/>
      <c r="G174" s="159"/>
      <c r="H174" s="159"/>
      <c r="I174" s="159"/>
      <c r="J174" s="159"/>
      <c r="K174" s="159"/>
      <c r="L174" s="159"/>
      <c r="M174" s="159"/>
      <c r="N174" s="159"/>
      <c r="O174" s="159"/>
      <c r="P174" s="159"/>
      <c r="Q174" s="159"/>
      <c r="R174" s="159"/>
    </row>
    <row r="175" spans="1:18">
      <c r="B175" s="159"/>
      <c r="C175" s="159"/>
      <c r="D175" s="159"/>
      <c r="E175" s="159"/>
      <c r="F175" s="159"/>
      <c r="G175" s="159"/>
      <c r="H175" s="159"/>
      <c r="I175" s="159"/>
      <c r="J175" s="159"/>
      <c r="K175" s="159"/>
      <c r="L175" s="159"/>
      <c r="M175" s="159"/>
      <c r="N175" s="159"/>
      <c r="O175" s="159"/>
      <c r="P175" s="159"/>
      <c r="Q175" s="159"/>
      <c r="R175" s="159"/>
    </row>
    <row r="176" spans="1:18">
      <c r="B176" s="159"/>
      <c r="C176" s="159"/>
      <c r="D176" s="159"/>
      <c r="E176" s="159"/>
      <c r="F176" s="159"/>
      <c r="G176" s="159"/>
      <c r="H176" s="159"/>
      <c r="I176" s="159"/>
      <c r="J176" s="159"/>
      <c r="K176" s="159"/>
      <c r="L176" s="159"/>
      <c r="M176" s="159"/>
      <c r="N176" s="159"/>
      <c r="O176" s="159"/>
      <c r="P176" s="159"/>
      <c r="Q176" s="159"/>
      <c r="R176" s="159"/>
    </row>
    <row r="177" spans="2:18">
      <c r="B177" s="159"/>
      <c r="C177" s="159"/>
      <c r="D177" s="159"/>
      <c r="E177" s="159"/>
      <c r="F177" s="159"/>
      <c r="G177" s="159"/>
      <c r="H177" s="159"/>
      <c r="I177" s="159"/>
      <c r="J177" s="159"/>
      <c r="K177" s="159"/>
      <c r="L177" s="159"/>
      <c r="M177" s="159"/>
      <c r="N177" s="159"/>
      <c r="O177" s="159"/>
      <c r="P177" s="159"/>
      <c r="Q177" s="159"/>
      <c r="R177" s="159"/>
    </row>
  </sheetData>
  <mergeCells count="16">
    <mergeCell ref="A52:A57"/>
    <mergeCell ref="A58:A65"/>
    <mergeCell ref="A66:A68"/>
    <mergeCell ref="A80:A85"/>
    <mergeCell ref="A86:A93"/>
    <mergeCell ref="A94:A96"/>
    <mergeCell ref="A143:A148"/>
    <mergeCell ref="A149:A156"/>
    <mergeCell ref="A157:A159"/>
    <mergeCell ref="A160:A162"/>
    <mergeCell ref="A2:A7"/>
    <mergeCell ref="A8:A15"/>
    <mergeCell ref="A16:A18"/>
    <mergeCell ref="A26:A31"/>
    <mergeCell ref="A32:A39"/>
    <mergeCell ref="A40:A42"/>
  </mergeCells>
  <conditionalFormatting sqref="B77:C77">
    <cfRule type="duplicateValues" dxfId="5" priority="7"/>
  </conditionalFormatting>
  <conditionalFormatting sqref="B78:C78">
    <cfRule type="duplicateValues" dxfId="4" priority="6"/>
  </conditionalFormatting>
  <conditionalFormatting sqref="B100:C100">
    <cfRule type="duplicateValues" dxfId="3" priority="4"/>
  </conditionalFormatting>
  <conditionalFormatting sqref="B121:C121">
    <cfRule type="duplicateValues" dxfId="2" priority="3"/>
  </conditionalFormatting>
  <conditionalFormatting sqref="B122:C123">
    <cfRule type="duplicateValues" dxfId="1" priority="2"/>
  </conditionalFormatting>
  <conditionalFormatting sqref="B166 C158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dimension ref="A1:AS95"/>
  <sheetViews>
    <sheetView topLeftCell="A67" zoomScale="150" zoomScaleNormal="150" workbookViewId="0">
      <selection activeCell="F32" sqref="F32"/>
    </sheetView>
  </sheetViews>
  <sheetFormatPr defaultRowHeight="15"/>
  <sheetData>
    <row r="1" spans="1:45">
      <c r="D1" s="37"/>
      <c r="Q1" s="37">
        <v>0.876</v>
      </c>
      <c r="R1">
        <v>0.93799999999999994</v>
      </c>
      <c r="S1">
        <v>0.94899999999999995</v>
      </c>
      <c r="T1">
        <v>0.85599999999999998</v>
      </c>
      <c r="U1">
        <v>0.82099999999999995</v>
      </c>
      <c r="V1">
        <v>0.91300000000000003</v>
      </c>
      <c r="W1">
        <v>0.95099999999999996</v>
      </c>
      <c r="X1">
        <v>0.97499999999999998</v>
      </c>
      <c r="Y1">
        <v>0.94</v>
      </c>
      <c r="Z1">
        <v>0.67600000000000005</v>
      </c>
      <c r="AA1">
        <v>0.747</v>
      </c>
      <c r="AB1">
        <v>0.76900000000000002</v>
      </c>
      <c r="AC1">
        <v>0.68799999999999994</v>
      </c>
      <c r="AD1">
        <v>0.66</v>
      </c>
      <c r="AE1">
        <v>0.73299999999999998</v>
      </c>
      <c r="AF1">
        <v>0.73899999999999999</v>
      </c>
      <c r="AG1">
        <v>0.72899999999999998</v>
      </c>
      <c r="AH1">
        <v>0.76600000000000001</v>
      </c>
      <c r="AI1">
        <v>0.73499999999999999</v>
      </c>
      <c r="AJ1">
        <v>0.748</v>
      </c>
      <c r="AK1">
        <v>0.73599999999999999</v>
      </c>
      <c r="AL1">
        <v>0.73499999999999999</v>
      </c>
    </row>
    <row r="2" spans="1:45">
      <c r="G2" s="38"/>
    </row>
    <row r="3" spans="1:45">
      <c r="A3">
        <v>0.84</v>
      </c>
      <c r="B3" s="37">
        <v>0.871</v>
      </c>
      <c r="C3">
        <f>ABS((A3-B3)/A3)</f>
        <v>3.690476190476194E-2</v>
      </c>
      <c r="E3" s="37"/>
      <c r="F3" s="37"/>
      <c r="G3" s="37">
        <v>1</v>
      </c>
      <c r="H3">
        <f>RANK(A3,$A$3:$A$24,0)</f>
        <v>8</v>
      </c>
      <c r="I3" s="37">
        <v>1</v>
      </c>
      <c r="J3">
        <f>RANK(B3,$B$3:$B$24,0)</f>
        <v>8</v>
      </c>
      <c r="L3">
        <f>(G3)/(LOG(1+H3,2))</f>
        <v>0.31546487678572871</v>
      </c>
      <c r="M3">
        <f>(I3)/(LOG(1+J3,2))</f>
        <v>0.31546487678572871</v>
      </c>
      <c r="O3">
        <v>1</v>
      </c>
      <c r="P3">
        <f>IF(A3&gt;0.8,1,0)</f>
        <v>1</v>
      </c>
      <c r="Q3">
        <f>IF(B3&gt;0.8,1,0)</f>
        <v>1</v>
      </c>
      <c r="R3">
        <f>IF(P3=Q3,1,0)</f>
        <v>1</v>
      </c>
      <c r="U3" s="37">
        <v>0.871</v>
      </c>
      <c r="V3">
        <v>0.91300000000000003</v>
      </c>
      <c r="W3">
        <v>0.92100000000000004</v>
      </c>
      <c r="X3">
        <v>0.873</v>
      </c>
      <c r="Y3">
        <v>0.84799999999999998</v>
      </c>
      <c r="Z3">
        <v>0.93600000000000005</v>
      </c>
      <c r="AA3">
        <v>0.96099999999999997</v>
      </c>
      <c r="AB3">
        <v>0.99</v>
      </c>
      <c r="AC3">
        <v>0.97599999999999998</v>
      </c>
      <c r="AD3">
        <v>0.71499999999999997</v>
      </c>
      <c r="AE3">
        <v>0.72899999999999998</v>
      </c>
      <c r="AF3">
        <v>0.73299999999999998</v>
      </c>
      <c r="AG3">
        <v>0.66900000000000004</v>
      </c>
      <c r="AH3">
        <v>0.67800000000000005</v>
      </c>
      <c r="AI3">
        <v>0.70299999999999996</v>
      </c>
      <c r="AJ3">
        <v>0.72499999999999998</v>
      </c>
      <c r="AK3">
        <v>0.70699999999999996</v>
      </c>
      <c r="AL3">
        <v>0.73699999999999999</v>
      </c>
      <c r="AM3">
        <v>0.68700000000000006</v>
      </c>
      <c r="AN3">
        <v>0.66</v>
      </c>
      <c r="AO3">
        <v>0.66500000000000004</v>
      </c>
      <c r="AP3">
        <v>0.66200000000000003</v>
      </c>
    </row>
    <row r="4" spans="1:45">
      <c r="A4">
        <v>0.89800000000000002</v>
      </c>
      <c r="B4">
        <v>0.91300000000000003</v>
      </c>
      <c r="C4">
        <f t="shared" ref="C4:C24" si="0">ABS((A4-B4)/A4)</f>
        <v>1.6703786191536764E-2</v>
      </c>
      <c r="E4" s="37"/>
      <c r="G4">
        <v>2</v>
      </c>
      <c r="H4">
        <f t="shared" ref="H4:H24" si="1">RANK(A4,$A$3:$A$24,0)</f>
        <v>6</v>
      </c>
      <c r="I4">
        <v>2</v>
      </c>
      <c r="J4">
        <f t="shared" ref="J4:J24" si="2">RANK(B4,$B$3:$B$24,0)</f>
        <v>6</v>
      </c>
      <c r="L4">
        <f t="shared" ref="L4:L11" si="3">(G4)/(LOG(1+H4,2))</f>
        <v>0.71241437421604437</v>
      </c>
      <c r="M4">
        <f t="shared" ref="M4:M11" si="4">(I4)/(LOG(1+J4,2))</f>
        <v>0.71241437421604437</v>
      </c>
      <c r="O4">
        <v>2</v>
      </c>
      <c r="P4">
        <f t="shared" ref="P4:P24" si="5">IF(A4&gt;0.8,1,0)</f>
        <v>1</v>
      </c>
      <c r="Q4">
        <f t="shared" ref="Q4:Q24" si="6">IF(B4&gt;0.8,1,0)</f>
        <v>1</v>
      </c>
      <c r="R4">
        <f t="shared" ref="R4:R24" si="7">IF(P4=Q4,1,0)</f>
        <v>1</v>
      </c>
    </row>
    <row r="5" spans="1:45">
      <c r="A5">
        <v>0.90600000000000003</v>
      </c>
      <c r="B5">
        <v>0.92100000000000004</v>
      </c>
      <c r="C5">
        <f t="shared" si="0"/>
        <v>1.6556291390728492E-2</v>
      </c>
      <c r="E5" s="37"/>
      <c r="G5" s="37">
        <v>3</v>
      </c>
      <c r="H5">
        <f t="shared" si="1"/>
        <v>4</v>
      </c>
      <c r="I5" s="37">
        <v>3</v>
      </c>
      <c r="J5">
        <f t="shared" si="2"/>
        <v>5</v>
      </c>
      <c r="L5">
        <f t="shared" si="3"/>
        <v>1.2920296742201793</v>
      </c>
      <c r="M5">
        <f t="shared" si="4"/>
        <v>1.1605584217036249</v>
      </c>
      <c r="O5">
        <v>3</v>
      </c>
      <c r="P5">
        <f t="shared" si="5"/>
        <v>1</v>
      </c>
      <c r="Q5">
        <f t="shared" si="6"/>
        <v>1</v>
      </c>
      <c r="R5">
        <f t="shared" si="7"/>
        <v>1</v>
      </c>
      <c r="W5" s="37">
        <v>0.83599999999999997</v>
      </c>
      <c r="X5">
        <v>0.90800000000000003</v>
      </c>
      <c r="Y5">
        <v>0.89900000000000002</v>
      </c>
      <c r="Z5">
        <v>0.89600000000000002</v>
      </c>
      <c r="AA5">
        <v>0.84699999999999998</v>
      </c>
      <c r="AB5">
        <v>0.91</v>
      </c>
      <c r="AC5">
        <v>0.94499999999999995</v>
      </c>
      <c r="AD5">
        <v>0.92300000000000004</v>
      </c>
      <c r="AE5">
        <v>0.92700000000000005</v>
      </c>
      <c r="AF5">
        <v>0.67</v>
      </c>
      <c r="AG5">
        <v>0.753</v>
      </c>
      <c r="AH5">
        <v>0.75</v>
      </c>
      <c r="AI5">
        <v>0.69699999999999995</v>
      </c>
      <c r="AJ5">
        <v>0.68</v>
      </c>
      <c r="AK5">
        <v>0.70699999999999996</v>
      </c>
      <c r="AL5">
        <v>0.71099999999999997</v>
      </c>
      <c r="AM5">
        <v>0.71499999999999997</v>
      </c>
      <c r="AN5">
        <v>0.72</v>
      </c>
      <c r="AO5">
        <v>0.70899999999999996</v>
      </c>
      <c r="AP5">
        <v>0.71799999999999997</v>
      </c>
      <c r="AQ5">
        <v>0.70099999999999996</v>
      </c>
      <c r="AR5">
        <v>0.71199999999999997</v>
      </c>
    </row>
    <row r="6" spans="1:45">
      <c r="A6">
        <v>0.84499999999999997</v>
      </c>
      <c r="B6">
        <v>0.873</v>
      </c>
      <c r="C6">
        <f t="shared" si="0"/>
        <v>3.3136094674556242E-2</v>
      </c>
      <c r="E6" s="37"/>
      <c r="G6">
        <v>4</v>
      </c>
      <c r="H6">
        <f t="shared" si="1"/>
        <v>7</v>
      </c>
      <c r="I6">
        <v>4</v>
      </c>
      <c r="J6">
        <f t="shared" si="2"/>
        <v>7</v>
      </c>
      <c r="L6">
        <f t="shared" si="3"/>
        <v>1.3333333333333333</v>
      </c>
      <c r="M6">
        <f t="shared" si="4"/>
        <v>1.3333333333333333</v>
      </c>
      <c r="O6">
        <v>4</v>
      </c>
      <c r="P6">
        <f t="shared" si="5"/>
        <v>1</v>
      </c>
      <c r="Q6">
        <f t="shared" si="6"/>
        <v>1</v>
      </c>
      <c r="R6">
        <f t="shared" si="7"/>
        <v>1</v>
      </c>
    </row>
    <row r="7" spans="1:45">
      <c r="A7">
        <v>0.82</v>
      </c>
      <c r="B7">
        <v>0.84799999999999998</v>
      </c>
      <c r="C7">
        <f t="shared" si="0"/>
        <v>3.4146341463414664E-2</v>
      </c>
      <c r="E7" s="37"/>
      <c r="G7" s="37">
        <v>5</v>
      </c>
      <c r="H7">
        <f t="shared" si="1"/>
        <v>9</v>
      </c>
      <c r="I7" s="37">
        <v>5</v>
      </c>
      <c r="J7">
        <f t="shared" si="2"/>
        <v>9</v>
      </c>
      <c r="L7">
        <f t="shared" si="3"/>
        <v>1.5051499783199058</v>
      </c>
      <c r="M7">
        <f t="shared" si="4"/>
        <v>1.5051499783199058</v>
      </c>
      <c r="O7">
        <v>5</v>
      </c>
      <c r="P7">
        <f t="shared" si="5"/>
        <v>1</v>
      </c>
      <c r="Q7">
        <f t="shared" si="6"/>
        <v>1</v>
      </c>
      <c r="R7">
        <f t="shared" si="7"/>
        <v>1</v>
      </c>
      <c r="X7" s="37">
        <v>0.874</v>
      </c>
      <c r="Y7">
        <v>0.94699999999999995</v>
      </c>
      <c r="Z7">
        <v>0.96299999999999997</v>
      </c>
      <c r="AA7">
        <v>0.88800000000000001</v>
      </c>
      <c r="AB7">
        <v>0.84699999999999998</v>
      </c>
      <c r="AC7">
        <v>0.92100000000000004</v>
      </c>
      <c r="AD7">
        <v>0.94699999999999995</v>
      </c>
      <c r="AE7">
        <v>0.997</v>
      </c>
      <c r="AF7">
        <v>0.98199999999999998</v>
      </c>
      <c r="AG7">
        <v>0.66200000000000003</v>
      </c>
      <c r="AH7">
        <v>0.71699999999999997</v>
      </c>
      <c r="AI7">
        <v>0.72</v>
      </c>
      <c r="AJ7">
        <v>0.65300000000000002</v>
      </c>
      <c r="AK7">
        <v>0.64300000000000002</v>
      </c>
      <c r="AL7">
        <v>0.69499999999999995</v>
      </c>
      <c r="AM7">
        <v>0.69899999999999995</v>
      </c>
      <c r="AN7">
        <v>0.71</v>
      </c>
      <c r="AO7">
        <v>0.71599999999999997</v>
      </c>
      <c r="AP7">
        <v>0.70099999999999996</v>
      </c>
      <c r="AQ7">
        <v>0.68200000000000005</v>
      </c>
      <c r="AR7">
        <v>0.67</v>
      </c>
      <c r="AS7">
        <v>0.68</v>
      </c>
    </row>
    <row r="8" spans="1:45">
      <c r="A8">
        <v>0.90200000000000002</v>
      </c>
      <c r="B8">
        <v>0.93600000000000005</v>
      </c>
      <c r="C8">
        <f t="shared" si="0"/>
        <v>3.7694013303769432E-2</v>
      </c>
      <c r="E8" s="37"/>
      <c r="G8">
        <v>6</v>
      </c>
      <c r="H8">
        <f t="shared" si="1"/>
        <v>5</v>
      </c>
      <c r="I8">
        <v>6</v>
      </c>
      <c r="J8">
        <f t="shared" si="2"/>
        <v>4</v>
      </c>
      <c r="L8">
        <f t="shared" si="3"/>
        <v>2.3211168434072498</v>
      </c>
      <c r="M8">
        <f t="shared" si="4"/>
        <v>2.5840593484403587</v>
      </c>
      <c r="O8">
        <v>6</v>
      </c>
      <c r="P8">
        <f t="shared" si="5"/>
        <v>1</v>
      </c>
      <c r="Q8">
        <f t="shared" si="6"/>
        <v>1</v>
      </c>
      <c r="R8">
        <f t="shared" si="7"/>
        <v>1</v>
      </c>
    </row>
    <row r="9" spans="1:45">
      <c r="A9">
        <v>0.92300000000000004</v>
      </c>
      <c r="B9">
        <v>0.96099999999999997</v>
      </c>
      <c r="C9">
        <f t="shared" si="0"/>
        <v>4.1170097508125593E-2</v>
      </c>
      <c r="E9" s="37"/>
      <c r="G9" s="37">
        <v>7</v>
      </c>
      <c r="H9">
        <f t="shared" si="1"/>
        <v>3</v>
      </c>
      <c r="I9" s="37">
        <v>7</v>
      </c>
      <c r="J9">
        <f t="shared" si="2"/>
        <v>3</v>
      </c>
      <c r="L9">
        <f t="shared" si="3"/>
        <v>3.5</v>
      </c>
      <c r="M9">
        <f t="shared" si="4"/>
        <v>3.5</v>
      </c>
      <c r="O9">
        <v>7</v>
      </c>
      <c r="P9">
        <f t="shared" si="5"/>
        <v>1</v>
      </c>
      <c r="Q9">
        <f t="shared" si="6"/>
        <v>1</v>
      </c>
      <c r="R9">
        <f t="shared" si="7"/>
        <v>1</v>
      </c>
    </row>
    <row r="10" spans="1:45">
      <c r="A10">
        <v>1</v>
      </c>
      <c r="B10">
        <v>0.99</v>
      </c>
      <c r="C10">
        <f t="shared" si="0"/>
        <v>1.0000000000000009E-2</v>
      </c>
      <c r="E10" s="37"/>
      <c r="G10">
        <v>8</v>
      </c>
      <c r="H10">
        <f t="shared" si="1"/>
        <v>1</v>
      </c>
      <c r="I10">
        <v>8</v>
      </c>
      <c r="J10">
        <f t="shared" si="2"/>
        <v>1</v>
      </c>
      <c r="L10">
        <f t="shared" si="3"/>
        <v>8</v>
      </c>
      <c r="M10">
        <f t="shared" si="4"/>
        <v>8</v>
      </c>
      <c r="O10">
        <v>8</v>
      </c>
      <c r="P10">
        <f t="shared" si="5"/>
        <v>1</v>
      </c>
      <c r="Q10">
        <f t="shared" si="6"/>
        <v>1</v>
      </c>
      <c r="R10">
        <f t="shared" si="7"/>
        <v>1</v>
      </c>
    </row>
    <row r="11" spans="1:45">
      <c r="A11">
        <v>0.97399999999999998</v>
      </c>
      <c r="B11">
        <v>0.97599999999999998</v>
      </c>
      <c r="C11">
        <f t="shared" si="0"/>
        <v>2.0533880903490778E-3</v>
      </c>
      <c r="E11" s="37"/>
      <c r="G11" s="37">
        <v>9</v>
      </c>
      <c r="H11">
        <f t="shared" si="1"/>
        <v>2</v>
      </c>
      <c r="I11" s="37">
        <v>9</v>
      </c>
      <c r="J11">
        <f t="shared" si="2"/>
        <v>2</v>
      </c>
      <c r="L11">
        <f t="shared" si="3"/>
        <v>5.6783677821431162</v>
      </c>
      <c r="M11">
        <f t="shared" si="4"/>
        <v>5.6783677821431162</v>
      </c>
      <c r="O11">
        <v>9</v>
      </c>
      <c r="P11">
        <f t="shared" si="5"/>
        <v>1</v>
      </c>
      <c r="Q11">
        <f t="shared" si="6"/>
        <v>1</v>
      </c>
      <c r="R11">
        <f t="shared" si="7"/>
        <v>1</v>
      </c>
    </row>
    <row r="12" spans="1:45">
      <c r="A12">
        <v>0.59499999999999997</v>
      </c>
      <c r="B12">
        <v>0.71499999999999997</v>
      </c>
      <c r="C12">
        <f t="shared" si="0"/>
        <v>0.20168067226890757</v>
      </c>
      <c r="E12" s="37"/>
      <c r="G12">
        <v>10</v>
      </c>
      <c r="H12">
        <f t="shared" si="1"/>
        <v>19</v>
      </c>
      <c r="I12">
        <v>10</v>
      </c>
      <c r="J12">
        <f t="shared" si="2"/>
        <v>14</v>
      </c>
      <c r="O12">
        <v>10</v>
      </c>
      <c r="P12">
        <f t="shared" si="5"/>
        <v>0</v>
      </c>
      <c r="Q12">
        <f t="shared" si="6"/>
        <v>0</v>
      </c>
      <c r="R12">
        <f t="shared" si="7"/>
        <v>1</v>
      </c>
    </row>
    <row r="13" spans="1:45">
      <c r="A13">
        <v>0.65300000000000002</v>
      </c>
      <c r="B13">
        <v>0.72899999999999998</v>
      </c>
      <c r="C13">
        <f t="shared" si="0"/>
        <v>0.11638591117917298</v>
      </c>
      <c r="E13" s="37"/>
      <c r="G13" s="37">
        <v>11</v>
      </c>
      <c r="H13">
        <f t="shared" si="1"/>
        <v>13</v>
      </c>
      <c r="I13" s="37">
        <v>11</v>
      </c>
      <c r="J13">
        <f t="shared" si="2"/>
        <v>12</v>
      </c>
      <c r="O13">
        <v>11</v>
      </c>
      <c r="P13">
        <f t="shared" si="5"/>
        <v>0</v>
      </c>
      <c r="Q13">
        <f t="shared" si="6"/>
        <v>0</v>
      </c>
      <c r="R13">
        <f t="shared" si="7"/>
        <v>1</v>
      </c>
    </row>
    <row r="14" spans="1:45">
      <c r="A14">
        <v>0.65300000000000002</v>
      </c>
      <c r="B14">
        <v>0.73299999999999998</v>
      </c>
      <c r="C14">
        <f t="shared" si="0"/>
        <v>0.12251148545176103</v>
      </c>
      <c r="E14" s="37"/>
      <c r="G14">
        <v>12</v>
      </c>
      <c r="H14">
        <f t="shared" si="1"/>
        <v>13</v>
      </c>
      <c r="I14">
        <v>12</v>
      </c>
      <c r="J14">
        <f t="shared" si="2"/>
        <v>11</v>
      </c>
      <c r="O14">
        <v>12</v>
      </c>
      <c r="P14">
        <f t="shared" si="5"/>
        <v>0</v>
      </c>
      <c r="Q14">
        <f t="shared" si="6"/>
        <v>0</v>
      </c>
      <c r="R14">
        <f t="shared" si="7"/>
        <v>1</v>
      </c>
    </row>
    <row r="15" spans="1:45">
      <c r="A15">
        <v>0.57499999999999996</v>
      </c>
      <c r="B15">
        <v>0.66900000000000004</v>
      </c>
      <c r="C15">
        <f t="shared" si="0"/>
        <v>0.16347826086956538</v>
      </c>
      <c r="E15" s="37"/>
      <c r="G15" s="37">
        <v>13</v>
      </c>
      <c r="H15">
        <f t="shared" si="1"/>
        <v>20</v>
      </c>
      <c r="I15" s="37">
        <v>13</v>
      </c>
      <c r="J15">
        <f t="shared" si="2"/>
        <v>19</v>
      </c>
      <c r="O15">
        <v>13</v>
      </c>
      <c r="P15">
        <f t="shared" si="5"/>
        <v>0</v>
      </c>
      <c r="Q15">
        <f t="shared" si="6"/>
        <v>0</v>
      </c>
      <c r="R15">
        <f t="shared" si="7"/>
        <v>1</v>
      </c>
    </row>
    <row r="16" spans="1:45">
      <c r="A16">
        <v>0.55000000000000004</v>
      </c>
      <c r="B16">
        <v>0.67800000000000005</v>
      </c>
      <c r="C16">
        <f t="shared" si="0"/>
        <v>0.23272727272727273</v>
      </c>
      <c r="E16" s="37"/>
      <c r="G16">
        <v>14</v>
      </c>
      <c r="H16">
        <f t="shared" si="1"/>
        <v>22</v>
      </c>
      <c r="I16">
        <v>14</v>
      </c>
      <c r="J16">
        <f t="shared" si="2"/>
        <v>18</v>
      </c>
      <c r="O16">
        <v>14</v>
      </c>
      <c r="P16">
        <f t="shared" si="5"/>
        <v>0</v>
      </c>
      <c r="Q16">
        <f t="shared" si="6"/>
        <v>0</v>
      </c>
      <c r="R16">
        <f t="shared" si="7"/>
        <v>1</v>
      </c>
    </row>
    <row r="17" spans="1:19">
      <c r="A17">
        <v>0.63200000000000001</v>
      </c>
      <c r="B17">
        <v>0.70299999999999996</v>
      </c>
      <c r="C17">
        <f t="shared" si="0"/>
        <v>0.11234177215189865</v>
      </c>
      <c r="E17" s="37"/>
      <c r="G17" s="37">
        <v>15</v>
      </c>
      <c r="H17">
        <f t="shared" si="1"/>
        <v>15</v>
      </c>
      <c r="I17" s="37">
        <v>15</v>
      </c>
      <c r="J17">
        <f t="shared" si="2"/>
        <v>16</v>
      </c>
      <c r="O17">
        <v>15</v>
      </c>
      <c r="P17">
        <f t="shared" si="5"/>
        <v>0</v>
      </c>
      <c r="Q17">
        <f t="shared" si="6"/>
        <v>0</v>
      </c>
      <c r="R17">
        <f t="shared" si="7"/>
        <v>1</v>
      </c>
    </row>
    <row r="18" spans="1:19">
      <c r="A18">
        <v>0.70899999999999996</v>
      </c>
      <c r="B18">
        <v>0.72499999999999998</v>
      </c>
      <c r="C18">
        <f t="shared" si="0"/>
        <v>2.2566995768688314E-2</v>
      </c>
      <c r="E18" s="37"/>
      <c r="G18">
        <v>16</v>
      </c>
      <c r="H18">
        <f t="shared" si="1"/>
        <v>10</v>
      </c>
      <c r="I18">
        <v>16</v>
      </c>
      <c r="J18">
        <f t="shared" si="2"/>
        <v>13</v>
      </c>
      <c r="O18">
        <v>16</v>
      </c>
      <c r="P18">
        <f t="shared" si="5"/>
        <v>0</v>
      </c>
      <c r="Q18">
        <f t="shared" si="6"/>
        <v>0</v>
      </c>
      <c r="R18">
        <f t="shared" si="7"/>
        <v>1</v>
      </c>
    </row>
    <row r="19" spans="1:19">
      <c r="A19">
        <v>0.68400000000000005</v>
      </c>
      <c r="B19">
        <v>0.70699999999999996</v>
      </c>
      <c r="C19">
        <f t="shared" si="0"/>
        <v>3.3625730994151913E-2</v>
      </c>
      <c r="E19" s="37"/>
      <c r="G19" s="37">
        <v>17</v>
      </c>
      <c r="H19">
        <f t="shared" si="1"/>
        <v>12</v>
      </c>
      <c r="I19" s="37">
        <v>17</v>
      </c>
      <c r="J19">
        <f t="shared" si="2"/>
        <v>15</v>
      </c>
      <c r="O19">
        <v>17</v>
      </c>
      <c r="P19">
        <f t="shared" si="5"/>
        <v>0</v>
      </c>
      <c r="Q19">
        <f t="shared" si="6"/>
        <v>0</v>
      </c>
      <c r="R19">
        <f t="shared" si="7"/>
        <v>1</v>
      </c>
    </row>
    <row r="20" spans="1:19">
      <c r="A20">
        <v>0.70899999999999996</v>
      </c>
      <c r="B20">
        <v>0.73699999999999999</v>
      </c>
      <c r="C20">
        <f t="shared" si="0"/>
        <v>3.9492242595204549E-2</v>
      </c>
      <c r="E20" s="37"/>
      <c r="G20">
        <v>18</v>
      </c>
      <c r="H20">
        <f t="shared" si="1"/>
        <v>10</v>
      </c>
      <c r="I20">
        <v>18</v>
      </c>
      <c r="J20">
        <f t="shared" si="2"/>
        <v>10</v>
      </c>
      <c r="O20">
        <v>18</v>
      </c>
      <c r="P20">
        <f t="shared" si="5"/>
        <v>0</v>
      </c>
      <c r="Q20">
        <f t="shared" si="6"/>
        <v>0</v>
      </c>
      <c r="R20">
        <f t="shared" si="7"/>
        <v>1</v>
      </c>
    </row>
    <row r="21" spans="1:19">
      <c r="A21">
        <v>0.63200000000000001</v>
      </c>
      <c r="B21">
        <v>0.68700000000000006</v>
      </c>
      <c r="C21">
        <f t="shared" si="0"/>
        <v>8.7025316455696278E-2</v>
      </c>
      <c r="E21" s="37"/>
      <c r="G21" s="37">
        <v>19</v>
      </c>
      <c r="H21">
        <f t="shared" si="1"/>
        <v>15</v>
      </c>
      <c r="I21" s="37">
        <v>19</v>
      </c>
      <c r="J21">
        <f t="shared" si="2"/>
        <v>17</v>
      </c>
      <c r="O21">
        <v>19</v>
      </c>
      <c r="P21">
        <f t="shared" si="5"/>
        <v>0</v>
      </c>
      <c r="Q21">
        <f t="shared" si="6"/>
        <v>0</v>
      </c>
      <c r="R21">
        <f t="shared" si="7"/>
        <v>1</v>
      </c>
    </row>
    <row r="22" spans="1:19">
      <c r="A22">
        <v>0.60599999999999998</v>
      </c>
      <c r="B22">
        <v>0.66</v>
      </c>
      <c r="C22">
        <f t="shared" si="0"/>
        <v>8.9108910891089188E-2</v>
      </c>
      <c r="E22" s="37"/>
      <c r="G22">
        <v>20</v>
      </c>
      <c r="H22">
        <f t="shared" si="1"/>
        <v>18</v>
      </c>
      <c r="I22">
        <v>20</v>
      </c>
      <c r="J22">
        <f t="shared" si="2"/>
        <v>22</v>
      </c>
      <c r="O22">
        <v>20</v>
      </c>
      <c r="P22">
        <f t="shared" si="5"/>
        <v>0</v>
      </c>
      <c r="Q22">
        <f t="shared" si="6"/>
        <v>0</v>
      </c>
      <c r="R22">
        <f t="shared" si="7"/>
        <v>1</v>
      </c>
    </row>
    <row r="23" spans="1:19">
      <c r="A23">
        <v>0.63200000000000001</v>
      </c>
      <c r="B23">
        <v>0.66500000000000004</v>
      </c>
      <c r="C23">
        <f t="shared" si="0"/>
        <v>5.2215189873417771E-2</v>
      </c>
      <c r="E23" s="37"/>
      <c r="G23" s="37">
        <v>21</v>
      </c>
      <c r="H23">
        <f t="shared" si="1"/>
        <v>15</v>
      </c>
      <c r="I23" s="37">
        <v>21</v>
      </c>
      <c r="J23">
        <f t="shared" si="2"/>
        <v>20</v>
      </c>
      <c r="O23">
        <v>21</v>
      </c>
      <c r="P23">
        <f t="shared" si="5"/>
        <v>0</v>
      </c>
      <c r="Q23">
        <f t="shared" si="6"/>
        <v>0</v>
      </c>
      <c r="R23">
        <f t="shared" si="7"/>
        <v>1</v>
      </c>
    </row>
    <row r="24" spans="1:19">
      <c r="A24">
        <v>0.57499999999999996</v>
      </c>
      <c r="B24">
        <v>0.66200000000000003</v>
      </c>
      <c r="C24">
        <f t="shared" si="0"/>
        <v>0.15130434782608709</v>
      </c>
      <c r="E24" s="37"/>
      <c r="G24">
        <v>22</v>
      </c>
      <c r="H24">
        <f t="shared" si="1"/>
        <v>20</v>
      </c>
      <c r="I24">
        <v>22</v>
      </c>
      <c r="J24">
        <f t="shared" si="2"/>
        <v>21</v>
      </c>
      <c r="O24">
        <v>22</v>
      </c>
      <c r="P24">
        <f t="shared" si="5"/>
        <v>0</v>
      </c>
      <c r="Q24">
        <f t="shared" si="6"/>
        <v>0</v>
      </c>
      <c r="R24">
        <f t="shared" si="7"/>
        <v>1</v>
      </c>
    </row>
    <row r="25" spans="1:19">
      <c r="C25">
        <f>SUM(C3:C24)/22</f>
        <v>7.5128585617279794E-2</v>
      </c>
      <c r="L25">
        <f>SUM(L3:L14)</f>
        <v>24.657876862425557</v>
      </c>
      <c r="M25">
        <f>SUM(M3:M14)</f>
        <v>24.789348114942111</v>
      </c>
      <c r="N25">
        <f>M25/L25</f>
        <v>1.0053318155999431</v>
      </c>
      <c r="S25">
        <f>SUM(R3:R24)/22</f>
        <v>1</v>
      </c>
    </row>
    <row r="26" spans="1:19">
      <c r="N26">
        <f>L25/M25</f>
        <v>0.99469646188730121</v>
      </c>
    </row>
    <row r="29" spans="1:19">
      <c r="A29">
        <v>0.84</v>
      </c>
      <c r="B29" s="37">
        <v>0.83599999999999997</v>
      </c>
      <c r="C29">
        <f>ABS((A29-B29)/A29)</f>
        <v>4.7619047619047667E-3</v>
      </c>
      <c r="G29" s="37">
        <v>1</v>
      </c>
      <c r="H29">
        <f>RANK(A29,$A$3:$A$24,0)</f>
        <v>8</v>
      </c>
      <c r="I29" s="37">
        <v>1</v>
      </c>
      <c r="J29">
        <f>RANK(B29,$B$29:$B$50,0)</f>
        <v>9</v>
      </c>
      <c r="L29">
        <f>(G29)/(LOG(1+H29,2))</f>
        <v>0.31546487678572871</v>
      </c>
      <c r="M29">
        <f>(I29)/(LOG(1+J29,2))</f>
        <v>0.30102999566398114</v>
      </c>
      <c r="P29">
        <f>IF(A29&gt;0.8,1,0)</f>
        <v>1</v>
      </c>
      <c r="Q29">
        <f>IF(B29&gt;0.8,1,0)</f>
        <v>1</v>
      </c>
      <c r="R29">
        <f>IF(P29=Q29,1,0)</f>
        <v>1</v>
      </c>
    </row>
    <row r="30" spans="1:19">
      <c r="A30">
        <v>0.89800000000000002</v>
      </c>
      <c r="B30">
        <v>0.90800000000000003</v>
      </c>
      <c r="C30">
        <f t="shared" ref="C30:C50" si="8">ABS((A30-B30)/A30)</f>
        <v>1.1135857461024509E-2</v>
      </c>
      <c r="G30">
        <v>2</v>
      </c>
      <c r="H30">
        <f t="shared" ref="H30:H50" si="9">RANK(A30,$A$3:$A$24,0)</f>
        <v>6</v>
      </c>
      <c r="I30">
        <v>2</v>
      </c>
      <c r="J30">
        <f t="shared" ref="J30:J50" si="10">RANK(B30,$B$29:$B$50,0)</f>
        <v>5</v>
      </c>
      <c r="L30">
        <f t="shared" ref="L30:L37" si="11">(G30)/(LOG(1+H30,2))</f>
        <v>0.71241437421604437</v>
      </c>
      <c r="M30">
        <f t="shared" ref="M30:M37" si="12">(I30)/(LOG(1+J30,2))</f>
        <v>0.77370561446908326</v>
      </c>
      <c r="P30">
        <f t="shared" ref="P30:P50" si="13">IF(A30&gt;0.8,1,0)</f>
        <v>1</v>
      </c>
      <c r="Q30">
        <f t="shared" ref="Q30:Q50" si="14">IF(B30&gt;0.8,1,0)</f>
        <v>1</v>
      </c>
      <c r="R30">
        <f t="shared" ref="R30:R50" si="15">IF(P30=Q30,1,0)</f>
        <v>1</v>
      </c>
    </row>
    <row r="31" spans="1:19">
      <c r="A31">
        <v>0.90600000000000003</v>
      </c>
      <c r="B31">
        <v>0.89900000000000002</v>
      </c>
      <c r="C31">
        <f t="shared" si="8"/>
        <v>7.7262693156732957E-3</v>
      </c>
      <c r="G31" s="37">
        <v>3</v>
      </c>
      <c r="H31">
        <f t="shared" si="9"/>
        <v>4</v>
      </c>
      <c r="I31" s="37">
        <v>3</v>
      </c>
      <c r="J31">
        <f t="shared" si="10"/>
        <v>6</v>
      </c>
      <c r="L31">
        <f t="shared" si="11"/>
        <v>1.2920296742201793</v>
      </c>
      <c r="M31">
        <f t="shared" si="12"/>
        <v>1.0686215613240666</v>
      </c>
      <c r="P31">
        <f t="shared" si="13"/>
        <v>1</v>
      </c>
      <c r="Q31">
        <f t="shared" si="14"/>
        <v>1</v>
      </c>
      <c r="R31">
        <f t="shared" si="15"/>
        <v>1</v>
      </c>
    </row>
    <row r="32" spans="1:19">
      <c r="A32">
        <v>0.84499999999999997</v>
      </c>
      <c r="B32">
        <v>0.89600000000000002</v>
      </c>
      <c r="C32">
        <f t="shared" si="8"/>
        <v>6.0355029585798872E-2</v>
      </c>
      <c r="G32">
        <v>4</v>
      </c>
      <c r="H32">
        <f t="shared" si="9"/>
        <v>7</v>
      </c>
      <c r="I32">
        <v>4</v>
      </c>
      <c r="J32">
        <f t="shared" si="10"/>
        <v>7</v>
      </c>
      <c r="L32">
        <f t="shared" si="11"/>
        <v>1.3333333333333333</v>
      </c>
      <c r="M32">
        <f t="shared" si="12"/>
        <v>1.3333333333333333</v>
      </c>
      <c r="P32">
        <f t="shared" si="13"/>
        <v>1</v>
      </c>
      <c r="Q32">
        <f t="shared" si="14"/>
        <v>1</v>
      </c>
      <c r="R32">
        <f t="shared" si="15"/>
        <v>1</v>
      </c>
    </row>
    <row r="33" spans="1:18">
      <c r="A33">
        <v>0.82</v>
      </c>
      <c r="B33">
        <v>0.84699999999999998</v>
      </c>
      <c r="C33">
        <f t="shared" si="8"/>
        <v>3.2926829268292712E-2</v>
      </c>
      <c r="G33" s="37">
        <v>5</v>
      </c>
      <c r="H33">
        <f t="shared" si="9"/>
        <v>9</v>
      </c>
      <c r="I33" s="37">
        <v>5</v>
      </c>
      <c r="J33">
        <f t="shared" si="10"/>
        <v>8</v>
      </c>
      <c r="L33">
        <f t="shared" si="11"/>
        <v>1.5051499783199058</v>
      </c>
      <c r="M33">
        <f t="shared" si="12"/>
        <v>1.5773243839286435</v>
      </c>
      <c r="P33">
        <f t="shared" si="13"/>
        <v>1</v>
      </c>
      <c r="Q33">
        <f t="shared" si="14"/>
        <v>1</v>
      </c>
      <c r="R33">
        <f t="shared" si="15"/>
        <v>1</v>
      </c>
    </row>
    <row r="34" spans="1:18">
      <c r="A34">
        <v>0.90200000000000002</v>
      </c>
      <c r="B34">
        <v>0.91</v>
      </c>
      <c r="C34">
        <f t="shared" si="8"/>
        <v>8.8691796008869249E-3</v>
      </c>
      <c r="G34">
        <v>6</v>
      </c>
      <c r="H34">
        <f t="shared" si="9"/>
        <v>5</v>
      </c>
      <c r="I34">
        <v>6</v>
      </c>
      <c r="J34">
        <f t="shared" si="10"/>
        <v>4</v>
      </c>
      <c r="L34">
        <f t="shared" si="11"/>
        <v>2.3211168434072498</v>
      </c>
      <c r="M34">
        <f t="shared" si="12"/>
        <v>2.5840593484403587</v>
      </c>
      <c r="P34">
        <f t="shared" si="13"/>
        <v>1</v>
      </c>
      <c r="Q34">
        <f t="shared" si="14"/>
        <v>1</v>
      </c>
      <c r="R34">
        <f t="shared" si="15"/>
        <v>1</v>
      </c>
    </row>
    <row r="35" spans="1:18">
      <c r="A35">
        <v>0.92300000000000004</v>
      </c>
      <c r="B35">
        <v>0.94499999999999995</v>
      </c>
      <c r="C35">
        <f t="shared" si="8"/>
        <v>2.3835319609967397E-2</v>
      </c>
      <c r="G35" s="37">
        <v>7</v>
      </c>
      <c r="H35">
        <f t="shared" si="9"/>
        <v>3</v>
      </c>
      <c r="I35" s="37">
        <v>7</v>
      </c>
      <c r="J35">
        <f t="shared" si="10"/>
        <v>1</v>
      </c>
      <c r="L35">
        <f t="shared" si="11"/>
        <v>3.5</v>
      </c>
      <c r="M35">
        <f t="shared" si="12"/>
        <v>7</v>
      </c>
      <c r="P35">
        <f t="shared" si="13"/>
        <v>1</v>
      </c>
      <c r="Q35">
        <f t="shared" si="14"/>
        <v>1</v>
      </c>
      <c r="R35">
        <f t="shared" si="15"/>
        <v>1</v>
      </c>
    </row>
    <row r="36" spans="1:18">
      <c r="A36">
        <v>1</v>
      </c>
      <c r="B36">
        <v>0.92300000000000004</v>
      </c>
      <c r="C36">
        <f t="shared" si="8"/>
        <v>7.6999999999999957E-2</v>
      </c>
      <c r="G36">
        <v>8</v>
      </c>
      <c r="H36">
        <f t="shared" si="9"/>
        <v>1</v>
      </c>
      <c r="I36">
        <v>8</v>
      </c>
      <c r="J36">
        <f t="shared" si="10"/>
        <v>3</v>
      </c>
      <c r="L36">
        <f t="shared" si="11"/>
        <v>8</v>
      </c>
      <c r="M36">
        <f t="shared" si="12"/>
        <v>4</v>
      </c>
      <c r="P36">
        <f t="shared" si="13"/>
        <v>1</v>
      </c>
      <c r="Q36">
        <f t="shared" si="14"/>
        <v>1</v>
      </c>
      <c r="R36">
        <f t="shared" si="15"/>
        <v>1</v>
      </c>
    </row>
    <row r="37" spans="1:18">
      <c r="A37">
        <v>0.97399999999999998</v>
      </c>
      <c r="B37">
        <v>0.92700000000000005</v>
      </c>
      <c r="C37">
        <f t="shared" si="8"/>
        <v>4.8254620123203217E-2</v>
      </c>
      <c r="G37" s="37">
        <v>9</v>
      </c>
      <c r="H37">
        <f t="shared" si="9"/>
        <v>2</v>
      </c>
      <c r="I37" s="37">
        <v>9</v>
      </c>
      <c r="J37">
        <f t="shared" si="10"/>
        <v>2</v>
      </c>
      <c r="L37">
        <f t="shared" si="11"/>
        <v>5.6783677821431162</v>
      </c>
      <c r="M37">
        <f t="shared" si="12"/>
        <v>5.6783677821431162</v>
      </c>
      <c r="P37">
        <f t="shared" si="13"/>
        <v>1</v>
      </c>
      <c r="Q37">
        <f t="shared" si="14"/>
        <v>1</v>
      </c>
      <c r="R37">
        <f t="shared" si="15"/>
        <v>1</v>
      </c>
    </row>
    <row r="38" spans="1:18">
      <c r="A38">
        <v>0.59499999999999997</v>
      </c>
      <c r="B38">
        <v>0.67</v>
      </c>
      <c r="C38">
        <f t="shared" si="8"/>
        <v>0.12605042016806733</v>
      </c>
      <c r="G38">
        <v>10</v>
      </c>
      <c r="H38">
        <f t="shared" si="9"/>
        <v>19</v>
      </c>
      <c r="I38">
        <v>10</v>
      </c>
      <c r="J38">
        <f t="shared" si="10"/>
        <v>22</v>
      </c>
      <c r="P38">
        <f t="shared" si="13"/>
        <v>0</v>
      </c>
      <c r="Q38">
        <f t="shared" si="14"/>
        <v>0</v>
      </c>
      <c r="R38">
        <f t="shared" si="15"/>
        <v>1</v>
      </c>
    </row>
    <row r="39" spans="1:18">
      <c r="A39">
        <v>0.65300000000000002</v>
      </c>
      <c r="B39">
        <v>0.753</v>
      </c>
      <c r="C39">
        <f t="shared" si="8"/>
        <v>0.15313935681470134</v>
      </c>
      <c r="G39" s="37">
        <v>11</v>
      </c>
      <c r="H39">
        <f t="shared" si="9"/>
        <v>13</v>
      </c>
      <c r="I39" s="37">
        <v>11</v>
      </c>
      <c r="J39">
        <f t="shared" si="10"/>
        <v>10</v>
      </c>
      <c r="P39">
        <f t="shared" si="13"/>
        <v>0</v>
      </c>
      <c r="Q39">
        <f t="shared" si="14"/>
        <v>0</v>
      </c>
      <c r="R39">
        <f t="shared" si="15"/>
        <v>1</v>
      </c>
    </row>
    <row r="40" spans="1:18">
      <c r="A40">
        <v>0.65300000000000002</v>
      </c>
      <c r="B40">
        <v>0.75</v>
      </c>
      <c r="C40">
        <f t="shared" si="8"/>
        <v>0.1485451761102603</v>
      </c>
      <c r="G40">
        <v>12</v>
      </c>
      <c r="H40">
        <f t="shared" si="9"/>
        <v>13</v>
      </c>
      <c r="I40">
        <v>12</v>
      </c>
      <c r="J40">
        <f t="shared" si="10"/>
        <v>11</v>
      </c>
      <c r="P40">
        <f t="shared" si="13"/>
        <v>0</v>
      </c>
      <c r="Q40">
        <f t="shared" si="14"/>
        <v>0</v>
      </c>
      <c r="R40">
        <f t="shared" si="15"/>
        <v>1</v>
      </c>
    </row>
    <row r="41" spans="1:18">
      <c r="A41">
        <v>0.57499999999999996</v>
      </c>
      <c r="B41">
        <v>0.69699999999999995</v>
      </c>
      <c r="C41">
        <f t="shared" si="8"/>
        <v>0.21217391304347827</v>
      </c>
      <c r="G41" s="37">
        <v>13</v>
      </c>
      <c r="H41">
        <f t="shared" si="9"/>
        <v>20</v>
      </c>
      <c r="I41" s="37">
        <v>13</v>
      </c>
      <c r="J41">
        <f t="shared" si="10"/>
        <v>20</v>
      </c>
      <c r="P41">
        <f t="shared" si="13"/>
        <v>0</v>
      </c>
      <c r="Q41">
        <f t="shared" si="14"/>
        <v>0</v>
      </c>
      <c r="R41">
        <f t="shared" si="15"/>
        <v>1</v>
      </c>
    </row>
    <row r="42" spans="1:18">
      <c r="A42">
        <v>0.55000000000000004</v>
      </c>
      <c r="B42">
        <v>0.68</v>
      </c>
      <c r="C42">
        <f t="shared" si="8"/>
        <v>0.23636363636363636</v>
      </c>
      <c r="G42">
        <v>14</v>
      </c>
      <c r="H42">
        <f t="shared" si="9"/>
        <v>22</v>
      </c>
      <c r="I42">
        <v>14</v>
      </c>
      <c r="J42">
        <f t="shared" si="10"/>
        <v>21</v>
      </c>
      <c r="P42">
        <f t="shared" si="13"/>
        <v>0</v>
      </c>
      <c r="Q42">
        <f t="shared" si="14"/>
        <v>0</v>
      </c>
      <c r="R42">
        <f t="shared" si="15"/>
        <v>1</v>
      </c>
    </row>
    <row r="43" spans="1:18">
      <c r="A43">
        <v>0.63200000000000001</v>
      </c>
      <c r="B43">
        <v>0.70699999999999996</v>
      </c>
      <c r="C43">
        <f t="shared" si="8"/>
        <v>0.11867088607594929</v>
      </c>
      <c r="G43" s="37">
        <v>15</v>
      </c>
      <c r="H43">
        <f t="shared" si="9"/>
        <v>15</v>
      </c>
      <c r="I43" s="37">
        <v>15</v>
      </c>
      <c r="J43">
        <f t="shared" si="10"/>
        <v>18</v>
      </c>
      <c r="P43">
        <f t="shared" si="13"/>
        <v>0</v>
      </c>
      <c r="Q43">
        <f t="shared" si="14"/>
        <v>0</v>
      </c>
      <c r="R43">
        <f t="shared" si="15"/>
        <v>1</v>
      </c>
    </row>
    <row r="44" spans="1:18">
      <c r="A44">
        <v>0.70899999999999996</v>
      </c>
      <c r="B44">
        <v>0.71099999999999997</v>
      </c>
      <c r="C44">
        <f t="shared" si="8"/>
        <v>2.8208744710860392E-3</v>
      </c>
      <c r="G44">
        <v>16</v>
      </c>
      <c r="H44">
        <f t="shared" si="9"/>
        <v>10</v>
      </c>
      <c r="I44">
        <v>16</v>
      </c>
      <c r="J44">
        <f t="shared" si="10"/>
        <v>16</v>
      </c>
      <c r="P44">
        <f t="shared" si="13"/>
        <v>0</v>
      </c>
      <c r="Q44">
        <f t="shared" si="14"/>
        <v>0</v>
      </c>
      <c r="R44">
        <f t="shared" si="15"/>
        <v>1</v>
      </c>
    </row>
    <row r="45" spans="1:18">
      <c r="A45">
        <v>0.68400000000000005</v>
      </c>
      <c r="B45">
        <v>0.71499999999999997</v>
      </c>
      <c r="C45">
        <f t="shared" si="8"/>
        <v>4.5321637426900457E-2</v>
      </c>
      <c r="G45" s="37">
        <v>17</v>
      </c>
      <c r="H45">
        <f t="shared" si="9"/>
        <v>12</v>
      </c>
      <c r="I45" s="37">
        <v>17</v>
      </c>
      <c r="J45">
        <f t="shared" si="10"/>
        <v>14</v>
      </c>
      <c r="P45">
        <f t="shared" si="13"/>
        <v>0</v>
      </c>
      <c r="Q45">
        <f t="shared" si="14"/>
        <v>0</v>
      </c>
      <c r="R45">
        <f t="shared" si="15"/>
        <v>1</v>
      </c>
    </row>
    <row r="46" spans="1:18">
      <c r="A46">
        <v>0.70899999999999996</v>
      </c>
      <c r="B46">
        <v>0.72</v>
      </c>
      <c r="C46">
        <f t="shared" si="8"/>
        <v>1.5514809590973216E-2</v>
      </c>
      <c r="G46">
        <v>18</v>
      </c>
      <c r="H46">
        <f t="shared" si="9"/>
        <v>10</v>
      </c>
      <c r="I46">
        <v>18</v>
      </c>
      <c r="J46">
        <f t="shared" si="10"/>
        <v>12</v>
      </c>
      <c r="P46">
        <f t="shared" si="13"/>
        <v>0</v>
      </c>
      <c r="Q46">
        <f t="shared" si="14"/>
        <v>0</v>
      </c>
      <c r="R46">
        <f t="shared" si="15"/>
        <v>1</v>
      </c>
    </row>
    <row r="47" spans="1:18">
      <c r="A47">
        <v>0.63200000000000001</v>
      </c>
      <c r="B47">
        <v>0.70899999999999996</v>
      </c>
      <c r="C47">
        <f t="shared" si="8"/>
        <v>0.12183544303797461</v>
      </c>
      <c r="G47" s="37">
        <v>19</v>
      </c>
      <c r="H47">
        <f t="shared" si="9"/>
        <v>15</v>
      </c>
      <c r="I47" s="37">
        <v>19</v>
      </c>
      <c r="J47">
        <f t="shared" si="10"/>
        <v>17</v>
      </c>
      <c r="P47">
        <f t="shared" si="13"/>
        <v>0</v>
      </c>
      <c r="Q47">
        <f t="shared" si="14"/>
        <v>0</v>
      </c>
      <c r="R47">
        <f t="shared" si="15"/>
        <v>1</v>
      </c>
    </row>
    <row r="48" spans="1:18">
      <c r="A48">
        <v>0.60599999999999998</v>
      </c>
      <c r="B48">
        <v>0.71799999999999997</v>
      </c>
      <c r="C48">
        <f t="shared" si="8"/>
        <v>0.18481848184818481</v>
      </c>
      <c r="G48">
        <v>20</v>
      </c>
      <c r="H48">
        <f t="shared" si="9"/>
        <v>18</v>
      </c>
      <c r="I48">
        <v>20</v>
      </c>
      <c r="J48">
        <f t="shared" si="10"/>
        <v>13</v>
      </c>
      <c r="P48">
        <f t="shared" si="13"/>
        <v>0</v>
      </c>
      <c r="Q48">
        <f t="shared" si="14"/>
        <v>0</v>
      </c>
      <c r="R48">
        <f t="shared" si="15"/>
        <v>1</v>
      </c>
    </row>
    <row r="49" spans="1:32">
      <c r="A49">
        <v>0.63200000000000001</v>
      </c>
      <c r="B49">
        <v>0.70099999999999996</v>
      </c>
      <c r="C49">
        <f t="shared" si="8"/>
        <v>0.10917721518987333</v>
      </c>
      <c r="G49" s="37">
        <v>21</v>
      </c>
      <c r="H49">
        <f t="shared" si="9"/>
        <v>15</v>
      </c>
      <c r="I49" s="37">
        <v>21</v>
      </c>
      <c r="J49">
        <f t="shared" si="10"/>
        <v>19</v>
      </c>
      <c r="P49">
        <f t="shared" si="13"/>
        <v>0</v>
      </c>
      <c r="Q49">
        <f t="shared" si="14"/>
        <v>0</v>
      </c>
      <c r="R49">
        <f t="shared" si="15"/>
        <v>1</v>
      </c>
    </row>
    <row r="50" spans="1:32">
      <c r="A50">
        <v>0.57499999999999996</v>
      </c>
      <c r="B50">
        <v>0.71199999999999997</v>
      </c>
      <c r="C50">
        <f t="shared" si="8"/>
        <v>0.23826086956521741</v>
      </c>
      <c r="G50">
        <v>22</v>
      </c>
      <c r="H50">
        <f t="shared" si="9"/>
        <v>20</v>
      </c>
      <c r="I50">
        <v>22</v>
      </c>
      <c r="J50">
        <f t="shared" si="10"/>
        <v>15</v>
      </c>
      <c r="P50">
        <f t="shared" si="13"/>
        <v>0</v>
      </c>
      <c r="Q50">
        <f t="shared" si="14"/>
        <v>0</v>
      </c>
      <c r="R50">
        <f t="shared" si="15"/>
        <v>1</v>
      </c>
    </row>
    <row r="51" spans="1:32">
      <c r="C51">
        <f>SUM(C29:C50)/22</f>
        <v>9.0343533156047942E-2</v>
      </c>
      <c r="L51">
        <f>SUM(L29:L40)</f>
        <v>24.657876862425557</v>
      </c>
      <c r="M51">
        <f>SUM(M29:M40)</f>
        <v>24.316442019302581</v>
      </c>
      <c r="N51">
        <f>M51/L51</f>
        <v>0.9861531126532932</v>
      </c>
      <c r="S51">
        <f>SUM(R29:R50)/22</f>
        <v>1</v>
      </c>
    </row>
    <row r="52" spans="1:32">
      <c r="N52">
        <f>L51/M51</f>
        <v>1.0140413158656987</v>
      </c>
    </row>
    <row r="57" spans="1:32">
      <c r="A57" s="37">
        <v>0.76700000000000002</v>
      </c>
      <c r="B57" s="37">
        <v>0.81699999999999995</v>
      </c>
      <c r="C57">
        <f t="shared" ref="C57:C68" si="16">ABS((A57-B57)/A57)</f>
        <v>6.5189048239895603E-2</v>
      </c>
      <c r="G57" s="37">
        <v>1</v>
      </c>
      <c r="H57">
        <f>RANK(A57,$A$57:$A$68,0)</f>
        <v>5</v>
      </c>
      <c r="I57" s="37">
        <v>1</v>
      </c>
      <c r="J57">
        <f t="shared" ref="J57:J68" si="17">RANK(B57,$B$57:$B$68,0)</f>
        <v>5</v>
      </c>
      <c r="L57">
        <f>(G57)/(LOG(1+H57,2))</f>
        <v>0.38685280723454163</v>
      </c>
      <c r="M57">
        <f>(I57)/(LOG(1+J57,2))</f>
        <v>0.38685280723454163</v>
      </c>
      <c r="P57">
        <f>IF(A57&gt;0.8,1,0)</f>
        <v>0</v>
      </c>
      <c r="Q57">
        <f>IF(B57&gt;0.8,1,0)</f>
        <v>1</v>
      </c>
      <c r="R57">
        <f>IF(P57=Q57,1,0)</f>
        <v>0</v>
      </c>
    </row>
    <row r="58" spans="1:32">
      <c r="A58">
        <v>0.74199999999999999</v>
      </c>
      <c r="B58">
        <v>0.79800000000000004</v>
      </c>
      <c r="C58">
        <f t="shared" si="16"/>
        <v>7.5471698113207614E-2</v>
      </c>
      <c r="G58">
        <v>2</v>
      </c>
      <c r="H58">
        <f t="shared" ref="H58:H68" si="18">RANK(A58,$A$57:$A$68,0)</f>
        <v>8</v>
      </c>
      <c r="I58">
        <v>2</v>
      </c>
      <c r="J58">
        <f t="shared" si="17"/>
        <v>6</v>
      </c>
      <c r="L58">
        <f t="shared" ref="L58:L68" si="19">(G58)/(LOG(1+H58,2))</f>
        <v>0.63092975357145742</v>
      </c>
      <c r="M58">
        <f t="shared" ref="M58:M68" si="20">(I58)/(LOG(1+J58,2))</f>
        <v>0.71241437421604437</v>
      </c>
      <c r="P58">
        <f t="shared" ref="P58:P68" si="21">IF(A58&gt;0.8,1,0)</f>
        <v>0</v>
      </c>
      <c r="Q58">
        <f t="shared" ref="Q58:Q68" si="22">IF(B58&gt;0.8,1,0)</f>
        <v>0</v>
      </c>
      <c r="R58">
        <f t="shared" ref="R58:R68" si="23">IF(P58=Q58,1,0)</f>
        <v>1</v>
      </c>
    </row>
    <row r="59" spans="1:32">
      <c r="A59">
        <v>0.76700000000000002</v>
      </c>
      <c r="B59">
        <v>0.79400000000000004</v>
      </c>
      <c r="C59">
        <f t="shared" si="16"/>
        <v>3.520208604954371E-2</v>
      </c>
      <c r="G59" s="37">
        <v>3</v>
      </c>
      <c r="H59">
        <f t="shared" si="18"/>
        <v>5</v>
      </c>
      <c r="I59" s="37">
        <v>3</v>
      </c>
      <c r="J59">
        <f t="shared" si="17"/>
        <v>7</v>
      </c>
      <c r="L59">
        <f t="shared" si="19"/>
        <v>1.1605584217036249</v>
      </c>
      <c r="M59">
        <f t="shared" si="20"/>
        <v>1</v>
      </c>
      <c r="P59">
        <f t="shared" si="21"/>
        <v>0</v>
      </c>
      <c r="Q59">
        <f t="shared" si="22"/>
        <v>0</v>
      </c>
      <c r="R59">
        <f t="shared" si="23"/>
        <v>1</v>
      </c>
    </row>
    <row r="60" spans="1:32">
      <c r="A60">
        <v>0.83799999999999997</v>
      </c>
      <c r="B60">
        <v>0.83399999999999996</v>
      </c>
      <c r="C60">
        <f t="shared" si="16"/>
        <v>4.7732696897374747E-3</v>
      </c>
      <c r="G60">
        <v>4</v>
      </c>
      <c r="H60">
        <f t="shared" si="18"/>
        <v>1</v>
      </c>
      <c r="I60">
        <v>4</v>
      </c>
      <c r="J60">
        <f t="shared" si="17"/>
        <v>3</v>
      </c>
      <c r="L60">
        <f t="shared" si="19"/>
        <v>4</v>
      </c>
      <c r="M60">
        <f t="shared" si="20"/>
        <v>2</v>
      </c>
      <c r="P60">
        <f t="shared" si="21"/>
        <v>1</v>
      </c>
      <c r="Q60">
        <f t="shared" si="22"/>
        <v>1</v>
      </c>
      <c r="R60">
        <f t="shared" si="23"/>
        <v>1</v>
      </c>
      <c r="U60" s="37">
        <v>0.76700000000000002</v>
      </c>
      <c r="V60">
        <v>0.74199999999999999</v>
      </c>
      <c r="W60">
        <v>0.76700000000000002</v>
      </c>
      <c r="X60">
        <v>0.83799999999999997</v>
      </c>
      <c r="Y60">
        <v>0.80600000000000005</v>
      </c>
      <c r="Z60">
        <v>0.82299999999999995</v>
      </c>
      <c r="AA60">
        <v>0.81499999999999995</v>
      </c>
      <c r="AB60">
        <v>0.67100000000000004</v>
      </c>
      <c r="AC60">
        <v>0.64500000000000002</v>
      </c>
      <c r="AD60">
        <v>0.65100000000000002</v>
      </c>
      <c r="AE60">
        <v>0.72799999999999998</v>
      </c>
      <c r="AF60">
        <v>0.74299999999999999</v>
      </c>
    </row>
    <row r="61" spans="1:32">
      <c r="A61">
        <v>0.80600000000000005</v>
      </c>
      <c r="B61">
        <v>0.82</v>
      </c>
      <c r="C61">
        <f t="shared" si="16"/>
        <v>1.7369727047146278E-2</v>
      </c>
      <c r="G61" s="37">
        <v>5</v>
      </c>
      <c r="H61">
        <f t="shared" si="18"/>
        <v>4</v>
      </c>
      <c r="I61" s="37">
        <v>5</v>
      </c>
      <c r="J61">
        <f t="shared" si="17"/>
        <v>4</v>
      </c>
      <c r="L61">
        <f t="shared" si="19"/>
        <v>2.1533827903669653</v>
      </c>
      <c r="M61">
        <f t="shared" si="20"/>
        <v>2.1533827903669653</v>
      </c>
      <c r="P61">
        <f t="shared" si="21"/>
        <v>1</v>
      </c>
      <c r="Q61">
        <f t="shared" si="22"/>
        <v>1</v>
      </c>
      <c r="R61">
        <f t="shared" si="23"/>
        <v>1</v>
      </c>
    </row>
    <row r="62" spans="1:32">
      <c r="A62">
        <v>0.82299999999999995</v>
      </c>
      <c r="B62">
        <v>0.85899999999999999</v>
      </c>
      <c r="C62">
        <f t="shared" si="16"/>
        <v>4.3742405832320821E-2</v>
      </c>
      <c r="G62">
        <v>6</v>
      </c>
      <c r="H62">
        <f t="shared" si="18"/>
        <v>2</v>
      </c>
      <c r="I62">
        <v>6</v>
      </c>
      <c r="J62">
        <f t="shared" si="17"/>
        <v>1</v>
      </c>
      <c r="L62">
        <f t="shared" si="19"/>
        <v>3.7855785214287443</v>
      </c>
      <c r="M62">
        <f t="shared" si="20"/>
        <v>6</v>
      </c>
      <c r="P62">
        <f t="shared" si="21"/>
        <v>1</v>
      </c>
      <c r="Q62">
        <f t="shared" si="22"/>
        <v>1</v>
      </c>
      <c r="R62">
        <f t="shared" si="23"/>
        <v>1</v>
      </c>
      <c r="U62" s="37">
        <v>0.81699999999999995</v>
      </c>
      <c r="V62">
        <v>0.79800000000000004</v>
      </c>
      <c r="W62">
        <v>0.79400000000000004</v>
      </c>
      <c r="X62">
        <v>0.83399999999999996</v>
      </c>
      <c r="Y62">
        <v>0.82</v>
      </c>
      <c r="Z62">
        <v>0.85899999999999999</v>
      </c>
      <c r="AA62">
        <v>0.84699999999999998</v>
      </c>
      <c r="AB62">
        <v>0.71899999999999997</v>
      </c>
      <c r="AC62">
        <v>0.70199999999999996</v>
      </c>
      <c r="AD62">
        <v>0.72099999999999997</v>
      </c>
      <c r="AE62">
        <v>0.73799999999999999</v>
      </c>
      <c r="AF62">
        <v>0.72799999999999998</v>
      </c>
    </row>
    <row r="63" spans="1:32">
      <c r="A63">
        <v>0.81499999999999995</v>
      </c>
      <c r="B63">
        <v>0.84699999999999998</v>
      </c>
      <c r="C63">
        <f t="shared" si="16"/>
        <v>3.9263803680981632E-2</v>
      </c>
      <c r="G63" s="37">
        <v>7</v>
      </c>
      <c r="H63">
        <f t="shared" si="18"/>
        <v>3</v>
      </c>
      <c r="I63" s="37">
        <v>7</v>
      </c>
      <c r="J63">
        <f t="shared" si="17"/>
        <v>2</v>
      </c>
      <c r="L63">
        <f t="shared" si="19"/>
        <v>3.5</v>
      </c>
      <c r="M63">
        <f t="shared" si="20"/>
        <v>4.4165082750002016</v>
      </c>
      <c r="P63">
        <f t="shared" si="21"/>
        <v>1</v>
      </c>
      <c r="Q63">
        <f t="shared" si="22"/>
        <v>1</v>
      </c>
      <c r="R63">
        <f t="shared" si="23"/>
        <v>1</v>
      </c>
    </row>
    <row r="64" spans="1:32">
      <c r="A64">
        <v>0.67100000000000004</v>
      </c>
      <c r="B64">
        <v>0.71899999999999997</v>
      </c>
      <c r="C64">
        <f t="shared" si="16"/>
        <v>7.1535022354694375E-2</v>
      </c>
      <c r="G64">
        <v>8</v>
      </c>
      <c r="H64">
        <f t="shared" si="18"/>
        <v>10</v>
      </c>
      <c r="I64">
        <v>8</v>
      </c>
      <c r="J64">
        <f t="shared" si="17"/>
        <v>11</v>
      </c>
      <c r="L64">
        <f t="shared" si="19"/>
        <v>2.3125186105431026</v>
      </c>
      <c r="M64">
        <f t="shared" si="20"/>
        <v>2.2315435652090385</v>
      </c>
      <c r="P64">
        <f t="shared" si="21"/>
        <v>0</v>
      </c>
      <c r="Q64">
        <f t="shared" si="22"/>
        <v>0</v>
      </c>
      <c r="R64">
        <f t="shared" si="23"/>
        <v>1</v>
      </c>
    </row>
    <row r="65" spans="1:45">
      <c r="A65">
        <v>0.64500000000000002</v>
      </c>
      <c r="B65">
        <v>0.70199999999999996</v>
      </c>
      <c r="C65">
        <f t="shared" si="16"/>
        <v>8.8372093023255716E-2</v>
      </c>
      <c r="G65" s="37">
        <v>9</v>
      </c>
      <c r="H65">
        <f t="shared" si="18"/>
        <v>12</v>
      </c>
      <c r="I65" s="37">
        <v>9</v>
      </c>
      <c r="J65">
        <f t="shared" si="17"/>
        <v>12</v>
      </c>
      <c r="L65">
        <f t="shared" si="19"/>
        <v>2.4321433898458777</v>
      </c>
      <c r="M65">
        <f t="shared" si="20"/>
        <v>2.4321433898458777</v>
      </c>
      <c r="P65">
        <f t="shared" si="21"/>
        <v>0</v>
      </c>
      <c r="Q65">
        <f t="shared" si="22"/>
        <v>0</v>
      </c>
      <c r="R65">
        <f t="shared" si="23"/>
        <v>1</v>
      </c>
    </row>
    <row r="66" spans="1:45">
      <c r="A66">
        <v>0.65100000000000002</v>
      </c>
      <c r="B66">
        <v>0.72099999999999997</v>
      </c>
      <c r="C66">
        <f t="shared" si="16"/>
        <v>0.10752688172043003</v>
      </c>
      <c r="G66">
        <v>10</v>
      </c>
      <c r="H66">
        <f t="shared" si="18"/>
        <v>11</v>
      </c>
      <c r="I66">
        <v>10</v>
      </c>
      <c r="J66">
        <f t="shared" si="17"/>
        <v>10</v>
      </c>
      <c r="L66">
        <f t="shared" si="19"/>
        <v>2.7894294565112983</v>
      </c>
      <c r="M66">
        <f t="shared" si="20"/>
        <v>2.8906482631788784</v>
      </c>
      <c r="P66">
        <f t="shared" si="21"/>
        <v>0</v>
      </c>
      <c r="Q66">
        <f t="shared" si="22"/>
        <v>0</v>
      </c>
      <c r="R66">
        <f t="shared" si="23"/>
        <v>1</v>
      </c>
    </row>
    <row r="67" spans="1:45">
      <c r="A67">
        <v>0.72799999999999998</v>
      </c>
      <c r="B67">
        <v>0.73799999999999999</v>
      </c>
      <c r="C67">
        <f t="shared" si="16"/>
        <v>1.3736263736263748E-2</v>
      </c>
      <c r="G67" s="37">
        <v>11</v>
      </c>
      <c r="H67">
        <f t="shared" si="18"/>
        <v>9</v>
      </c>
      <c r="I67" s="37">
        <v>11</v>
      </c>
      <c r="J67">
        <f t="shared" si="17"/>
        <v>8</v>
      </c>
      <c r="L67">
        <f t="shared" si="19"/>
        <v>3.3113299523037929</v>
      </c>
      <c r="M67">
        <f t="shared" si="20"/>
        <v>3.4701136446430159</v>
      </c>
      <c r="P67">
        <f t="shared" si="21"/>
        <v>0</v>
      </c>
      <c r="Q67">
        <f t="shared" si="22"/>
        <v>0</v>
      </c>
      <c r="R67">
        <f t="shared" si="23"/>
        <v>1</v>
      </c>
    </row>
    <row r="68" spans="1:45">
      <c r="A68">
        <v>0.74299999999999999</v>
      </c>
      <c r="B68">
        <v>0.72799999999999998</v>
      </c>
      <c r="C68">
        <f t="shared" si="16"/>
        <v>2.0188425302826399E-2</v>
      </c>
      <c r="G68">
        <v>12</v>
      </c>
      <c r="H68">
        <f t="shared" si="18"/>
        <v>7</v>
      </c>
      <c r="I68">
        <v>12</v>
      </c>
      <c r="J68">
        <f t="shared" si="17"/>
        <v>9</v>
      </c>
      <c r="L68">
        <f t="shared" si="19"/>
        <v>4</v>
      </c>
      <c r="M68">
        <f t="shared" si="20"/>
        <v>3.6123599479677742</v>
      </c>
      <c r="P68">
        <f t="shared" si="21"/>
        <v>0</v>
      </c>
      <c r="Q68">
        <f t="shared" si="22"/>
        <v>0</v>
      </c>
      <c r="R68">
        <f t="shared" si="23"/>
        <v>1</v>
      </c>
    </row>
    <row r="69" spans="1:45">
      <c r="C69">
        <f>SUM(C57:C68)/12</f>
        <v>4.8530893732525289E-2</v>
      </c>
      <c r="G69" s="37"/>
      <c r="I69" s="37"/>
    </row>
    <row r="70" spans="1:45">
      <c r="L70">
        <f>SUM(L57:L68)</f>
        <v>30.462723703509404</v>
      </c>
      <c r="M70">
        <f>SUM(M57:M68)</f>
        <v>31.305967057662336</v>
      </c>
      <c r="N70">
        <f>M70/L70</f>
        <v>1.0276811542644753</v>
      </c>
      <c r="S70">
        <f>SUM(R57:R69)/12</f>
        <v>0.91666666666666663</v>
      </c>
    </row>
    <row r="71" spans="1:45">
      <c r="N71">
        <f>L70/M70</f>
        <v>0.97306445277349951</v>
      </c>
    </row>
    <row r="73" spans="1:45">
      <c r="B73" t="s">
        <v>145</v>
      </c>
      <c r="E73" t="s">
        <v>145</v>
      </c>
      <c r="F73" t="s">
        <v>144</v>
      </c>
    </row>
    <row r="74" spans="1:45">
      <c r="A74" s="37">
        <v>0.73</v>
      </c>
      <c r="B74" s="62">
        <v>0.79700000000000004</v>
      </c>
      <c r="C74" s="63">
        <f>ABS((A74-B74)/A74)</f>
        <v>9.17808219178083E-2</v>
      </c>
      <c r="D74">
        <v>0.81</v>
      </c>
      <c r="E74" s="37"/>
      <c r="F74" s="62"/>
      <c r="G74" s="37">
        <v>1</v>
      </c>
      <c r="H74">
        <f>RANK(A74,$A$74:$A$85,0)</f>
        <v>12</v>
      </c>
      <c r="I74" s="37">
        <v>1</v>
      </c>
      <c r="J74">
        <f>RANK(B74,$B$74:$B$85,0)</f>
        <v>12</v>
      </c>
      <c r="L74">
        <f>(G74)/(LOG(1+H74,2))</f>
        <v>0.27023815442731974</v>
      </c>
      <c r="M74">
        <f>(I74)/(LOG(1+J74,2))</f>
        <v>0.27023815442731974</v>
      </c>
      <c r="R74" s="37">
        <v>0.74299999999999999</v>
      </c>
      <c r="S74">
        <v>0.753</v>
      </c>
      <c r="T74">
        <v>0.871</v>
      </c>
      <c r="U74">
        <v>0.85399999999999998</v>
      </c>
      <c r="V74">
        <v>0.94299999999999995</v>
      </c>
      <c r="W74">
        <v>0.80200000000000005</v>
      </c>
      <c r="X74">
        <v>0.79100000000000004</v>
      </c>
      <c r="Y74">
        <v>0.85099999999999998</v>
      </c>
      <c r="Z74">
        <v>0.91300000000000003</v>
      </c>
      <c r="AA74">
        <v>0.83</v>
      </c>
      <c r="AB74">
        <v>0.85099999999999998</v>
      </c>
      <c r="AC74">
        <v>0.71299999999999997</v>
      </c>
      <c r="AD74">
        <v>0.75</v>
      </c>
      <c r="AE74">
        <v>0.90200000000000002</v>
      </c>
      <c r="AF74">
        <v>0.90300000000000002</v>
      </c>
      <c r="AG74">
        <v>0.82599999999999996</v>
      </c>
    </row>
    <row r="75" spans="1:45">
      <c r="A75">
        <v>0.77</v>
      </c>
      <c r="B75" s="9">
        <v>0.83399999999999996</v>
      </c>
      <c r="C75" s="63">
        <f t="shared" ref="C75:C92" si="24">ABS((A75-B75)/A75)</f>
        <v>8.3116883116883047E-2</v>
      </c>
      <c r="D75">
        <v>0.83</v>
      </c>
      <c r="F75" s="9"/>
      <c r="G75" s="37">
        <v>2</v>
      </c>
      <c r="H75">
        <f t="shared" ref="H75:H76" si="25">RANK(A75,$A$74:$A$85,0)</f>
        <v>10</v>
      </c>
      <c r="I75" s="37">
        <v>2</v>
      </c>
      <c r="J75">
        <f t="shared" ref="J75:J85" si="26">RANK(B75,$B$74:$B$85,0)</f>
        <v>10</v>
      </c>
      <c r="L75">
        <f t="shared" ref="L75:L82" si="27">(G75)/(LOG(1+H75,2))</f>
        <v>0.57812965263577565</v>
      </c>
      <c r="M75">
        <f t="shared" ref="M75:M82" si="28">(I75)/(LOG(1+J75,2))</f>
        <v>0.57812965263577565</v>
      </c>
    </row>
    <row r="76" spans="1:45">
      <c r="A76">
        <v>0.89</v>
      </c>
      <c r="B76" s="9">
        <v>0.90600000000000003</v>
      </c>
      <c r="C76" s="63">
        <f t="shared" si="24"/>
        <v>1.7977528089887656E-2</v>
      </c>
      <c r="D76">
        <v>0.92</v>
      </c>
      <c r="F76" s="9"/>
      <c r="G76" s="37">
        <v>3</v>
      </c>
      <c r="H76">
        <f t="shared" si="25"/>
        <v>7</v>
      </c>
      <c r="I76" s="37">
        <v>3</v>
      </c>
      <c r="J76">
        <f t="shared" si="26"/>
        <v>5</v>
      </c>
      <c r="L76">
        <f t="shared" si="27"/>
        <v>1</v>
      </c>
      <c r="M76">
        <f t="shared" si="28"/>
        <v>1.1605584217036249</v>
      </c>
    </row>
    <row r="77" spans="1:45">
      <c r="A77">
        <v>0.82</v>
      </c>
      <c r="B77" s="9">
        <v>0.874</v>
      </c>
      <c r="C77" s="63">
        <f t="shared" si="24"/>
        <v>6.5853658536585424E-2</v>
      </c>
      <c r="D77">
        <v>0.78</v>
      </c>
      <c r="F77" s="9"/>
      <c r="G77" s="37">
        <v>4</v>
      </c>
      <c r="H77">
        <f t="shared" ref="H77:H85" si="29">RANK(A77,$A$74:$A$85,0)</f>
        <v>8</v>
      </c>
      <c r="I77" s="37">
        <v>4</v>
      </c>
      <c r="J77">
        <f t="shared" si="26"/>
        <v>6</v>
      </c>
      <c r="L77">
        <f t="shared" si="27"/>
        <v>1.2618595071429148</v>
      </c>
      <c r="M77">
        <f t="shared" si="28"/>
        <v>1.4248287484320887</v>
      </c>
      <c r="Y77" s="37">
        <v>0.79700000000000004</v>
      </c>
      <c r="AA77" s="37">
        <v>0.79700000000000004</v>
      </c>
      <c r="AB77">
        <v>0.83399999999999996</v>
      </c>
      <c r="AC77">
        <v>0.90600000000000003</v>
      </c>
      <c r="AD77">
        <v>0.874</v>
      </c>
      <c r="AE77">
        <v>0.95799999999999996</v>
      </c>
      <c r="AF77">
        <v>0.81899999999999995</v>
      </c>
      <c r="AG77">
        <v>0.85199999999999998</v>
      </c>
      <c r="AH77">
        <v>0.872</v>
      </c>
      <c r="AI77">
        <v>0.92900000000000005</v>
      </c>
      <c r="AJ77">
        <v>0.91100000000000003</v>
      </c>
      <c r="AK77">
        <v>0.94499999999999995</v>
      </c>
      <c r="AL77">
        <v>0.86699999999999999</v>
      </c>
      <c r="AM77">
        <v>0.879</v>
      </c>
      <c r="AN77">
        <v>0.874</v>
      </c>
      <c r="AO77">
        <v>0.82399999999999995</v>
      </c>
      <c r="AP77">
        <v>0.82299999999999995</v>
      </c>
      <c r="AQ77">
        <v>0.84099999999999997</v>
      </c>
      <c r="AR77">
        <v>0.873</v>
      </c>
      <c r="AS77">
        <v>0.81899999999999995</v>
      </c>
    </row>
    <row r="78" spans="1:45">
      <c r="A78">
        <v>0.97</v>
      </c>
      <c r="B78" s="9">
        <v>0.95799999999999996</v>
      </c>
      <c r="C78" s="63">
        <f t="shared" si="24"/>
        <v>1.2371134020618568E-2</v>
      </c>
      <c r="D78">
        <v>0.93200000000000005</v>
      </c>
      <c r="F78" s="9"/>
      <c r="G78" s="37">
        <v>5</v>
      </c>
      <c r="H78">
        <f t="shared" si="29"/>
        <v>1</v>
      </c>
      <c r="I78" s="37">
        <v>5</v>
      </c>
      <c r="J78">
        <f t="shared" si="26"/>
        <v>1</v>
      </c>
      <c r="L78">
        <f t="shared" si="27"/>
        <v>5</v>
      </c>
      <c r="M78">
        <f t="shared" si="28"/>
        <v>5</v>
      </c>
      <c r="Y78">
        <v>0.83399999999999996</v>
      </c>
    </row>
    <row r="79" spans="1:45">
      <c r="A79">
        <v>0.77</v>
      </c>
      <c r="B79" s="9">
        <v>0.81899999999999995</v>
      </c>
      <c r="C79" s="63">
        <f t="shared" si="24"/>
        <v>6.3636363636363547E-2</v>
      </c>
      <c r="D79">
        <v>0.84</v>
      </c>
      <c r="F79" s="9"/>
      <c r="G79" s="37">
        <v>6</v>
      </c>
      <c r="H79">
        <f t="shared" si="29"/>
        <v>10</v>
      </c>
      <c r="I79" s="37">
        <v>6</v>
      </c>
      <c r="J79">
        <f t="shared" si="26"/>
        <v>11</v>
      </c>
      <c r="L79">
        <f t="shared" si="27"/>
        <v>1.7343889579073268</v>
      </c>
      <c r="M79">
        <f t="shared" si="28"/>
        <v>1.673657673906779</v>
      </c>
      <c r="Y79">
        <v>0.90600000000000003</v>
      </c>
      <c r="AA79" s="37">
        <v>0.73</v>
      </c>
      <c r="AB79">
        <v>0.77</v>
      </c>
      <c r="AC79">
        <v>0.89</v>
      </c>
      <c r="AD79">
        <v>0.82</v>
      </c>
      <c r="AE79">
        <v>0.97</v>
      </c>
      <c r="AF79">
        <v>0.77</v>
      </c>
      <c r="AG79">
        <v>0.82</v>
      </c>
      <c r="AH79">
        <v>0.91</v>
      </c>
      <c r="AI79">
        <v>0.92300000000000004</v>
      </c>
      <c r="AJ79">
        <v>0.9</v>
      </c>
      <c r="AK79">
        <v>0.94</v>
      </c>
      <c r="AL79">
        <v>0.91</v>
      </c>
      <c r="AM79">
        <v>0.78</v>
      </c>
      <c r="AN79">
        <v>0.82</v>
      </c>
      <c r="AO79">
        <v>0.79</v>
      </c>
      <c r="AP79">
        <v>0.85</v>
      </c>
      <c r="AQ79">
        <v>0.68</v>
      </c>
      <c r="AR79">
        <v>0.88</v>
      </c>
      <c r="AS79">
        <v>0.77</v>
      </c>
    </row>
    <row r="80" spans="1:45">
      <c r="A80">
        <v>0.82</v>
      </c>
      <c r="B80" s="9">
        <v>0.85199999999999998</v>
      </c>
      <c r="C80" s="63">
        <f t="shared" si="24"/>
        <v>3.9024390243902474E-2</v>
      </c>
      <c r="D80">
        <v>0.87</v>
      </c>
      <c r="F80" s="9"/>
      <c r="G80" s="37">
        <v>7</v>
      </c>
      <c r="H80">
        <f t="shared" si="29"/>
        <v>8</v>
      </c>
      <c r="I80" s="37">
        <v>7</v>
      </c>
      <c r="J80">
        <f t="shared" si="26"/>
        <v>9</v>
      </c>
      <c r="L80">
        <f t="shared" si="27"/>
        <v>2.2082541375001008</v>
      </c>
      <c r="M80">
        <f t="shared" si="28"/>
        <v>2.1072099696478683</v>
      </c>
      <c r="Y80">
        <v>0.874</v>
      </c>
    </row>
    <row r="81" spans="1:25">
      <c r="A81">
        <v>0.91</v>
      </c>
      <c r="B81" s="9">
        <v>0.872</v>
      </c>
      <c r="C81" s="63">
        <f t="shared" si="24"/>
        <v>4.1758241758241797E-2</v>
      </c>
      <c r="D81">
        <v>0.9375</v>
      </c>
      <c r="F81" s="9"/>
      <c r="G81" s="37">
        <v>8</v>
      </c>
      <c r="H81">
        <f t="shared" si="29"/>
        <v>4</v>
      </c>
      <c r="I81" s="37">
        <v>8</v>
      </c>
      <c r="J81">
        <f t="shared" si="26"/>
        <v>7</v>
      </c>
      <c r="L81">
        <f t="shared" si="27"/>
        <v>3.4454124645871445</v>
      </c>
      <c r="M81">
        <f t="shared" si="28"/>
        <v>2.6666666666666665</v>
      </c>
      <c r="Y81">
        <v>0.95799999999999996</v>
      </c>
    </row>
    <row r="82" spans="1:25">
      <c r="A82">
        <v>0.92300000000000004</v>
      </c>
      <c r="B82" s="9">
        <v>0.92900000000000005</v>
      </c>
      <c r="C82" s="63">
        <f t="shared" si="24"/>
        <v>6.5005417118093227E-3</v>
      </c>
      <c r="D82">
        <v>0.89</v>
      </c>
      <c r="F82" s="64"/>
      <c r="G82" s="37">
        <v>9</v>
      </c>
      <c r="H82">
        <f t="shared" si="29"/>
        <v>3</v>
      </c>
      <c r="I82" s="37">
        <v>9</v>
      </c>
      <c r="J82">
        <f t="shared" si="26"/>
        <v>3</v>
      </c>
      <c r="L82">
        <f t="shared" si="27"/>
        <v>4.5</v>
      </c>
      <c r="M82">
        <f t="shared" si="28"/>
        <v>4.5</v>
      </c>
      <c r="Y82">
        <v>0.81899999999999995</v>
      </c>
    </row>
    <row r="83" spans="1:25">
      <c r="A83">
        <v>0.9</v>
      </c>
      <c r="B83" s="9">
        <v>0.91100000000000003</v>
      </c>
      <c r="C83" s="63">
        <f t="shared" si="24"/>
        <v>1.2222222222222233E-2</v>
      </c>
      <c r="D83">
        <v>0.93330000000000002</v>
      </c>
      <c r="G83" s="37">
        <v>10</v>
      </c>
      <c r="H83">
        <f t="shared" si="29"/>
        <v>6</v>
      </c>
      <c r="I83" s="37">
        <v>10</v>
      </c>
      <c r="J83">
        <f t="shared" si="26"/>
        <v>4</v>
      </c>
      <c r="Y83">
        <v>0.85199999999999998</v>
      </c>
    </row>
    <row r="84" spans="1:25">
      <c r="A84">
        <v>0.94</v>
      </c>
      <c r="B84" s="9">
        <v>0.94499999999999995</v>
      </c>
      <c r="C84" s="63">
        <f t="shared" si="24"/>
        <v>5.3191489361702178E-3</v>
      </c>
      <c r="D84">
        <v>0.92</v>
      </c>
      <c r="G84" s="37">
        <v>11</v>
      </c>
      <c r="H84">
        <f t="shared" si="29"/>
        <v>2</v>
      </c>
      <c r="I84" s="37">
        <v>11</v>
      </c>
      <c r="J84">
        <f t="shared" si="26"/>
        <v>2</v>
      </c>
      <c r="Y84">
        <v>0.872</v>
      </c>
    </row>
    <row r="85" spans="1:25">
      <c r="A85">
        <v>0.91</v>
      </c>
      <c r="B85" s="64">
        <v>0.86699999999999999</v>
      </c>
      <c r="C85" s="63">
        <f t="shared" si="24"/>
        <v>4.7252747252747293E-2</v>
      </c>
      <c r="D85">
        <v>0.92</v>
      </c>
      <c r="G85" s="37">
        <v>12</v>
      </c>
      <c r="H85">
        <f t="shared" si="29"/>
        <v>4</v>
      </c>
      <c r="I85" s="37">
        <v>12</v>
      </c>
      <c r="J85">
        <f t="shared" si="26"/>
        <v>8</v>
      </c>
      <c r="Y85">
        <v>0.92900000000000005</v>
      </c>
    </row>
    <row r="86" spans="1:25">
      <c r="A86">
        <v>0.78</v>
      </c>
      <c r="B86">
        <v>0.879</v>
      </c>
      <c r="C86" s="63">
        <f t="shared" si="24"/>
        <v>0.12692307692307689</v>
      </c>
      <c r="G86" s="37"/>
      <c r="I86" s="37"/>
      <c r="Y86">
        <v>0.91100000000000003</v>
      </c>
    </row>
    <row r="87" spans="1:25">
      <c r="A87">
        <v>0.82</v>
      </c>
      <c r="B87">
        <v>0.874</v>
      </c>
      <c r="C87" s="63">
        <f t="shared" si="24"/>
        <v>6.5853658536585424E-2</v>
      </c>
      <c r="G87" s="37"/>
      <c r="I87" s="37"/>
      <c r="Y87">
        <v>0.94499999999999995</v>
      </c>
    </row>
    <row r="88" spans="1:25">
      <c r="A88">
        <v>0.79</v>
      </c>
      <c r="B88">
        <v>0.82399999999999995</v>
      </c>
      <c r="C88" s="63">
        <f t="shared" si="24"/>
        <v>4.30379746835442E-2</v>
      </c>
      <c r="G88" s="37"/>
      <c r="I88" s="37"/>
      <c r="Y88">
        <v>0.86699999999999999</v>
      </c>
    </row>
    <row r="89" spans="1:25">
      <c r="A89">
        <v>0.85</v>
      </c>
      <c r="B89">
        <v>0.82299999999999995</v>
      </c>
      <c r="C89" s="63">
        <f t="shared" si="24"/>
        <v>3.1764705882352973E-2</v>
      </c>
      <c r="G89" s="37"/>
      <c r="I89" s="37"/>
      <c r="Y89">
        <v>0.879</v>
      </c>
    </row>
    <row r="90" spans="1:25">
      <c r="A90">
        <v>0.68</v>
      </c>
      <c r="B90">
        <v>0.84099999999999997</v>
      </c>
      <c r="C90" s="63">
        <f t="shared" si="24"/>
        <v>0.23676470588235282</v>
      </c>
      <c r="L90">
        <f>SUM(L74:L89)</f>
        <v>19.998282874200584</v>
      </c>
      <c r="M90">
        <f>SUM(M74:M89)</f>
        <v>19.381289287420124</v>
      </c>
      <c r="N90">
        <f>M90/L90</f>
        <v>0.96914767179454031</v>
      </c>
      <c r="Y90">
        <v>0.874</v>
      </c>
    </row>
    <row r="91" spans="1:25">
      <c r="A91">
        <v>0.88</v>
      </c>
      <c r="B91">
        <v>0.873</v>
      </c>
      <c r="C91" s="63">
        <f t="shared" si="24"/>
        <v>7.9545454545454624E-3</v>
      </c>
      <c r="N91">
        <f>L90/M90</f>
        <v>1.031834496540998</v>
      </c>
      <c r="Y91">
        <v>0.82399999999999995</v>
      </c>
    </row>
    <row r="92" spans="1:25">
      <c r="A92">
        <v>0.77</v>
      </c>
      <c r="B92">
        <v>0.81899999999999995</v>
      </c>
      <c r="C92" s="63">
        <f t="shared" si="24"/>
        <v>6.3636363636363547E-2</v>
      </c>
      <c r="Y92">
        <v>0.82299999999999995</v>
      </c>
    </row>
    <row r="93" spans="1:25">
      <c r="C93">
        <f>SUM(C74:C92)/19</f>
        <v>5.5934142760108482E-2</v>
      </c>
      <c r="Y93">
        <v>0.84099999999999997</v>
      </c>
    </row>
    <row r="94" spans="1:25">
      <c r="Q94" s="37"/>
      <c r="Y94">
        <v>0.873</v>
      </c>
    </row>
    <row r="95" spans="1:25">
      <c r="Y95">
        <v>0.81899999999999995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dimension ref="A1:E635"/>
  <sheetViews>
    <sheetView topLeftCell="A221" workbookViewId="0">
      <selection activeCell="A247" sqref="A247:E248"/>
    </sheetView>
  </sheetViews>
  <sheetFormatPr defaultRowHeight="15"/>
  <sheetData>
    <row r="1" spans="1:5">
      <c r="A1" s="34" t="s">
        <v>197</v>
      </c>
      <c r="B1">
        <v>0.93600000000000005</v>
      </c>
      <c r="D1" s="34" t="s">
        <v>197</v>
      </c>
      <c r="E1">
        <v>0.95</v>
      </c>
    </row>
    <row r="2" spans="1:5">
      <c r="A2" s="34" t="s">
        <v>198</v>
      </c>
      <c r="B2">
        <v>0.93600000000000005</v>
      </c>
      <c r="D2" s="34" t="s">
        <v>198</v>
      </c>
      <c r="E2">
        <v>0.95</v>
      </c>
    </row>
    <row r="3" spans="1:5">
      <c r="A3" s="34" t="s">
        <v>199</v>
      </c>
      <c r="B3">
        <v>0.98399999999999999</v>
      </c>
      <c r="D3" s="34" t="s">
        <v>199</v>
      </c>
      <c r="E3">
        <v>0.98799999999999999</v>
      </c>
    </row>
    <row r="4" spans="1:5">
      <c r="A4" s="34" t="s">
        <v>233</v>
      </c>
      <c r="B4">
        <v>1</v>
      </c>
      <c r="D4" s="34" t="s">
        <v>233</v>
      </c>
      <c r="E4">
        <v>1</v>
      </c>
    </row>
    <row r="5" spans="1:5">
      <c r="A5" s="34" t="s">
        <v>234</v>
      </c>
      <c r="B5">
        <v>0.92100000000000004</v>
      </c>
      <c r="D5" s="34" t="s">
        <v>234</v>
      </c>
      <c r="E5">
        <v>0.93799999999999994</v>
      </c>
    </row>
    <row r="6" spans="1:5">
      <c r="A6" s="34" t="s">
        <v>235</v>
      </c>
      <c r="B6">
        <v>0.97599999999999998</v>
      </c>
      <c r="D6" s="34" t="s">
        <v>235</v>
      </c>
      <c r="E6">
        <v>0.97499999999999998</v>
      </c>
    </row>
    <row r="7" spans="1:5">
      <c r="A7" s="34" t="s">
        <v>236</v>
      </c>
      <c r="B7">
        <v>0.95199999999999996</v>
      </c>
      <c r="D7" s="34" t="s">
        <v>236</v>
      </c>
      <c r="E7">
        <v>0.93799999999999994</v>
      </c>
    </row>
    <row r="8" spans="1:5">
      <c r="A8" s="34" t="s">
        <v>237</v>
      </c>
      <c r="B8">
        <v>0.95199999999999996</v>
      </c>
      <c r="D8" s="34" t="s">
        <v>237</v>
      </c>
      <c r="E8">
        <v>0.93799999999999994</v>
      </c>
    </row>
    <row r="9" spans="1:5">
      <c r="A9" s="34" t="s">
        <v>238</v>
      </c>
      <c r="B9">
        <v>0.97599999999999998</v>
      </c>
      <c r="D9" s="34" t="s">
        <v>238</v>
      </c>
      <c r="E9">
        <v>0.97499999999999998</v>
      </c>
    </row>
    <row r="10" spans="1:5">
      <c r="A10" s="34" t="s">
        <v>239</v>
      </c>
      <c r="B10">
        <v>0.95199999999999996</v>
      </c>
      <c r="D10" s="34" t="s">
        <v>239</v>
      </c>
      <c r="E10">
        <v>0.93799999999999994</v>
      </c>
    </row>
    <row r="11" spans="1:5">
      <c r="A11" s="34" t="s">
        <v>240</v>
      </c>
      <c r="B11">
        <v>0.98099999999999998</v>
      </c>
      <c r="D11" s="34" t="s">
        <v>240</v>
      </c>
      <c r="E11">
        <v>0.97499999999999998</v>
      </c>
    </row>
    <row r="12" spans="1:5">
      <c r="A12" s="34" t="s">
        <v>241</v>
      </c>
      <c r="B12">
        <v>0.97099999999999997</v>
      </c>
      <c r="D12" s="34" t="s">
        <v>241</v>
      </c>
      <c r="E12">
        <v>0.93799999999999994</v>
      </c>
    </row>
    <row r="13" spans="1:5">
      <c r="A13" s="34" t="s">
        <v>242</v>
      </c>
      <c r="B13">
        <v>0.97099999999999997</v>
      </c>
      <c r="D13" s="34" t="s">
        <v>242</v>
      </c>
      <c r="E13">
        <v>0.93799999999999994</v>
      </c>
    </row>
    <row r="14" spans="1:5">
      <c r="A14" s="34" t="s">
        <v>243</v>
      </c>
      <c r="B14">
        <v>0.98099999999999998</v>
      </c>
      <c r="D14" s="34" t="s">
        <v>243</v>
      </c>
      <c r="E14">
        <v>0.97499999999999998</v>
      </c>
    </row>
    <row r="15" spans="1:5">
      <c r="A15" s="34" t="s">
        <v>244</v>
      </c>
      <c r="B15">
        <v>0.97099999999999997</v>
      </c>
      <c r="D15" s="34" t="s">
        <v>244</v>
      </c>
      <c r="E15">
        <v>0.93799999999999994</v>
      </c>
    </row>
    <row r="16" spans="1:5">
      <c r="A16" s="34" t="s">
        <v>245</v>
      </c>
      <c r="B16">
        <v>0.94599999999999995</v>
      </c>
      <c r="D16" s="34" t="s">
        <v>245</v>
      </c>
      <c r="E16">
        <v>0.95</v>
      </c>
    </row>
    <row r="17" spans="1:5">
      <c r="A17" s="34" t="s">
        <v>246</v>
      </c>
      <c r="B17">
        <v>0.93300000000000005</v>
      </c>
      <c r="D17" s="34" t="s">
        <v>246</v>
      </c>
      <c r="E17">
        <v>0.93799999999999994</v>
      </c>
    </row>
    <row r="18" spans="1:5">
      <c r="A18" s="34" t="s">
        <v>247</v>
      </c>
      <c r="B18">
        <v>0.94599999999999995</v>
      </c>
      <c r="D18" s="34" t="s">
        <v>247</v>
      </c>
      <c r="E18">
        <v>0.95</v>
      </c>
    </row>
    <row r="19" spans="1:5">
      <c r="A19" s="34" t="s">
        <v>248</v>
      </c>
      <c r="B19">
        <v>0.98399999999999999</v>
      </c>
      <c r="D19" s="34" t="s">
        <v>248</v>
      </c>
      <c r="E19">
        <v>0.98799999999999999</v>
      </c>
    </row>
    <row r="20" spans="1:5">
      <c r="A20" s="34" t="s">
        <v>249</v>
      </c>
      <c r="B20">
        <v>0.93300000000000005</v>
      </c>
      <c r="D20" s="34" t="s">
        <v>249</v>
      </c>
      <c r="E20">
        <v>0.93799999999999994</v>
      </c>
    </row>
    <row r="21" spans="1:5">
      <c r="A21" s="34" t="s">
        <v>250</v>
      </c>
      <c r="B21">
        <v>0.97099999999999997</v>
      </c>
      <c r="D21" s="34" t="s">
        <v>250</v>
      </c>
      <c r="E21">
        <v>0.97499999999999998</v>
      </c>
    </row>
    <row r="22" spans="1:5">
      <c r="A22" s="34" t="s">
        <v>251</v>
      </c>
      <c r="B22">
        <v>0.93300000000000005</v>
      </c>
      <c r="D22" s="34" t="s">
        <v>251</v>
      </c>
      <c r="E22">
        <v>0.93799999999999994</v>
      </c>
    </row>
    <row r="23" spans="1:5">
      <c r="A23" s="34" t="s">
        <v>252</v>
      </c>
      <c r="B23">
        <v>0.93300000000000005</v>
      </c>
      <c r="D23" s="34" t="s">
        <v>252</v>
      </c>
      <c r="E23">
        <v>0.93799999999999994</v>
      </c>
    </row>
    <row r="24" spans="1:5">
      <c r="A24" s="34" t="s">
        <v>253</v>
      </c>
      <c r="B24">
        <v>0.97099999999999997</v>
      </c>
      <c r="D24" s="34" t="s">
        <v>253</v>
      </c>
      <c r="E24">
        <v>0.97499999999999998</v>
      </c>
    </row>
    <row r="25" spans="1:5">
      <c r="A25" s="34" t="s">
        <v>254</v>
      </c>
      <c r="B25">
        <v>0.93300000000000005</v>
      </c>
      <c r="D25" s="34" t="s">
        <v>254</v>
      </c>
      <c r="E25">
        <v>0.93799999999999994</v>
      </c>
    </row>
    <row r="26" spans="1:5">
      <c r="A26" s="34" t="s">
        <v>255</v>
      </c>
      <c r="B26">
        <v>0.97099999999999997</v>
      </c>
      <c r="D26" s="34" t="s">
        <v>255</v>
      </c>
      <c r="E26">
        <v>0.97499999999999998</v>
      </c>
    </row>
    <row r="27" spans="1:5">
      <c r="A27" s="34" t="s">
        <v>256</v>
      </c>
      <c r="B27">
        <v>0.93300000000000005</v>
      </c>
      <c r="D27" s="34" t="s">
        <v>256</v>
      </c>
      <c r="E27">
        <v>0.93799999999999994</v>
      </c>
    </row>
    <row r="28" spans="1:5">
      <c r="A28" s="34" t="s">
        <v>257</v>
      </c>
      <c r="B28">
        <v>0.93300000000000005</v>
      </c>
      <c r="D28" s="34" t="s">
        <v>257</v>
      </c>
      <c r="E28">
        <v>0.93799999999999994</v>
      </c>
    </row>
    <row r="29" spans="1:5">
      <c r="A29" s="34" t="s">
        <v>258</v>
      </c>
      <c r="B29">
        <v>0.97099999999999997</v>
      </c>
      <c r="D29" s="34" t="s">
        <v>258</v>
      </c>
      <c r="E29">
        <v>0.97499999999999998</v>
      </c>
    </row>
    <row r="30" spans="1:5">
      <c r="A30" s="34" t="s">
        <v>259</v>
      </c>
      <c r="B30">
        <v>0.93300000000000005</v>
      </c>
      <c r="D30" s="34" t="s">
        <v>259</v>
      </c>
      <c r="E30">
        <v>0.93799999999999994</v>
      </c>
    </row>
    <row r="31" spans="1:5">
      <c r="A31" s="34" t="s">
        <v>260</v>
      </c>
      <c r="B31">
        <v>0.97099999999999997</v>
      </c>
      <c r="D31" s="34" t="s">
        <v>260</v>
      </c>
      <c r="E31">
        <v>0.97499999999999998</v>
      </c>
    </row>
    <row r="32" spans="1:5">
      <c r="A32" s="34" t="s">
        <v>261</v>
      </c>
      <c r="B32">
        <v>0.93300000000000005</v>
      </c>
      <c r="D32" s="34" t="s">
        <v>261</v>
      </c>
      <c r="E32">
        <v>0.93799999999999994</v>
      </c>
    </row>
    <row r="33" spans="1:5">
      <c r="A33" s="34" t="s">
        <v>262</v>
      </c>
      <c r="B33">
        <v>0.93300000000000005</v>
      </c>
      <c r="D33" s="34" t="s">
        <v>262</v>
      </c>
      <c r="E33">
        <v>0.93799999999999994</v>
      </c>
    </row>
    <row r="34" spans="1:5">
      <c r="A34" s="34" t="s">
        <v>263</v>
      </c>
      <c r="B34">
        <v>0.97099999999999997</v>
      </c>
      <c r="D34" s="34" t="s">
        <v>263</v>
      </c>
      <c r="E34">
        <v>0.97499999999999998</v>
      </c>
    </row>
    <row r="35" spans="1:5">
      <c r="A35" s="34" t="s">
        <v>264</v>
      </c>
      <c r="B35">
        <v>0.93300000000000005</v>
      </c>
      <c r="D35" s="34" t="s">
        <v>264</v>
      </c>
      <c r="E35">
        <v>0.93799999999999994</v>
      </c>
    </row>
    <row r="36" spans="1:5">
      <c r="A36" s="34" t="s">
        <v>265</v>
      </c>
      <c r="B36">
        <v>0.92100000000000004</v>
      </c>
      <c r="D36" s="34" t="s">
        <v>265</v>
      </c>
      <c r="E36">
        <v>0.93799999999999994</v>
      </c>
    </row>
    <row r="37" spans="1:5">
      <c r="A37" s="34" t="s">
        <v>266</v>
      </c>
      <c r="B37">
        <v>0.96799999999999997</v>
      </c>
      <c r="D37" s="34" t="s">
        <v>266</v>
      </c>
      <c r="E37">
        <v>0.97499999999999998</v>
      </c>
    </row>
    <row r="38" spans="1:5">
      <c r="A38" s="34" t="s">
        <v>267</v>
      </c>
      <c r="B38">
        <v>0.92100000000000004</v>
      </c>
      <c r="D38" s="34" t="s">
        <v>267</v>
      </c>
      <c r="E38">
        <v>0.93799999999999994</v>
      </c>
    </row>
    <row r="39" spans="1:5">
      <c r="A39" s="34" t="s">
        <v>268</v>
      </c>
      <c r="B39">
        <v>0.92100000000000004</v>
      </c>
      <c r="D39" s="34" t="s">
        <v>268</v>
      </c>
      <c r="E39">
        <v>0.93799999999999994</v>
      </c>
    </row>
    <row r="40" spans="1:5">
      <c r="A40" s="34" t="s">
        <v>269</v>
      </c>
      <c r="B40">
        <v>0.96799999999999997</v>
      </c>
      <c r="D40" s="34" t="s">
        <v>269</v>
      </c>
      <c r="E40">
        <v>0.97499999999999998</v>
      </c>
    </row>
    <row r="41" spans="1:5">
      <c r="A41" s="34" t="s">
        <v>270</v>
      </c>
      <c r="B41">
        <v>0.96799999999999997</v>
      </c>
      <c r="D41" s="34" t="s">
        <v>270</v>
      </c>
      <c r="E41">
        <v>0.97499999999999998</v>
      </c>
    </row>
    <row r="42" spans="1:5">
      <c r="A42" s="34" t="s">
        <v>271</v>
      </c>
      <c r="B42">
        <v>0.92100000000000004</v>
      </c>
      <c r="D42" s="34" t="s">
        <v>271</v>
      </c>
      <c r="E42">
        <v>0.93799999999999994</v>
      </c>
    </row>
    <row r="43" spans="1:5">
      <c r="A43" s="34" t="s">
        <v>272</v>
      </c>
      <c r="B43">
        <v>0.92100000000000004</v>
      </c>
      <c r="D43" s="34" t="s">
        <v>272</v>
      </c>
      <c r="E43">
        <v>0.93799999999999994</v>
      </c>
    </row>
    <row r="44" spans="1:5">
      <c r="A44" s="34" t="s">
        <v>273</v>
      </c>
      <c r="B44">
        <v>0.96799999999999997</v>
      </c>
      <c r="D44" s="34" t="s">
        <v>273</v>
      </c>
      <c r="E44">
        <v>0.97499999999999998</v>
      </c>
    </row>
    <row r="45" spans="1:5">
      <c r="A45" s="34" t="s">
        <v>274</v>
      </c>
      <c r="B45">
        <v>0.95899999999999996</v>
      </c>
      <c r="D45" s="34" t="s">
        <v>274</v>
      </c>
      <c r="E45">
        <v>0.96799999999999997</v>
      </c>
    </row>
    <row r="46" spans="1:5">
      <c r="A46" s="34" t="s">
        <v>275</v>
      </c>
      <c r="B46">
        <v>0.96499999999999997</v>
      </c>
      <c r="D46" s="34" t="s">
        <v>275</v>
      </c>
      <c r="E46">
        <v>0.97299999999999998</v>
      </c>
    </row>
    <row r="47" spans="1:5">
      <c r="A47" s="34" t="s">
        <v>276</v>
      </c>
      <c r="B47">
        <v>0.94599999999999995</v>
      </c>
      <c r="D47" s="34" t="s">
        <v>276</v>
      </c>
      <c r="E47">
        <v>0.95799999999999996</v>
      </c>
    </row>
    <row r="48" spans="1:5">
      <c r="A48" s="34" t="s">
        <v>277</v>
      </c>
      <c r="B48">
        <v>0.94</v>
      </c>
      <c r="D48" s="34" t="s">
        <v>277</v>
      </c>
      <c r="E48">
        <v>0.95299999999999996</v>
      </c>
    </row>
    <row r="49" spans="1:5">
      <c r="A49" s="34" t="s">
        <v>278</v>
      </c>
      <c r="B49">
        <v>0.92100000000000004</v>
      </c>
      <c r="D49" s="34" t="s">
        <v>278</v>
      </c>
      <c r="E49">
        <v>0.93799999999999994</v>
      </c>
    </row>
    <row r="50" spans="1:5">
      <c r="A50" s="34" t="s">
        <v>279</v>
      </c>
      <c r="B50">
        <v>0.95899999999999996</v>
      </c>
      <c r="D50" s="34" t="s">
        <v>279</v>
      </c>
      <c r="E50">
        <v>0.96799999999999997</v>
      </c>
    </row>
    <row r="51" spans="1:5">
      <c r="A51" s="34" t="s">
        <v>280</v>
      </c>
      <c r="B51">
        <v>0.96499999999999997</v>
      </c>
      <c r="D51" s="34" t="s">
        <v>280</v>
      </c>
      <c r="E51">
        <v>0.97299999999999998</v>
      </c>
    </row>
    <row r="52" spans="1:5">
      <c r="A52" s="34" t="s">
        <v>281</v>
      </c>
      <c r="B52">
        <v>0.96499999999999997</v>
      </c>
      <c r="D52" s="34" t="s">
        <v>281</v>
      </c>
      <c r="E52">
        <v>0.97299999999999998</v>
      </c>
    </row>
    <row r="53" spans="1:5">
      <c r="A53" s="34" t="s">
        <v>282</v>
      </c>
      <c r="B53">
        <v>0.94</v>
      </c>
      <c r="D53" s="34" t="s">
        <v>282</v>
      </c>
      <c r="E53">
        <v>0.95299999999999996</v>
      </c>
    </row>
    <row r="54" spans="1:5">
      <c r="A54" s="34" t="s">
        <v>240</v>
      </c>
      <c r="B54">
        <v>0.98099999999999998</v>
      </c>
      <c r="D54" s="34" t="s">
        <v>240</v>
      </c>
      <c r="E54">
        <v>0.97499999999999998</v>
      </c>
    </row>
    <row r="55" spans="1:5">
      <c r="A55" s="34" t="s">
        <v>283</v>
      </c>
      <c r="B55">
        <v>0.93300000000000005</v>
      </c>
      <c r="D55" s="34" t="s">
        <v>283</v>
      </c>
      <c r="E55">
        <v>0.93799999999999994</v>
      </c>
    </row>
    <row r="56" spans="1:5">
      <c r="A56" s="34" t="s">
        <v>284</v>
      </c>
      <c r="B56">
        <v>0.93300000000000005</v>
      </c>
      <c r="D56" s="34" t="s">
        <v>284</v>
      </c>
      <c r="E56">
        <v>0.93799999999999994</v>
      </c>
    </row>
    <row r="57" spans="1:5">
      <c r="A57" s="34" t="s">
        <v>285</v>
      </c>
      <c r="B57">
        <v>0.98099999999999998</v>
      </c>
      <c r="D57" s="34" t="s">
        <v>285</v>
      </c>
      <c r="E57">
        <v>0.97499999999999998</v>
      </c>
    </row>
    <row r="58" spans="1:5">
      <c r="A58" s="34" t="s">
        <v>286</v>
      </c>
      <c r="B58">
        <v>0.93300000000000005</v>
      </c>
      <c r="D58" s="34" t="s">
        <v>286</v>
      </c>
      <c r="E58">
        <v>0.93799999999999994</v>
      </c>
    </row>
    <row r="59" spans="1:5">
      <c r="A59" s="34" t="s">
        <v>287</v>
      </c>
      <c r="B59">
        <v>0.98899999999999999</v>
      </c>
      <c r="D59" s="34" t="s">
        <v>287</v>
      </c>
      <c r="E59">
        <v>0.97499999999999998</v>
      </c>
    </row>
    <row r="60" spans="1:5">
      <c r="A60" s="34" t="s">
        <v>288</v>
      </c>
      <c r="B60">
        <v>0.96499999999999997</v>
      </c>
      <c r="D60" s="34" t="s">
        <v>288</v>
      </c>
      <c r="E60">
        <v>0.93799999999999994</v>
      </c>
    </row>
    <row r="61" spans="1:5">
      <c r="A61" s="34" t="s">
        <v>289</v>
      </c>
      <c r="B61">
        <v>0.96499999999999997</v>
      </c>
      <c r="D61" s="34" t="s">
        <v>289</v>
      </c>
      <c r="E61">
        <v>0.93799999999999994</v>
      </c>
    </row>
    <row r="62" spans="1:5">
      <c r="A62" s="34" t="s">
        <v>290</v>
      </c>
      <c r="B62">
        <v>0.98899999999999999</v>
      </c>
      <c r="D62" s="34" t="s">
        <v>290</v>
      </c>
      <c r="E62">
        <v>0.97499999999999998</v>
      </c>
    </row>
    <row r="63" spans="1:5">
      <c r="A63" s="34" t="s">
        <v>291</v>
      </c>
      <c r="B63">
        <v>0.96499999999999997</v>
      </c>
      <c r="D63" s="34" t="s">
        <v>291</v>
      </c>
      <c r="E63">
        <v>0.93799999999999994</v>
      </c>
    </row>
    <row r="64" spans="1:5">
      <c r="A64" s="34" t="s">
        <v>201</v>
      </c>
      <c r="B64">
        <v>0.98699999999999999</v>
      </c>
      <c r="D64" s="34" t="s">
        <v>201</v>
      </c>
      <c r="E64">
        <v>0.95</v>
      </c>
    </row>
    <row r="65" spans="1:5">
      <c r="A65" s="34" t="s">
        <v>202</v>
      </c>
      <c r="B65">
        <v>0.98699999999999999</v>
      </c>
      <c r="D65" s="34" t="s">
        <v>202</v>
      </c>
      <c r="E65">
        <v>0.95</v>
      </c>
    </row>
    <row r="66" spans="1:5">
      <c r="A66" s="34" t="s">
        <v>203</v>
      </c>
      <c r="B66">
        <v>0.997</v>
      </c>
      <c r="D66" s="34" t="s">
        <v>203</v>
      </c>
      <c r="E66">
        <v>0.98799999999999999</v>
      </c>
    </row>
    <row r="67" spans="1:5">
      <c r="A67" s="34" t="s">
        <v>233</v>
      </c>
      <c r="B67">
        <v>1</v>
      </c>
      <c r="D67" s="34" t="s">
        <v>233</v>
      </c>
      <c r="E67">
        <v>1</v>
      </c>
    </row>
    <row r="68" spans="1:5">
      <c r="A68" s="34" t="s">
        <v>292</v>
      </c>
      <c r="B68">
        <v>0.98399999999999999</v>
      </c>
      <c r="D68" s="34" t="s">
        <v>292</v>
      </c>
      <c r="E68">
        <v>0.93799999999999994</v>
      </c>
    </row>
    <row r="69" spans="1:5">
      <c r="A69" s="34" t="s">
        <v>293</v>
      </c>
      <c r="B69">
        <v>0.95899999999999996</v>
      </c>
      <c r="D69" s="34" t="s">
        <v>293</v>
      </c>
      <c r="E69">
        <v>0.95</v>
      </c>
    </row>
    <row r="70" spans="1:5">
      <c r="A70" s="34" t="s">
        <v>294</v>
      </c>
      <c r="B70">
        <v>0.94599999999999995</v>
      </c>
      <c r="D70" s="34" t="s">
        <v>294</v>
      </c>
      <c r="E70">
        <v>0.93799999999999994</v>
      </c>
    </row>
    <row r="71" spans="1:5">
      <c r="A71" s="34" t="s">
        <v>295</v>
      </c>
      <c r="B71">
        <v>0.95899999999999996</v>
      </c>
      <c r="D71" s="34" t="s">
        <v>295</v>
      </c>
      <c r="E71">
        <v>0.95</v>
      </c>
    </row>
    <row r="72" spans="1:5">
      <c r="A72" s="34" t="s">
        <v>296</v>
      </c>
      <c r="B72">
        <v>0.997</v>
      </c>
      <c r="D72" s="34" t="s">
        <v>296</v>
      </c>
      <c r="E72">
        <v>0.98799999999999999</v>
      </c>
    </row>
    <row r="73" spans="1:5">
      <c r="A73" s="34" t="s">
        <v>297</v>
      </c>
      <c r="B73">
        <v>0.94599999999999995</v>
      </c>
      <c r="D73" s="34" t="s">
        <v>297</v>
      </c>
      <c r="E73">
        <v>0.93799999999999994</v>
      </c>
    </row>
    <row r="74" spans="1:5">
      <c r="A74" s="34" t="s">
        <v>298</v>
      </c>
      <c r="B74">
        <v>0.98399999999999999</v>
      </c>
      <c r="D74" s="34" t="s">
        <v>298</v>
      </c>
      <c r="E74">
        <v>0.97499999999999998</v>
      </c>
    </row>
    <row r="75" spans="1:5">
      <c r="A75" s="34" t="s">
        <v>299</v>
      </c>
      <c r="B75">
        <v>0.94599999999999995</v>
      </c>
      <c r="D75" s="34" t="s">
        <v>299</v>
      </c>
      <c r="E75">
        <v>0.93799999999999994</v>
      </c>
    </row>
    <row r="76" spans="1:5">
      <c r="A76" s="34" t="s">
        <v>300</v>
      </c>
      <c r="B76">
        <v>0.94599999999999995</v>
      </c>
      <c r="D76" s="34" t="s">
        <v>300</v>
      </c>
      <c r="E76">
        <v>0.93799999999999994</v>
      </c>
    </row>
    <row r="77" spans="1:5">
      <c r="A77" s="34" t="s">
        <v>301</v>
      </c>
      <c r="B77">
        <v>0.98399999999999999</v>
      </c>
      <c r="D77" s="34" t="s">
        <v>301</v>
      </c>
      <c r="E77">
        <v>0.97499999999999998</v>
      </c>
    </row>
    <row r="78" spans="1:5">
      <c r="A78" s="34" t="s">
        <v>302</v>
      </c>
      <c r="B78">
        <v>0.94599999999999995</v>
      </c>
      <c r="D78" s="34" t="s">
        <v>302</v>
      </c>
      <c r="E78">
        <v>0.93799999999999994</v>
      </c>
    </row>
    <row r="79" spans="1:5">
      <c r="A79" s="34" t="s">
        <v>303</v>
      </c>
      <c r="B79">
        <v>0.98399999999999999</v>
      </c>
      <c r="D79" s="34" t="s">
        <v>303</v>
      </c>
      <c r="E79">
        <v>0.97499999999999998</v>
      </c>
    </row>
    <row r="80" spans="1:5">
      <c r="A80" s="34" t="s">
        <v>304</v>
      </c>
      <c r="B80">
        <v>0.94599999999999995</v>
      </c>
      <c r="D80" s="34" t="s">
        <v>304</v>
      </c>
      <c r="E80">
        <v>0.93799999999999994</v>
      </c>
    </row>
    <row r="81" spans="1:5">
      <c r="A81" s="34" t="s">
        <v>305</v>
      </c>
      <c r="B81">
        <v>0.94599999999999995</v>
      </c>
      <c r="D81" s="34" t="s">
        <v>305</v>
      </c>
      <c r="E81">
        <v>0.93799999999999994</v>
      </c>
    </row>
    <row r="82" spans="1:5">
      <c r="A82" s="34" t="s">
        <v>306</v>
      </c>
      <c r="B82">
        <v>0.98399999999999999</v>
      </c>
      <c r="D82" s="34" t="s">
        <v>306</v>
      </c>
      <c r="E82">
        <v>0.97499999999999998</v>
      </c>
    </row>
    <row r="83" spans="1:5">
      <c r="A83" s="34" t="s">
        <v>307</v>
      </c>
      <c r="B83">
        <v>0.94599999999999995</v>
      </c>
      <c r="D83" s="34" t="s">
        <v>307</v>
      </c>
      <c r="E83">
        <v>0.93799999999999994</v>
      </c>
    </row>
    <row r="84" spans="1:5">
      <c r="A84" s="34" t="s">
        <v>308</v>
      </c>
      <c r="B84">
        <v>0.98399999999999999</v>
      </c>
      <c r="D84" s="34" t="s">
        <v>308</v>
      </c>
      <c r="E84">
        <v>0.97499999999999998</v>
      </c>
    </row>
    <row r="85" spans="1:5">
      <c r="A85" s="34" t="s">
        <v>309</v>
      </c>
      <c r="B85">
        <v>0.94599999999999995</v>
      </c>
      <c r="D85" s="34" t="s">
        <v>309</v>
      </c>
      <c r="E85">
        <v>0.93799999999999994</v>
      </c>
    </row>
    <row r="86" spans="1:5">
      <c r="A86" s="34" t="s">
        <v>310</v>
      </c>
      <c r="B86">
        <v>0.94599999999999995</v>
      </c>
      <c r="D86" s="34" t="s">
        <v>310</v>
      </c>
      <c r="E86">
        <v>0.93799999999999994</v>
      </c>
    </row>
    <row r="87" spans="1:5">
      <c r="A87" s="34" t="s">
        <v>311</v>
      </c>
      <c r="B87">
        <v>0.98399999999999999</v>
      </c>
      <c r="D87" s="34" t="s">
        <v>311</v>
      </c>
      <c r="E87">
        <v>0.97499999999999998</v>
      </c>
    </row>
    <row r="88" spans="1:5">
      <c r="A88" s="34" t="s">
        <v>312</v>
      </c>
      <c r="B88">
        <v>0.94599999999999995</v>
      </c>
      <c r="D88" s="34" t="s">
        <v>312</v>
      </c>
      <c r="E88">
        <v>0.93799999999999994</v>
      </c>
    </row>
    <row r="89" spans="1:5">
      <c r="A89" s="34" t="s">
        <v>313</v>
      </c>
      <c r="B89">
        <v>0.93300000000000005</v>
      </c>
      <c r="D89" s="34" t="s">
        <v>313</v>
      </c>
      <c r="E89">
        <v>0.93799999999999994</v>
      </c>
    </row>
    <row r="90" spans="1:5">
      <c r="A90" s="34" t="s">
        <v>314</v>
      </c>
      <c r="B90">
        <v>0.98099999999999998</v>
      </c>
      <c r="D90" s="34" t="s">
        <v>314</v>
      </c>
      <c r="E90">
        <v>0.97499999999999998</v>
      </c>
    </row>
    <row r="91" spans="1:5">
      <c r="A91" s="34" t="s">
        <v>315</v>
      </c>
      <c r="B91">
        <v>0.93300000000000005</v>
      </c>
      <c r="D91" s="34" t="s">
        <v>315</v>
      </c>
      <c r="E91">
        <v>0.93799999999999994</v>
      </c>
    </row>
    <row r="92" spans="1:5">
      <c r="A92" s="34" t="s">
        <v>316</v>
      </c>
      <c r="B92">
        <v>0.93300000000000005</v>
      </c>
      <c r="D92" s="34" t="s">
        <v>316</v>
      </c>
      <c r="E92">
        <v>0.93799999999999994</v>
      </c>
    </row>
    <row r="93" spans="1:5">
      <c r="A93" s="34" t="s">
        <v>317</v>
      </c>
      <c r="B93">
        <v>0.98099999999999998</v>
      </c>
      <c r="D93" s="34" t="s">
        <v>317</v>
      </c>
      <c r="E93">
        <v>0.97499999999999998</v>
      </c>
    </row>
    <row r="94" spans="1:5">
      <c r="A94" s="34" t="s">
        <v>318</v>
      </c>
      <c r="B94">
        <v>0.98099999999999998</v>
      </c>
      <c r="D94" s="34" t="s">
        <v>318</v>
      </c>
      <c r="E94">
        <v>0.97499999999999998</v>
      </c>
    </row>
    <row r="95" spans="1:5">
      <c r="A95" s="34" t="s">
        <v>319</v>
      </c>
      <c r="B95">
        <v>0.93300000000000005</v>
      </c>
      <c r="D95" s="34" t="s">
        <v>319</v>
      </c>
      <c r="E95">
        <v>0.93799999999999994</v>
      </c>
    </row>
    <row r="96" spans="1:5">
      <c r="A96" s="34" t="s">
        <v>320</v>
      </c>
      <c r="B96">
        <v>0.93300000000000005</v>
      </c>
      <c r="D96" s="34" t="s">
        <v>320</v>
      </c>
      <c r="E96">
        <v>0.93799999999999994</v>
      </c>
    </row>
    <row r="97" spans="1:5">
      <c r="A97" s="34" t="s">
        <v>321</v>
      </c>
      <c r="B97">
        <v>0.98099999999999998</v>
      </c>
      <c r="D97" s="34" t="s">
        <v>321</v>
      </c>
      <c r="E97">
        <v>0.97499999999999998</v>
      </c>
    </row>
    <row r="98" spans="1:5">
      <c r="A98" s="34" t="s">
        <v>322</v>
      </c>
      <c r="B98">
        <v>0.97099999999999997</v>
      </c>
      <c r="D98" s="34" t="s">
        <v>322</v>
      </c>
      <c r="E98">
        <v>0.96799999999999997</v>
      </c>
    </row>
    <row r="99" spans="1:5">
      <c r="A99" s="34" t="s">
        <v>323</v>
      </c>
      <c r="B99">
        <v>0.97799999999999998</v>
      </c>
      <c r="D99" s="34" t="s">
        <v>323</v>
      </c>
      <c r="E99">
        <v>0.97299999999999998</v>
      </c>
    </row>
    <row r="100" spans="1:5">
      <c r="A100" s="34" t="s">
        <v>324</v>
      </c>
      <c r="B100">
        <v>0.95899999999999996</v>
      </c>
      <c r="D100" s="34" t="s">
        <v>324</v>
      </c>
      <c r="E100">
        <v>0.95799999999999996</v>
      </c>
    </row>
    <row r="101" spans="1:5">
      <c r="A101" s="34" t="s">
        <v>325</v>
      </c>
      <c r="B101">
        <v>0.95199999999999996</v>
      </c>
      <c r="D101" s="34" t="s">
        <v>325</v>
      </c>
      <c r="E101">
        <v>0.95299999999999996</v>
      </c>
    </row>
    <row r="102" spans="1:5">
      <c r="A102" s="34" t="s">
        <v>326</v>
      </c>
      <c r="B102">
        <v>0.93300000000000005</v>
      </c>
      <c r="D102" s="34" t="s">
        <v>326</v>
      </c>
      <c r="E102">
        <v>0.93799999999999994</v>
      </c>
    </row>
    <row r="103" spans="1:5">
      <c r="A103" s="34" t="s">
        <v>327</v>
      </c>
      <c r="B103">
        <v>0.97099999999999997</v>
      </c>
      <c r="D103" s="34" t="s">
        <v>327</v>
      </c>
      <c r="E103">
        <v>0.96799999999999997</v>
      </c>
    </row>
    <row r="104" spans="1:5">
      <c r="A104" s="34" t="s">
        <v>328</v>
      </c>
      <c r="B104">
        <v>0.97799999999999998</v>
      </c>
      <c r="D104" s="34" t="s">
        <v>328</v>
      </c>
      <c r="E104">
        <v>0.97299999999999998</v>
      </c>
    </row>
    <row r="105" spans="1:5">
      <c r="A105" s="34" t="s">
        <v>329</v>
      </c>
      <c r="B105">
        <v>0.97799999999999998</v>
      </c>
      <c r="D105" s="34" t="s">
        <v>329</v>
      </c>
      <c r="E105">
        <v>0.97299999999999998</v>
      </c>
    </row>
    <row r="106" spans="1:5">
      <c r="A106" s="34" t="s">
        <v>330</v>
      </c>
      <c r="B106">
        <v>0.95199999999999996</v>
      </c>
      <c r="D106" s="34" t="s">
        <v>330</v>
      </c>
      <c r="E106">
        <v>0.95299999999999996</v>
      </c>
    </row>
    <row r="107" spans="1:5">
      <c r="A107" s="34" t="s">
        <v>250</v>
      </c>
      <c r="B107">
        <v>0.97099999999999997</v>
      </c>
      <c r="D107" s="34" t="s">
        <v>250</v>
      </c>
      <c r="E107">
        <v>0.97499999999999998</v>
      </c>
    </row>
    <row r="108" spans="1:5">
      <c r="A108" s="34" t="s">
        <v>331</v>
      </c>
      <c r="B108">
        <v>0.92400000000000004</v>
      </c>
      <c r="D108" s="34" t="s">
        <v>331</v>
      </c>
      <c r="E108">
        <v>0.93799999999999994</v>
      </c>
    </row>
    <row r="109" spans="1:5">
      <c r="A109" s="34" t="s">
        <v>332</v>
      </c>
      <c r="B109">
        <v>0.92400000000000004</v>
      </c>
      <c r="D109" s="34" t="s">
        <v>332</v>
      </c>
      <c r="E109">
        <v>0.93799999999999994</v>
      </c>
    </row>
    <row r="110" spans="1:5">
      <c r="A110" s="34" t="s">
        <v>333</v>
      </c>
      <c r="B110">
        <v>0.97099999999999997</v>
      </c>
      <c r="D110" s="34" t="s">
        <v>333</v>
      </c>
      <c r="E110">
        <v>0.97499999999999998</v>
      </c>
    </row>
    <row r="111" spans="1:5">
      <c r="A111" s="34" t="s">
        <v>334</v>
      </c>
      <c r="B111">
        <v>0.92400000000000004</v>
      </c>
      <c r="D111" s="34" t="s">
        <v>334</v>
      </c>
      <c r="E111">
        <v>0.93799999999999994</v>
      </c>
    </row>
    <row r="112" spans="1:5">
      <c r="A112" s="34" t="s">
        <v>335</v>
      </c>
      <c r="B112">
        <v>0.97899999999999998</v>
      </c>
      <c r="D112" s="34" t="s">
        <v>335</v>
      </c>
      <c r="E112">
        <v>0.97499999999999998</v>
      </c>
    </row>
    <row r="113" spans="1:5">
      <c r="A113" s="34" t="s">
        <v>336</v>
      </c>
      <c r="B113">
        <v>0.95599999999999996</v>
      </c>
      <c r="D113" s="34" t="s">
        <v>336</v>
      </c>
      <c r="E113">
        <v>0.93799999999999994</v>
      </c>
    </row>
    <row r="114" spans="1:5">
      <c r="A114" s="34" t="s">
        <v>337</v>
      </c>
      <c r="B114">
        <v>0.95599999999999996</v>
      </c>
      <c r="D114" s="34" t="s">
        <v>337</v>
      </c>
      <c r="E114">
        <v>0.93799999999999994</v>
      </c>
    </row>
    <row r="115" spans="1:5">
      <c r="A115" s="34" t="s">
        <v>338</v>
      </c>
      <c r="B115">
        <v>0.97899999999999998</v>
      </c>
      <c r="D115" s="34" t="s">
        <v>338</v>
      </c>
      <c r="E115">
        <v>0.97499999999999998</v>
      </c>
    </row>
    <row r="116" spans="1:5">
      <c r="A116" s="34" t="s">
        <v>339</v>
      </c>
      <c r="B116">
        <v>0.95599999999999996</v>
      </c>
      <c r="D116" s="34" t="s">
        <v>339</v>
      </c>
      <c r="E116">
        <v>0.93799999999999994</v>
      </c>
    </row>
    <row r="117" spans="1:5">
      <c r="A117" s="34" t="s">
        <v>298</v>
      </c>
      <c r="B117">
        <v>0.98399999999999999</v>
      </c>
      <c r="D117" s="34" t="s">
        <v>298</v>
      </c>
      <c r="E117">
        <v>0.97499999999999998</v>
      </c>
    </row>
    <row r="118" spans="1:5">
      <c r="A118" s="34" t="s">
        <v>340</v>
      </c>
      <c r="B118">
        <v>0.97399999999999998</v>
      </c>
      <c r="D118" s="34" t="s">
        <v>340</v>
      </c>
      <c r="E118">
        <v>0.93799999999999994</v>
      </c>
    </row>
    <row r="119" spans="1:5">
      <c r="A119" s="34" t="s">
        <v>341</v>
      </c>
      <c r="B119">
        <v>0.97399999999999998</v>
      </c>
      <c r="D119" s="34" t="s">
        <v>341</v>
      </c>
      <c r="E119">
        <v>0.93799999999999994</v>
      </c>
    </row>
    <row r="120" spans="1:5">
      <c r="A120" s="34" t="s">
        <v>342</v>
      </c>
      <c r="B120">
        <v>0.98399999999999999</v>
      </c>
      <c r="D120" s="34" t="s">
        <v>342</v>
      </c>
      <c r="E120">
        <v>0.97499999999999998</v>
      </c>
    </row>
    <row r="121" spans="1:5">
      <c r="A121" s="34" t="s">
        <v>343</v>
      </c>
      <c r="B121">
        <v>0.97399999999999998</v>
      </c>
      <c r="D121" s="34" t="s">
        <v>343</v>
      </c>
      <c r="E121">
        <v>0.93799999999999994</v>
      </c>
    </row>
    <row r="122" spans="1:5">
      <c r="A122" s="34" t="s">
        <v>344</v>
      </c>
      <c r="B122">
        <v>0.94899999999999995</v>
      </c>
      <c r="D122" s="34" t="s">
        <v>344</v>
      </c>
      <c r="E122">
        <v>0.95</v>
      </c>
    </row>
    <row r="123" spans="1:5">
      <c r="A123" s="34" t="s">
        <v>345</v>
      </c>
      <c r="B123">
        <v>0.93700000000000006</v>
      </c>
      <c r="D123" s="34" t="s">
        <v>345</v>
      </c>
      <c r="E123">
        <v>0.93799999999999994</v>
      </c>
    </row>
    <row r="124" spans="1:5">
      <c r="A124" s="34" t="s">
        <v>346</v>
      </c>
      <c r="B124">
        <v>0.94899999999999995</v>
      </c>
      <c r="D124" s="34" t="s">
        <v>346</v>
      </c>
      <c r="E124">
        <v>0.95</v>
      </c>
    </row>
    <row r="125" spans="1:5">
      <c r="A125" s="34" t="s">
        <v>347</v>
      </c>
      <c r="B125">
        <v>0.98699999999999999</v>
      </c>
      <c r="D125" s="34" t="s">
        <v>347</v>
      </c>
      <c r="E125">
        <v>0.98799999999999999</v>
      </c>
    </row>
    <row r="126" spans="1:5">
      <c r="A126" s="34" t="s">
        <v>348</v>
      </c>
      <c r="B126">
        <v>0.93700000000000006</v>
      </c>
      <c r="D126" s="34" t="s">
        <v>348</v>
      </c>
      <c r="E126">
        <v>0.93799999999999994</v>
      </c>
    </row>
    <row r="127" spans="1:5">
      <c r="A127" s="34" t="s">
        <v>204</v>
      </c>
      <c r="B127">
        <v>0.94899999999999995</v>
      </c>
      <c r="D127" s="34" t="s">
        <v>204</v>
      </c>
      <c r="E127">
        <v>0.95</v>
      </c>
    </row>
    <row r="128" spans="1:5">
      <c r="A128" s="34" t="s">
        <v>205</v>
      </c>
      <c r="B128">
        <v>0.94899999999999995</v>
      </c>
      <c r="D128" s="34" t="s">
        <v>205</v>
      </c>
      <c r="E128">
        <v>0.95</v>
      </c>
    </row>
    <row r="129" spans="1:5">
      <c r="A129" s="34" t="s">
        <v>206</v>
      </c>
      <c r="B129">
        <v>0.98699999999999999</v>
      </c>
      <c r="D129" s="34" t="s">
        <v>206</v>
      </c>
      <c r="E129">
        <v>0.98799999999999999</v>
      </c>
    </row>
    <row r="130" spans="1:5">
      <c r="A130" s="34" t="s">
        <v>233</v>
      </c>
      <c r="B130">
        <v>1</v>
      </c>
      <c r="D130" s="34" t="s">
        <v>233</v>
      </c>
      <c r="E130">
        <v>1</v>
      </c>
    </row>
    <row r="131" spans="1:5">
      <c r="A131" s="34" t="s">
        <v>349</v>
      </c>
      <c r="B131">
        <v>0.93700000000000006</v>
      </c>
      <c r="D131" s="34" t="s">
        <v>349</v>
      </c>
      <c r="E131">
        <v>0.93799999999999994</v>
      </c>
    </row>
    <row r="132" spans="1:5">
      <c r="A132" s="34" t="s">
        <v>350</v>
      </c>
      <c r="B132">
        <v>0.97399999999999998</v>
      </c>
      <c r="D132" s="34" t="s">
        <v>350</v>
      </c>
      <c r="E132">
        <v>0.97499999999999998</v>
      </c>
    </row>
    <row r="133" spans="1:5">
      <c r="A133" s="34" t="s">
        <v>351</v>
      </c>
      <c r="B133">
        <v>0.93700000000000006</v>
      </c>
      <c r="D133" s="34" t="s">
        <v>351</v>
      </c>
      <c r="E133">
        <v>0.93799999999999994</v>
      </c>
    </row>
    <row r="134" spans="1:5">
      <c r="A134" s="34" t="s">
        <v>352</v>
      </c>
      <c r="B134">
        <v>0.93700000000000006</v>
      </c>
      <c r="D134" s="34" t="s">
        <v>352</v>
      </c>
      <c r="E134">
        <v>0.93799999999999994</v>
      </c>
    </row>
    <row r="135" spans="1:5">
      <c r="A135" s="34" t="s">
        <v>353</v>
      </c>
      <c r="B135">
        <v>0.97399999999999998</v>
      </c>
      <c r="D135" s="34" t="s">
        <v>353</v>
      </c>
      <c r="E135">
        <v>0.97499999999999998</v>
      </c>
    </row>
    <row r="136" spans="1:5">
      <c r="A136" s="34" t="s">
        <v>354</v>
      </c>
      <c r="B136">
        <v>0.93700000000000006</v>
      </c>
      <c r="D136" s="34" t="s">
        <v>354</v>
      </c>
      <c r="E136">
        <v>0.93799999999999994</v>
      </c>
    </row>
    <row r="137" spans="1:5">
      <c r="A137" s="34" t="s">
        <v>355</v>
      </c>
      <c r="B137">
        <v>0.97399999999999998</v>
      </c>
      <c r="D137" s="34" t="s">
        <v>355</v>
      </c>
      <c r="E137">
        <v>0.97499999999999998</v>
      </c>
    </row>
    <row r="138" spans="1:5">
      <c r="A138" s="34" t="s">
        <v>356</v>
      </c>
      <c r="B138">
        <v>0.93700000000000006</v>
      </c>
      <c r="D138" s="34" t="s">
        <v>356</v>
      </c>
      <c r="E138">
        <v>0.93799999999999994</v>
      </c>
    </row>
    <row r="139" spans="1:5">
      <c r="A139" s="34" t="s">
        <v>357</v>
      </c>
      <c r="B139">
        <v>0.93700000000000006</v>
      </c>
      <c r="D139" s="34" t="s">
        <v>357</v>
      </c>
      <c r="E139">
        <v>0.93799999999999994</v>
      </c>
    </row>
    <row r="140" spans="1:5">
      <c r="A140" s="34" t="s">
        <v>358</v>
      </c>
      <c r="B140">
        <v>0.97399999999999998</v>
      </c>
      <c r="D140" s="34" t="s">
        <v>358</v>
      </c>
      <c r="E140">
        <v>0.97499999999999998</v>
      </c>
    </row>
    <row r="141" spans="1:5">
      <c r="A141" s="34" t="s">
        <v>359</v>
      </c>
      <c r="B141">
        <v>0.93700000000000006</v>
      </c>
      <c r="D141" s="34" t="s">
        <v>359</v>
      </c>
      <c r="E141">
        <v>0.93799999999999994</v>
      </c>
    </row>
    <row r="142" spans="1:5">
      <c r="A142" s="34" t="s">
        <v>360</v>
      </c>
      <c r="B142">
        <v>0.92400000000000004</v>
      </c>
      <c r="D142" s="34" t="s">
        <v>360</v>
      </c>
      <c r="E142">
        <v>0.93799999999999994</v>
      </c>
    </row>
    <row r="143" spans="1:5">
      <c r="A143" s="34" t="s">
        <v>361</v>
      </c>
      <c r="B143">
        <v>0.97099999999999997</v>
      </c>
      <c r="D143" s="34" t="s">
        <v>361</v>
      </c>
      <c r="E143">
        <v>0.97499999999999998</v>
      </c>
    </row>
    <row r="144" spans="1:5">
      <c r="A144" s="34" t="s">
        <v>362</v>
      </c>
      <c r="B144">
        <v>0.92400000000000004</v>
      </c>
      <c r="D144" s="34" t="s">
        <v>362</v>
      </c>
      <c r="E144">
        <v>0.93799999999999994</v>
      </c>
    </row>
    <row r="145" spans="1:5">
      <c r="A145" s="34" t="s">
        <v>363</v>
      </c>
      <c r="B145">
        <v>0.92400000000000004</v>
      </c>
      <c r="D145" s="34" t="s">
        <v>363</v>
      </c>
      <c r="E145">
        <v>0.93799999999999994</v>
      </c>
    </row>
    <row r="146" spans="1:5">
      <c r="A146" s="34" t="s">
        <v>364</v>
      </c>
      <c r="B146">
        <v>0.97099999999999997</v>
      </c>
      <c r="D146" s="34" t="s">
        <v>364</v>
      </c>
      <c r="E146">
        <v>0.97499999999999998</v>
      </c>
    </row>
    <row r="147" spans="1:5">
      <c r="A147" s="34" t="s">
        <v>365</v>
      </c>
      <c r="B147">
        <v>0.97099999999999997</v>
      </c>
      <c r="D147" s="34" t="s">
        <v>365</v>
      </c>
      <c r="E147">
        <v>0.97499999999999998</v>
      </c>
    </row>
    <row r="148" spans="1:5">
      <c r="A148" s="34" t="s">
        <v>366</v>
      </c>
      <c r="B148">
        <v>0.92400000000000004</v>
      </c>
      <c r="D148" s="34" t="s">
        <v>366</v>
      </c>
      <c r="E148">
        <v>0.93799999999999994</v>
      </c>
    </row>
    <row r="149" spans="1:5">
      <c r="A149" s="34" t="s">
        <v>367</v>
      </c>
      <c r="B149">
        <v>0.92400000000000004</v>
      </c>
      <c r="D149" s="34" t="s">
        <v>367</v>
      </c>
      <c r="E149">
        <v>0.93799999999999994</v>
      </c>
    </row>
    <row r="150" spans="1:5">
      <c r="A150" s="34" t="s">
        <v>368</v>
      </c>
      <c r="B150">
        <v>0.97099999999999997</v>
      </c>
      <c r="D150" s="34" t="s">
        <v>368</v>
      </c>
      <c r="E150">
        <v>0.97499999999999998</v>
      </c>
    </row>
    <row r="151" spans="1:5">
      <c r="A151" s="34" t="s">
        <v>369</v>
      </c>
      <c r="B151">
        <v>0.96199999999999997</v>
      </c>
      <c r="D151" s="34" t="s">
        <v>369</v>
      </c>
      <c r="E151">
        <v>0.96799999999999997</v>
      </c>
    </row>
    <row r="152" spans="1:5">
      <c r="A152" s="34" t="s">
        <v>370</v>
      </c>
      <c r="B152">
        <v>0.96799999999999997</v>
      </c>
      <c r="D152" s="34" t="s">
        <v>370</v>
      </c>
      <c r="E152">
        <v>0.97299999999999998</v>
      </c>
    </row>
    <row r="153" spans="1:5">
      <c r="A153" s="34" t="s">
        <v>371</v>
      </c>
      <c r="B153">
        <v>0.94899999999999995</v>
      </c>
      <c r="D153" s="34" t="s">
        <v>371</v>
      </c>
      <c r="E153">
        <v>0.95799999999999996</v>
      </c>
    </row>
    <row r="154" spans="1:5">
      <c r="A154" s="34" t="s">
        <v>372</v>
      </c>
      <c r="B154">
        <v>0.94299999999999995</v>
      </c>
      <c r="D154" s="34" t="s">
        <v>372</v>
      </c>
      <c r="E154">
        <v>0.95299999999999996</v>
      </c>
    </row>
    <row r="155" spans="1:5">
      <c r="A155" s="34" t="s">
        <v>373</v>
      </c>
      <c r="B155">
        <v>0.92400000000000004</v>
      </c>
      <c r="D155" s="34" t="s">
        <v>373</v>
      </c>
      <c r="E155">
        <v>0.93799999999999994</v>
      </c>
    </row>
    <row r="156" spans="1:5">
      <c r="A156" s="34" t="s">
        <v>374</v>
      </c>
      <c r="B156">
        <v>0.96199999999999997</v>
      </c>
      <c r="D156" s="34" t="s">
        <v>374</v>
      </c>
      <c r="E156">
        <v>0.96799999999999997</v>
      </c>
    </row>
    <row r="157" spans="1:5">
      <c r="A157" s="34" t="s">
        <v>375</v>
      </c>
      <c r="B157">
        <v>0.96799999999999997</v>
      </c>
      <c r="D157" s="34" t="s">
        <v>375</v>
      </c>
      <c r="E157">
        <v>0.97299999999999998</v>
      </c>
    </row>
    <row r="158" spans="1:5">
      <c r="A158" s="34" t="s">
        <v>376</v>
      </c>
      <c r="B158">
        <v>0.96799999999999997</v>
      </c>
      <c r="D158" s="34" t="s">
        <v>376</v>
      </c>
      <c r="E158">
        <v>0.97299999999999998</v>
      </c>
    </row>
    <row r="159" spans="1:5">
      <c r="A159" s="34" t="s">
        <v>377</v>
      </c>
      <c r="B159">
        <v>0.94299999999999995</v>
      </c>
      <c r="D159" s="34" t="s">
        <v>377</v>
      </c>
      <c r="E159">
        <v>0.95299999999999996</v>
      </c>
    </row>
    <row r="160" spans="1:5">
      <c r="A160" s="34" t="s">
        <v>260</v>
      </c>
      <c r="B160">
        <v>0.97099999999999997</v>
      </c>
      <c r="D160" s="34" t="s">
        <v>260</v>
      </c>
      <c r="E160">
        <v>0.97499999999999998</v>
      </c>
    </row>
    <row r="161" spans="1:5">
      <c r="A161" s="34" t="s">
        <v>378</v>
      </c>
      <c r="B161">
        <v>0.92400000000000004</v>
      </c>
      <c r="D161" s="34" t="s">
        <v>378</v>
      </c>
      <c r="E161">
        <v>0.93799999999999994</v>
      </c>
    </row>
    <row r="162" spans="1:5">
      <c r="A162" s="34" t="s">
        <v>379</v>
      </c>
      <c r="B162">
        <v>0.92400000000000004</v>
      </c>
      <c r="D162" s="34" t="s">
        <v>379</v>
      </c>
      <c r="E162">
        <v>0.93799999999999994</v>
      </c>
    </row>
    <row r="163" spans="1:5">
      <c r="A163" s="34" t="s">
        <v>380</v>
      </c>
      <c r="B163">
        <v>0.97099999999999997</v>
      </c>
      <c r="D163" s="34" t="s">
        <v>380</v>
      </c>
      <c r="E163">
        <v>0.97499999999999998</v>
      </c>
    </row>
    <row r="164" spans="1:5">
      <c r="A164" s="34" t="s">
        <v>381</v>
      </c>
      <c r="B164">
        <v>0.92400000000000004</v>
      </c>
      <c r="D164" s="34" t="s">
        <v>381</v>
      </c>
      <c r="E164">
        <v>0.93799999999999994</v>
      </c>
    </row>
    <row r="165" spans="1:5">
      <c r="A165" s="34" t="s">
        <v>382</v>
      </c>
      <c r="B165">
        <v>0.97899999999999998</v>
      </c>
      <c r="D165" s="34" t="s">
        <v>382</v>
      </c>
      <c r="E165">
        <v>0.97499999999999998</v>
      </c>
    </row>
    <row r="166" spans="1:5">
      <c r="A166" s="34" t="s">
        <v>383</v>
      </c>
      <c r="B166">
        <v>0.95599999999999996</v>
      </c>
      <c r="D166" s="34" t="s">
        <v>383</v>
      </c>
      <c r="E166">
        <v>0.93799999999999994</v>
      </c>
    </row>
    <row r="167" spans="1:5">
      <c r="A167" s="34" t="s">
        <v>384</v>
      </c>
      <c r="B167">
        <v>0.95599999999999996</v>
      </c>
      <c r="D167" s="34" t="s">
        <v>384</v>
      </c>
      <c r="E167">
        <v>0.93799999999999994</v>
      </c>
    </row>
    <row r="168" spans="1:5">
      <c r="A168" s="34" t="s">
        <v>385</v>
      </c>
      <c r="B168">
        <v>0.97899999999999998</v>
      </c>
      <c r="D168" s="34" t="s">
        <v>385</v>
      </c>
      <c r="E168">
        <v>0.97499999999999998</v>
      </c>
    </row>
    <row r="169" spans="1:5">
      <c r="A169" s="34" t="s">
        <v>386</v>
      </c>
      <c r="B169">
        <v>0.95599999999999996</v>
      </c>
      <c r="D169" s="34" t="s">
        <v>386</v>
      </c>
      <c r="E169">
        <v>0.93799999999999994</v>
      </c>
    </row>
    <row r="170" spans="1:5">
      <c r="A170" s="34" t="s">
        <v>308</v>
      </c>
      <c r="B170">
        <v>0.98399999999999999</v>
      </c>
      <c r="D170" s="34" t="s">
        <v>308</v>
      </c>
      <c r="E170">
        <v>0.97499999999999998</v>
      </c>
    </row>
    <row r="171" spans="1:5">
      <c r="A171" s="34" t="s">
        <v>387</v>
      </c>
      <c r="B171">
        <v>0.97399999999999998</v>
      </c>
      <c r="D171" s="34" t="s">
        <v>387</v>
      </c>
      <c r="E171">
        <v>0.93799999999999994</v>
      </c>
    </row>
    <row r="172" spans="1:5">
      <c r="A172" s="34" t="s">
        <v>388</v>
      </c>
      <c r="B172">
        <v>0.97399999999999998</v>
      </c>
      <c r="D172" s="34" t="s">
        <v>388</v>
      </c>
      <c r="E172">
        <v>0.93799999999999994</v>
      </c>
    </row>
    <row r="173" spans="1:5">
      <c r="A173" s="34" t="s">
        <v>389</v>
      </c>
      <c r="B173">
        <v>0.98399999999999999</v>
      </c>
      <c r="D173" s="34" t="s">
        <v>389</v>
      </c>
      <c r="E173">
        <v>0.97499999999999998</v>
      </c>
    </row>
    <row r="174" spans="1:5">
      <c r="A174" s="34" t="s">
        <v>390</v>
      </c>
      <c r="B174">
        <v>0.97399999999999998</v>
      </c>
      <c r="D174" s="34" t="s">
        <v>390</v>
      </c>
      <c r="E174">
        <v>0.93799999999999994</v>
      </c>
    </row>
    <row r="175" spans="1:5">
      <c r="A175" s="34" t="s">
        <v>391</v>
      </c>
      <c r="B175">
        <v>0.94899999999999995</v>
      </c>
      <c r="D175" s="34" t="s">
        <v>391</v>
      </c>
      <c r="E175">
        <v>0.95</v>
      </c>
    </row>
    <row r="176" spans="1:5">
      <c r="A176" s="34" t="s">
        <v>392</v>
      </c>
      <c r="B176">
        <v>0.93700000000000006</v>
      </c>
      <c r="D176" s="34" t="s">
        <v>392</v>
      </c>
      <c r="E176">
        <v>0.93799999999999994</v>
      </c>
    </row>
    <row r="177" spans="1:5">
      <c r="A177" s="34" t="s">
        <v>393</v>
      </c>
      <c r="B177">
        <v>0.94899999999999995</v>
      </c>
      <c r="D177" s="34" t="s">
        <v>393</v>
      </c>
      <c r="E177">
        <v>0.95</v>
      </c>
    </row>
    <row r="178" spans="1:5">
      <c r="A178" s="34" t="s">
        <v>394</v>
      </c>
      <c r="B178">
        <v>0.98699999999999999</v>
      </c>
      <c r="D178" s="34" t="s">
        <v>394</v>
      </c>
      <c r="E178">
        <v>0.98799999999999999</v>
      </c>
    </row>
    <row r="179" spans="1:5">
      <c r="A179" s="34" t="s">
        <v>395</v>
      </c>
      <c r="B179">
        <v>0.93700000000000006</v>
      </c>
      <c r="D179" s="34" t="s">
        <v>395</v>
      </c>
      <c r="E179">
        <v>0.93799999999999994</v>
      </c>
    </row>
    <row r="180" spans="1:5">
      <c r="A180" s="34" t="s">
        <v>355</v>
      </c>
      <c r="B180">
        <v>0.97399999999999998</v>
      </c>
      <c r="D180" s="34" t="s">
        <v>355</v>
      </c>
      <c r="E180">
        <v>0.97499999999999998</v>
      </c>
    </row>
    <row r="181" spans="1:5">
      <c r="A181" s="34" t="s">
        <v>396</v>
      </c>
      <c r="B181">
        <v>0.93700000000000006</v>
      </c>
      <c r="D181" s="34" t="s">
        <v>396</v>
      </c>
      <c r="E181">
        <v>0.93799999999999994</v>
      </c>
    </row>
    <row r="182" spans="1:5">
      <c r="A182" s="34" t="s">
        <v>397</v>
      </c>
      <c r="B182">
        <v>0.93700000000000006</v>
      </c>
      <c r="D182" s="34" t="s">
        <v>397</v>
      </c>
      <c r="E182">
        <v>0.93799999999999994</v>
      </c>
    </row>
    <row r="183" spans="1:5">
      <c r="A183" s="34" t="s">
        <v>398</v>
      </c>
      <c r="B183">
        <v>0.97399999999999998</v>
      </c>
      <c r="D183" s="34" t="s">
        <v>398</v>
      </c>
      <c r="E183">
        <v>0.97499999999999998</v>
      </c>
    </row>
    <row r="184" spans="1:5">
      <c r="A184" s="34" t="s">
        <v>399</v>
      </c>
      <c r="B184">
        <v>0.93700000000000006</v>
      </c>
      <c r="D184" s="34" t="s">
        <v>399</v>
      </c>
      <c r="E184">
        <v>0.93799999999999994</v>
      </c>
    </row>
    <row r="185" spans="1:5">
      <c r="A185" s="34" t="s">
        <v>400</v>
      </c>
      <c r="B185">
        <v>0.97399999999999998</v>
      </c>
      <c r="D185" s="34" t="s">
        <v>400</v>
      </c>
      <c r="E185">
        <v>0.97499999999999998</v>
      </c>
    </row>
    <row r="186" spans="1:5">
      <c r="A186" s="34" t="s">
        <v>401</v>
      </c>
      <c r="B186">
        <v>0.93700000000000006</v>
      </c>
      <c r="D186" s="34" t="s">
        <v>401</v>
      </c>
      <c r="E186">
        <v>0.93799999999999994</v>
      </c>
    </row>
    <row r="187" spans="1:5">
      <c r="A187" s="34" t="s">
        <v>402</v>
      </c>
      <c r="B187">
        <v>0.93700000000000006</v>
      </c>
      <c r="D187" s="34" t="s">
        <v>402</v>
      </c>
      <c r="E187">
        <v>0.93799999999999994</v>
      </c>
    </row>
    <row r="188" spans="1:5">
      <c r="A188" s="34" t="s">
        <v>403</v>
      </c>
      <c r="B188">
        <v>0.97399999999999998</v>
      </c>
      <c r="D188" s="34" t="s">
        <v>403</v>
      </c>
      <c r="E188">
        <v>0.97499999999999998</v>
      </c>
    </row>
    <row r="189" spans="1:5">
      <c r="A189" s="34" t="s">
        <v>404</v>
      </c>
      <c r="B189">
        <v>0.93700000000000006</v>
      </c>
      <c r="D189" s="34" t="s">
        <v>404</v>
      </c>
      <c r="E189">
        <v>0.93799999999999994</v>
      </c>
    </row>
    <row r="190" spans="1:5">
      <c r="A190" s="34" t="s">
        <v>207</v>
      </c>
      <c r="B190">
        <v>0.94899999999999995</v>
      </c>
      <c r="D190" s="34" t="s">
        <v>207</v>
      </c>
      <c r="E190">
        <v>0.95</v>
      </c>
    </row>
    <row r="191" spans="1:5">
      <c r="A191" s="34" t="s">
        <v>208</v>
      </c>
      <c r="B191">
        <v>0.94899999999999995</v>
      </c>
      <c r="D191" s="34" t="s">
        <v>208</v>
      </c>
      <c r="E191">
        <v>0.95</v>
      </c>
    </row>
    <row r="192" spans="1:5">
      <c r="A192" s="34" t="s">
        <v>209</v>
      </c>
      <c r="B192">
        <v>0.98699999999999999</v>
      </c>
      <c r="D192" s="34" t="s">
        <v>209</v>
      </c>
      <c r="E192">
        <v>0.98799999999999999</v>
      </c>
    </row>
    <row r="193" spans="1:5">
      <c r="A193" s="34" t="s">
        <v>233</v>
      </c>
      <c r="B193">
        <v>1</v>
      </c>
      <c r="D193" s="34" t="s">
        <v>233</v>
      </c>
      <c r="E193">
        <v>1</v>
      </c>
    </row>
    <row r="194" spans="1:5">
      <c r="A194" s="34" t="s">
        <v>405</v>
      </c>
      <c r="B194">
        <v>0.93700000000000006</v>
      </c>
      <c r="D194" s="34" t="s">
        <v>405</v>
      </c>
      <c r="E194">
        <v>0.93799999999999994</v>
      </c>
    </row>
    <row r="195" spans="1:5">
      <c r="A195" s="34" t="s">
        <v>406</v>
      </c>
      <c r="B195">
        <v>0.92400000000000004</v>
      </c>
      <c r="D195" s="34" t="s">
        <v>406</v>
      </c>
      <c r="E195">
        <v>0.93799999999999994</v>
      </c>
    </row>
    <row r="196" spans="1:5">
      <c r="A196" s="34" t="s">
        <v>407</v>
      </c>
      <c r="B196">
        <v>0.97099999999999997</v>
      </c>
      <c r="D196" s="34" t="s">
        <v>407</v>
      </c>
      <c r="E196">
        <v>0.97499999999999998</v>
      </c>
    </row>
    <row r="197" spans="1:5">
      <c r="A197" s="34" t="s">
        <v>408</v>
      </c>
      <c r="B197">
        <v>0.92400000000000004</v>
      </c>
      <c r="D197" s="34" t="s">
        <v>408</v>
      </c>
      <c r="E197">
        <v>0.93799999999999994</v>
      </c>
    </row>
    <row r="198" spans="1:5">
      <c r="A198" s="34" t="s">
        <v>409</v>
      </c>
      <c r="B198">
        <v>0.92400000000000004</v>
      </c>
      <c r="D198" s="34" t="s">
        <v>409</v>
      </c>
      <c r="E198">
        <v>0.93799999999999994</v>
      </c>
    </row>
    <row r="199" spans="1:5">
      <c r="A199" s="34" t="s">
        <v>410</v>
      </c>
      <c r="B199">
        <v>0.97099999999999997</v>
      </c>
      <c r="D199" s="34" t="s">
        <v>410</v>
      </c>
      <c r="E199">
        <v>0.97499999999999998</v>
      </c>
    </row>
    <row r="200" spans="1:5">
      <c r="A200" s="34" t="s">
        <v>411</v>
      </c>
      <c r="B200">
        <v>0.97099999999999997</v>
      </c>
      <c r="D200" s="34" t="s">
        <v>411</v>
      </c>
      <c r="E200">
        <v>0.97499999999999998</v>
      </c>
    </row>
    <row r="201" spans="1:5">
      <c r="A201" s="34" t="s">
        <v>412</v>
      </c>
      <c r="B201">
        <v>0.92400000000000004</v>
      </c>
      <c r="D201" s="34" t="s">
        <v>412</v>
      </c>
      <c r="E201">
        <v>0.93799999999999994</v>
      </c>
    </row>
    <row r="202" spans="1:5">
      <c r="A202" s="34" t="s">
        <v>413</v>
      </c>
      <c r="B202">
        <v>0.92400000000000004</v>
      </c>
      <c r="D202" s="34" t="s">
        <v>413</v>
      </c>
      <c r="E202">
        <v>0.93799999999999994</v>
      </c>
    </row>
    <row r="203" spans="1:5">
      <c r="A203" s="34" t="s">
        <v>414</v>
      </c>
      <c r="B203">
        <v>0.97099999999999997</v>
      </c>
      <c r="D203" s="34" t="s">
        <v>414</v>
      </c>
      <c r="E203">
        <v>0.97499999999999998</v>
      </c>
    </row>
    <row r="204" spans="1:5">
      <c r="A204" s="34" t="s">
        <v>415</v>
      </c>
      <c r="B204">
        <v>0.96199999999999997</v>
      </c>
      <c r="D204" s="34" t="s">
        <v>415</v>
      </c>
      <c r="E204">
        <v>0.96799999999999997</v>
      </c>
    </row>
    <row r="205" spans="1:5">
      <c r="A205" s="34" t="s">
        <v>416</v>
      </c>
      <c r="B205">
        <v>0.96799999999999997</v>
      </c>
      <c r="D205" s="34" t="s">
        <v>416</v>
      </c>
      <c r="E205">
        <v>0.97299999999999998</v>
      </c>
    </row>
    <row r="206" spans="1:5">
      <c r="A206" s="34" t="s">
        <v>417</v>
      </c>
      <c r="B206">
        <v>0.94899999999999995</v>
      </c>
      <c r="D206" s="34" t="s">
        <v>417</v>
      </c>
      <c r="E206">
        <v>0.95799999999999996</v>
      </c>
    </row>
    <row r="207" spans="1:5">
      <c r="A207" s="34" t="s">
        <v>418</v>
      </c>
      <c r="B207">
        <v>0.94299999999999995</v>
      </c>
      <c r="D207" s="34" t="s">
        <v>418</v>
      </c>
      <c r="E207">
        <v>0.95299999999999996</v>
      </c>
    </row>
    <row r="208" spans="1:5">
      <c r="A208" s="34" t="s">
        <v>419</v>
      </c>
      <c r="B208">
        <v>0.92400000000000004</v>
      </c>
      <c r="D208" s="34" t="s">
        <v>419</v>
      </c>
      <c r="E208">
        <v>0.93799999999999994</v>
      </c>
    </row>
    <row r="209" spans="1:5">
      <c r="A209" s="34" t="s">
        <v>420</v>
      </c>
      <c r="B209">
        <v>0.96199999999999997</v>
      </c>
      <c r="D209" s="34" t="s">
        <v>420</v>
      </c>
      <c r="E209">
        <v>0.96799999999999997</v>
      </c>
    </row>
    <row r="210" spans="1:5">
      <c r="A210" s="34" t="s">
        <v>421</v>
      </c>
      <c r="B210">
        <v>0.96799999999999997</v>
      </c>
      <c r="D210" s="34" t="s">
        <v>421</v>
      </c>
      <c r="E210">
        <v>0.97299999999999998</v>
      </c>
    </row>
    <row r="211" spans="1:5">
      <c r="A211" s="34" t="s">
        <v>422</v>
      </c>
      <c r="B211">
        <v>0.96799999999999997</v>
      </c>
      <c r="D211" s="34" t="s">
        <v>422</v>
      </c>
      <c r="E211">
        <v>0.97299999999999998</v>
      </c>
    </row>
    <row r="212" spans="1:5">
      <c r="A212" s="34" t="s">
        <v>423</v>
      </c>
      <c r="B212">
        <v>0.94299999999999995</v>
      </c>
      <c r="D212" s="34" t="s">
        <v>423</v>
      </c>
      <c r="E212">
        <v>0.95299999999999996</v>
      </c>
    </row>
    <row r="213" spans="1:5">
      <c r="A213" s="34" t="s">
        <v>270</v>
      </c>
      <c r="B213">
        <v>0.96799999999999997</v>
      </c>
      <c r="D213" s="34" t="s">
        <v>270</v>
      </c>
      <c r="E213">
        <v>0.97499999999999998</v>
      </c>
    </row>
    <row r="214" spans="1:5">
      <c r="A214" s="34" t="s">
        <v>424</v>
      </c>
      <c r="B214">
        <v>0.92100000000000004</v>
      </c>
      <c r="D214" s="34" t="s">
        <v>424</v>
      </c>
      <c r="E214">
        <v>0.93799999999999994</v>
      </c>
    </row>
    <row r="215" spans="1:5">
      <c r="A215" s="34" t="s">
        <v>425</v>
      </c>
      <c r="B215">
        <v>0.92100000000000004</v>
      </c>
      <c r="D215" s="34" t="s">
        <v>425</v>
      </c>
      <c r="E215">
        <v>0.93799999999999994</v>
      </c>
    </row>
    <row r="216" spans="1:5">
      <c r="A216" s="34" t="s">
        <v>426</v>
      </c>
      <c r="B216">
        <v>0.96799999999999997</v>
      </c>
      <c r="D216" s="34" t="s">
        <v>426</v>
      </c>
      <c r="E216">
        <v>0.97499999999999998</v>
      </c>
    </row>
    <row r="217" spans="1:5">
      <c r="A217" s="34" t="s">
        <v>427</v>
      </c>
      <c r="B217">
        <v>0.92100000000000004</v>
      </c>
      <c r="D217" s="34" t="s">
        <v>427</v>
      </c>
      <c r="E217">
        <v>0.93799999999999994</v>
      </c>
    </row>
    <row r="218" spans="1:5">
      <c r="A218" s="34" t="s">
        <v>428</v>
      </c>
      <c r="B218">
        <v>0.97599999999999998</v>
      </c>
      <c r="D218" s="34" t="s">
        <v>428</v>
      </c>
      <c r="E218">
        <v>0.97499999999999998</v>
      </c>
    </row>
    <row r="219" spans="1:5">
      <c r="A219" s="34" t="s">
        <v>429</v>
      </c>
      <c r="B219">
        <v>0.95199999999999996</v>
      </c>
      <c r="D219" s="34" t="s">
        <v>429</v>
      </c>
      <c r="E219">
        <v>0.93799999999999994</v>
      </c>
    </row>
    <row r="220" spans="1:5">
      <c r="A220" s="34" t="s">
        <v>430</v>
      </c>
      <c r="B220">
        <v>0.95199999999999996</v>
      </c>
      <c r="D220" s="34" t="s">
        <v>430</v>
      </c>
      <c r="E220">
        <v>0.93799999999999994</v>
      </c>
    </row>
    <row r="221" spans="1:5">
      <c r="A221" s="34" t="s">
        <v>431</v>
      </c>
      <c r="B221">
        <v>0.97599999999999998</v>
      </c>
      <c r="D221" s="34" t="s">
        <v>431</v>
      </c>
      <c r="E221">
        <v>0.97499999999999998</v>
      </c>
    </row>
    <row r="222" spans="1:5">
      <c r="A222" s="34" t="s">
        <v>432</v>
      </c>
      <c r="B222">
        <v>0.95199999999999996</v>
      </c>
      <c r="D222" s="34" t="s">
        <v>432</v>
      </c>
      <c r="E222">
        <v>0.93799999999999994</v>
      </c>
    </row>
    <row r="223" spans="1:5">
      <c r="A223" s="34" t="s">
        <v>318</v>
      </c>
      <c r="B223">
        <v>0.98099999999999998</v>
      </c>
      <c r="D223" s="34" t="s">
        <v>318</v>
      </c>
      <c r="E223">
        <v>0.97499999999999998</v>
      </c>
    </row>
    <row r="224" spans="1:5">
      <c r="A224" s="34" t="s">
        <v>433</v>
      </c>
      <c r="B224">
        <v>0.97099999999999997</v>
      </c>
      <c r="D224" s="34" t="s">
        <v>433</v>
      </c>
      <c r="E224">
        <v>0.93799999999999994</v>
      </c>
    </row>
    <row r="225" spans="1:5">
      <c r="A225" s="34" t="s">
        <v>434</v>
      </c>
      <c r="B225">
        <v>0.97099999999999997</v>
      </c>
      <c r="D225" s="34" t="s">
        <v>434</v>
      </c>
      <c r="E225">
        <v>0.93799999999999994</v>
      </c>
    </row>
    <row r="226" spans="1:5">
      <c r="A226" s="34" t="s">
        <v>435</v>
      </c>
      <c r="B226">
        <v>0.98099999999999998</v>
      </c>
      <c r="D226" s="34" t="s">
        <v>435</v>
      </c>
      <c r="E226">
        <v>0.97499999999999998</v>
      </c>
    </row>
    <row r="227" spans="1:5">
      <c r="A227" s="34" t="s">
        <v>436</v>
      </c>
      <c r="B227">
        <v>0.97099999999999997</v>
      </c>
      <c r="D227" s="34" t="s">
        <v>436</v>
      </c>
      <c r="E227">
        <v>0.93799999999999994</v>
      </c>
    </row>
    <row r="228" spans="1:5">
      <c r="A228" s="34" t="s">
        <v>437</v>
      </c>
      <c r="B228">
        <v>0.94599999999999995</v>
      </c>
      <c r="D228" s="34" t="s">
        <v>437</v>
      </c>
      <c r="E228">
        <v>0.95</v>
      </c>
    </row>
    <row r="229" spans="1:5">
      <c r="A229" s="34" t="s">
        <v>438</v>
      </c>
      <c r="B229">
        <v>0.93300000000000005</v>
      </c>
      <c r="D229" s="34" t="s">
        <v>438</v>
      </c>
      <c r="E229">
        <v>0.93799999999999994</v>
      </c>
    </row>
    <row r="230" spans="1:5">
      <c r="A230" s="34" t="s">
        <v>439</v>
      </c>
      <c r="B230">
        <v>0.94599999999999995</v>
      </c>
      <c r="D230" s="34" t="s">
        <v>439</v>
      </c>
      <c r="E230">
        <v>0.95</v>
      </c>
    </row>
    <row r="231" spans="1:5">
      <c r="A231" s="34" t="s">
        <v>440</v>
      </c>
      <c r="B231">
        <v>0.98399999999999999</v>
      </c>
      <c r="D231" s="34" t="s">
        <v>440</v>
      </c>
      <c r="E231">
        <v>0.98799999999999999</v>
      </c>
    </row>
    <row r="232" spans="1:5">
      <c r="A232" s="34" t="s">
        <v>441</v>
      </c>
      <c r="B232">
        <v>0.93300000000000005</v>
      </c>
      <c r="D232" s="34" t="s">
        <v>441</v>
      </c>
      <c r="E232">
        <v>0.93799999999999994</v>
      </c>
    </row>
    <row r="233" spans="1:5">
      <c r="A233" s="34" t="s">
        <v>365</v>
      </c>
      <c r="B233">
        <v>0.97099999999999997</v>
      </c>
      <c r="D233" s="34" t="s">
        <v>365</v>
      </c>
      <c r="E233">
        <v>0.97499999999999998</v>
      </c>
    </row>
    <row r="234" spans="1:5">
      <c r="A234" s="34" t="s">
        <v>442</v>
      </c>
      <c r="B234">
        <v>0.93300000000000005</v>
      </c>
      <c r="D234" s="34" t="s">
        <v>442</v>
      </c>
      <c r="E234">
        <v>0.93799999999999994</v>
      </c>
    </row>
    <row r="235" spans="1:5">
      <c r="A235" s="34" t="s">
        <v>443</v>
      </c>
      <c r="B235">
        <v>0.93300000000000005</v>
      </c>
      <c r="D235" s="34" t="s">
        <v>443</v>
      </c>
      <c r="E235">
        <v>0.93799999999999994</v>
      </c>
    </row>
    <row r="236" spans="1:5">
      <c r="A236" s="34" t="s">
        <v>444</v>
      </c>
      <c r="B236">
        <v>0.97099999999999997</v>
      </c>
      <c r="D236" s="34" t="s">
        <v>444</v>
      </c>
      <c r="E236">
        <v>0.97499999999999998</v>
      </c>
    </row>
    <row r="237" spans="1:5">
      <c r="A237" s="34" t="s">
        <v>445</v>
      </c>
      <c r="B237">
        <v>0.93300000000000005</v>
      </c>
      <c r="D237" s="34" t="s">
        <v>445</v>
      </c>
      <c r="E237">
        <v>0.93799999999999994</v>
      </c>
    </row>
    <row r="238" spans="1:5">
      <c r="A238" s="34" t="s">
        <v>446</v>
      </c>
      <c r="B238">
        <v>0.97099999999999997</v>
      </c>
      <c r="D238" s="34" t="s">
        <v>446</v>
      </c>
      <c r="E238">
        <v>0.97499999999999998</v>
      </c>
    </row>
    <row r="239" spans="1:5">
      <c r="A239" s="34" t="s">
        <v>447</v>
      </c>
      <c r="B239">
        <v>0.93300000000000005</v>
      </c>
      <c r="D239" s="34" t="s">
        <v>447</v>
      </c>
      <c r="E239">
        <v>0.93799999999999994</v>
      </c>
    </row>
    <row r="240" spans="1:5">
      <c r="A240" s="34" t="s">
        <v>448</v>
      </c>
      <c r="B240">
        <v>0.93300000000000005</v>
      </c>
      <c r="D240" s="34" t="s">
        <v>448</v>
      </c>
      <c r="E240">
        <v>0.93799999999999994</v>
      </c>
    </row>
    <row r="241" spans="1:5">
      <c r="A241" s="34" t="s">
        <v>449</v>
      </c>
      <c r="B241">
        <v>0.97099999999999997</v>
      </c>
      <c r="D241" s="34" t="s">
        <v>449</v>
      </c>
      <c r="E241">
        <v>0.97499999999999998</v>
      </c>
    </row>
    <row r="242" spans="1:5">
      <c r="A242" s="34" t="s">
        <v>450</v>
      </c>
      <c r="B242">
        <v>0.93300000000000005</v>
      </c>
      <c r="D242" s="34" t="s">
        <v>450</v>
      </c>
      <c r="E242">
        <v>0.93799999999999994</v>
      </c>
    </row>
    <row r="243" spans="1:5">
      <c r="A243" s="34" t="s">
        <v>411</v>
      </c>
      <c r="B243">
        <v>0.97099999999999997</v>
      </c>
      <c r="D243" s="34" t="s">
        <v>411</v>
      </c>
      <c r="E243">
        <v>0.97499999999999998</v>
      </c>
    </row>
    <row r="244" spans="1:5">
      <c r="A244" s="34" t="s">
        <v>451</v>
      </c>
      <c r="B244">
        <v>0.93300000000000005</v>
      </c>
      <c r="D244" s="34" t="s">
        <v>451</v>
      </c>
      <c r="E244">
        <v>0.93799999999999994</v>
      </c>
    </row>
    <row r="245" spans="1:5">
      <c r="A245" s="34" t="s">
        <v>452</v>
      </c>
      <c r="B245">
        <v>0.93300000000000005</v>
      </c>
      <c r="D245" s="34" t="s">
        <v>452</v>
      </c>
      <c r="E245">
        <v>0.93799999999999994</v>
      </c>
    </row>
    <row r="246" spans="1:5">
      <c r="A246" s="34" t="s">
        <v>453</v>
      </c>
      <c r="B246">
        <v>0.97099999999999997</v>
      </c>
      <c r="D246" s="34" t="s">
        <v>453</v>
      </c>
      <c r="E246">
        <v>0.97499999999999998</v>
      </c>
    </row>
    <row r="247" spans="1:5">
      <c r="A247" s="34" t="s">
        <v>454</v>
      </c>
      <c r="B247">
        <v>0.93300000000000005</v>
      </c>
      <c r="D247" s="34" t="s">
        <v>454</v>
      </c>
      <c r="E247">
        <v>0.93799999999999994</v>
      </c>
    </row>
    <row r="248" spans="1:5">
      <c r="A248" s="34" t="s">
        <v>455</v>
      </c>
      <c r="B248">
        <v>0.92100000000000004</v>
      </c>
      <c r="D248" s="34" t="s">
        <v>455</v>
      </c>
      <c r="E248">
        <v>0.93799999999999994</v>
      </c>
    </row>
    <row r="249" spans="1:5">
      <c r="A249" s="34" t="s">
        <v>456</v>
      </c>
      <c r="B249">
        <v>0.96799999999999997</v>
      </c>
      <c r="D249" s="34" t="s">
        <v>456</v>
      </c>
      <c r="E249">
        <v>0.97499999999999998</v>
      </c>
    </row>
    <row r="250" spans="1:5">
      <c r="A250" s="34" t="s">
        <v>457</v>
      </c>
      <c r="B250">
        <v>0.92100000000000004</v>
      </c>
      <c r="D250" s="34" t="s">
        <v>457</v>
      </c>
      <c r="E250">
        <v>0.93799999999999994</v>
      </c>
    </row>
    <row r="251" spans="1:5">
      <c r="A251" s="34" t="s">
        <v>458</v>
      </c>
      <c r="B251">
        <v>0.92100000000000004</v>
      </c>
      <c r="D251" s="34" t="s">
        <v>458</v>
      </c>
      <c r="E251">
        <v>0.93799999999999994</v>
      </c>
    </row>
    <row r="252" spans="1:5">
      <c r="A252" s="34" t="s">
        <v>459</v>
      </c>
      <c r="B252">
        <v>0.96799999999999997</v>
      </c>
      <c r="D252" s="34" t="s">
        <v>459</v>
      </c>
      <c r="E252">
        <v>0.97499999999999998</v>
      </c>
    </row>
    <row r="253" spans="1:5">
      <c r="A253" s="34" t="s">
        <v>210</v>
      </c>
      <c r="B253">
        <v>0.93600000000000005</v>
      </c>
      <c r="D253" s="34" t="s">
        <v>210</v>
      </c>
      <c r="E253">
        <v>0.95</v>
      </c>
    </row>
    <row r="254" spans="1:5">
      <c r="A254" s="34" t="s">
        <v>211</v>
      </c>
      <c r="B254">
        <v>0.93600000000000005</v>
      </c>
      <c r="D254" s="34" t="s">
        <v>211</v>
      </c>
      <c r="E254">
        <v>0.95</v>
      </c>
    </row>
    <row r="255" spans="1:5">
      <c r="A255" s="34" t="s">
        <v>212</v>
      </c>
      <c r="B255">
        <v>0.98399999999999999</v>
      </c>
      <c r="D255" s="34" t="s">
        <v>212</v>
      </c>
      <c r="E255">
        <v>0.98799999999999999</v>
      </c>
    </row>
    <row r="256" spans="1:5">
      <c r="A256" s="34" t="s">
        <v>233</v>
      </c>
      <c r="B256">
        <v>1</v>
      </c>
      <c r="D256" s="34" t="s">
        <v>233</v>
      </c>
      <c r="E256">
        <v>1</v>
      </c>
    </row>
    <row r="257" spans="1:5">
      <c r="A257" s="34" t="s">
        <v>460</v>
      </c>
      <c r="B257">
        <v>0.95899999999999996</v>
      </c>
      <c r="D257" s="34" t="s">
        <v>460</v>
      </c>
      <c r="E257">
        <v>0.96799999999999997</v>
      </c>
    </row>
    <row r="258" spans="1:5">
      <c r="A258" s="34" t="s">
        <v>461</v>
      </c>
      <c r="B258">
        <v>0.96499999999999997</v>
      </c>
      <c r="D258" s="34" t="s">
        <v>461</v>
      </c>
      <c r="E258">
        <v>0.97299999999999998</v>
      </c>
    </row>
    <row r="259" spans="1:5">
      <c r="A259" s="34" t="s">
        <v>462</v>
      </c>
      <c r="B259">
        <v>0.94599999999999995</v>
      </c>
      <c r="D259" s="34" t="s">
        <v>462</v>
      </c>
      <c r="E259">
        <v>0.95799999999999996</v>
      </c>
    </row>
    <row r="260" spans="1:5">
      <c r="A260" s="34" t="s">
        <v>463</v>
      </c>
      <c r="B260">
        <v>0.94</v>
      </c>
      <c r="D260" s="34" t="s">
        <v>463</v>
      </c>
      <c r="E260">
        <v>0.95299999999999996</v>
      </c>
    </row>
    <row r="261" spans="1:5">
      <c r="A261" s="34" t="s">
        <v>464</v>
      </c>
      <c r="B261">
        <v>0.92100000000000004</v>
      </c>
      <c r="D261" s="34" t="s">
        <v>464</v>
      </c>
      <c r="E261">
        <v>0.93799999999999994</v>
      </c>
    </row>
    <row r="262" spans="1:5">
      <c r="A262" s="34" t="s">
        <v>465</v>
      </c>
      <c r="B262">
        <v>0.95899999999999996</v>
      </c>
      <c r="D262" s="34" t="s">
        <v>465</v>
      </c>
      <c r="E262">
        <v>0.96799999999999997</v>
      </c>
    </row>
    <row r="263" spans="1:5">
      <c r="A263" s="34" t="s">
        <v>466</v>
      </c>
      <c r="B263">
        <v>0.96499999999999997</v>
      </c>
      <c r="D263" s="34" t="s">
        <v>466</v>
      </c>
      <c r="E263">
        <v>0.97299999999999998</v>
      </c>
    </row>
    <row r="264" spans="1:5">
      <c r="A264" s="34" t="s">
        <v>467</v>
      </c>
      <c r="B264">
        <v>0.96499999999999997</v>
      </c>
      <c r="D264" s="34" t="s">
        <v>467</v>
      </c>
      <c r="E264">
        <v>0.97299999999999998</v>
      </c>
    </row>
    <row r="265" spans="1:5">
      <c r="A265" s="34" t="s">
        <v>468</v>
      </c>
      <c r="B265">
        <v>0.94</v>
      </c>
      <c r="D265" s="34" t="s">
        <v>468</v>
      </c>
      <c r="E265">
        <v>0.95299999999999996</v>
      </c>
    </row>
    <row r="266" spans="1:5">
      <c r="A266" s="34" t="s">
        <v>280</v>
      </c>
      <c r="B266">
        <v>0.96499999999999997</v>
      </c>
      <c r="D266" s="34" t="s">
        <v>280</v>
      </c>
      <c r="E266">
        <v>0.97299999999999998</v>
      </c>
    </row>
    <row r="267" spans="1:5">
      <c r="A267" s="34" t="s">
        <v>469</v>
      </c>
      <c r="B267">
        <v>0.91800000000000004</v>
      </c>
      <c r="D267" s="34" t="s">
        <v>469</v>
      </c>
      <c r="E267">
        <v>0.93500000000000005</v>
      </c>
    </row>
    <row r="268" spans="1:5">
      <c r="A268" s="34" t="s">
        <v>470</v>
      </c>
      <c r="B268">
        <v>0.91800000000000004</v>
      </c>
      <c r="D268" s="34" t="s">
        <v>470</v>
      </c>
      <c r="E268">
        <v>0.93500000000000005</v>
      </c>
    </row>
    <row r="269" spans="1:5">
      <c r="A269" s="34" t="s">
        <v>471</v>
      </c>
      <c r="B269">
        <v>0.96499999999999997</v>
      </c>
      <c r="D269" s="34" t="s">
        <v>471</v>
      </c>
      <c r="E269">
        <v>0.97299999999999998</v>
      </c>
    </row>
    <row r="270" spans="1:5">
      <c r="A270" s="34" t="s">
        <v>472</v>
      </c>
      <c r="B270">
        <v>0.91800000000000004</v>
      </c>
      <c r="D270" s="34" t="s">
        <v>472</v>
      </c>
      <c r="E270">
        <v>0.93500000000000005</v>
      </c>
    </row>
    <row r="271" spans="1:5">
      <c r="A271" s="34" t="s">
        <v>473</v>
      </c>
      <c r="B271">
        <v>0.97299999999999998</v>
      </c>
      <c r="D271" s="34" t="s">
        <v>473</v>
      </c>
      <c r="E271">
        <v>0.97299999999999998</v>
      </c>
    </row>
    <row r="272" spans="1:5">
      <c r="A272" s="34" t="s">
        <v>474</v>
      </c>
      <c r="B272">
        <v>0.94899999999999995</v>
      </c>
      <c r="D272" s="34" t="s">
        <v>474</v>
      </c>
      <c r="E272">
        <v>0.93500000000000005</v>
      </c>
    </row>
    <row r="273" spans="1:5">
      <c r="A273" s="34" t="s">
        <v>475</v>
      </c>
      <c r="B273">
        <v>0.94899999999999995</v>
      </c>
      <c r="D273" s="34" t="s">
        <v>475</v>
      </c>
      <c r="E273">
        <v>0.93500000000000005</v>
      </c>
    </row>
    <row r="274" spans="1:5">
      <c r="A274" s="34" t="s">
        <v>476</v>
      </c>
      <c r="B274">
        <v>0.97299999999999998</v>
      </c>
      <c r="D274" s="34" t="s">
        <v>476</v>
      </c>
      <c r="E274">
        <v>0.97299999999999998</v>
      </c>
    </row>
    <row r="275" spans="1:5">
      <c r="A275" s="34" t="s">
        <v>477</v>
      </c>
      <c r="B275">
        <v>0.94899999999999995</v>
      </c>
      <c r="D275" s="34" t="s">
        <v>477</v>
      </c>
      <c r="E275">
        <v>0.93500000000000005</v>
      </c>
    </row>
    <row r="276" spans="1:5">
      <c r="A276" s="34" t="s">
        <v>328</v>
      </c>
      <c r="B276">
        <v>0.97799999999999998</v>
      </c>
      <c r="D276" s="34" t="s">
        <v>328</v>
      </c>
      <c r="E276">
        <v>0.97299999999999998</v>
      </c>
    </row>
    <row r="277" spans="1:5">
      <c r="A277" s="34" t="s">
        <v>478</v>
      </c>
      <c r="B277">
        <v>0.96799999999999997</v>
      </c>
      <c r="D277" s="34" t="s">
        <v>478</v>
      </c>
      <c r="E277">
        <v>0.93500000000000005</v>
      </c>
    </row>
    <row r="278" spans="1:5">
      <c r="A278" s="34" t="s">
        <v>479</v>
      </c>
      <c r="B278">
        <v>0.96799999999999997</v>
      </c>
      <c r="D278" s="34" t="s">
        <v>479</v>
      </c>
      <c r="E278">
        <v>0.93500000000000005</v>
      </c>
    </row>
    <row r="279" spans="1:5">
      <c r="A279" s="34" t="s">
        <v>480</v>
      </c>
      <c r="B279">
        <v>0.97799999999999998</v>
      </c>
      <c r="D279" s="34" t="s">
        <v>480</v>
      </c>
      <c r="E279">
        <v>0.97299999999999998</v>
      </c>
    </row>
    <row r="280" spans="1:5">
      <c r="A280" s="34" t="s">
        <v>481</v>
      </c>
      <c r="B280">
        <v>0.96799999999999997</v>
      </c>
      <c r="D280" s="34" t="s">
        <v>481</v>
      </c>
      <c r="E280">
        <v>0.93500000000000005</v>
      </c>
    </row>
    <row r="281" spans="1:5">
      <c r="A281" s="34" t="s">
        <v>482</v>
      </c>
      <c r="B281">
        <v>0.94299999999999995</v>
      </c>
      <c r="D281" s="34" t="s">
        <v>482</v>
      </c>
      <c r="E281">
        <v>0.94799999999999995</v>
      </c>
    </row>
    <row r="282" spans="1:5">
      <c r="A282" s="34" t="s">
        <v>483</v>
      </c>
      <c r="B282">
        <v>0.93</v>
      </c>
      <c r="D282" s="34" t="s">
        <v>483</v>
      </c>
      <c r="E282">
        <v>0.93500000000000005</v>
      </c>
    </row>
    <row r="283" spans="1:5">
      <c r="A283" s="34" t="s">
        <v>484</v>
      </c>
      <c r="B283">
        <v>0.94299999999999995</v>
      </c>
      <c r="D283" s="34" t="s">
        <v>484</v>
      </c>
      <c r="E283">
        <v>0.94799999999999995</v>
      </c>
    </row>
    <row r="284" spans="1:5">
      <c r="A284" s="34" t="s">
        <v>485</v>
      </c>
      <c r="B284">
        <v>0.98099999999999998</v>
      </c>
      <c r="D284" s="34" t="s">
        <v>485</v>
      </c>
      <c r="E284">
        <v>0.98499999999999999</v>
      </c>
    </row>
    <row r="285" spans="1:5">
      <c r="A285" s="34" t="s">
        <v>486</v>
      </c>
      <c r="B285">
        <v>0.93</v>
      </c>
      <c r="D285" s="34" t="s">
        <v>486</v>
      </c>
      <c r="E285">
        <v>0.93500000000000005</v>
      </c>
    </row>
    <row r="286" spans="1:5">
      <c r="A286" s="34" t="s">
        <v>375</v>
      </c>
      <c r="B286">
        <v>0.96799999999999997</v>
      </c>
      <c r="D286" s="34" t="s">
        <v>375</v>
      </c>
      <c r="E286">
        <v>0.97299999999999998</v>
      </c>
    </row>
    <row r="287" spans="1:5">
      <c r="A287" s="34" t="s">
        <v>487</v>
      </c>
      <c r="B287">
        <v>0.93</v>
      </c>
      <c r="D287" s="34" t="s">
        <v>487</v>
      </c>
      <c r="E287">
        <v>0.93500000000000005</v>
      </c>
    </row>
    <row r="288" spans="1:5">
      <c r="A288" s="34" t="s">
        <v>488</v>
      </c>
      <c r="B288">
        <v>0.93</v>
      </c>
      <c r="D288" s="34" t="s">
        <v>488</v>
      </c>
      <c r="E288">
        <v>0.93500000000000005</v>
      </c>
    </row>
    <row r="289" spans="1:5">
      <c r="A289" s="34" t="s">
        <v>489</v>
      </c>
      <c r="B289">
        <v>0.96799999999999997</v>
      </c>
      <c r="D289" s="34" t="s">
        <v>489</v>
      </c>
      <c r="E289">
        <v>0.97299999999999998</v>
      </c>
    </row>
    <row r="290" spans="1:5">
      <c r="A290" s="34" t="s">
        <v>490</v>
      </c>
      <c r="B290">
        <v>0.93</v>
      </c>
      <c r="D290" s="34" t="s">
        <v>490</v>
      </c>
      <c r="E290">
        <v>0.93500000000000005</v>
      </c>
    </row>
    <row r="291" spans="1:5">
      <c r="A291" s="34" t="s">
        <v>491</v>
      </c>
      <c r="B291">
        <v>0.96799999999999997</v>
      </c>
      <c r="D291" s="34" t="s">
        <v>491</v>
      </c>
      <c r="E291">
        <v>0.97299999999999998</v>
      </c>
    </row>
    <row r="292" spans="1:5">
      <c r="A292" s="34" t="s">
        <v>492</v>
      </c>
      <c r="B292">
        <v>0.93</v>
      </c>
      <c r="D292" s="34" t="s">
        <v>492</v>
      </c>
      <c r="E292">
        <v>0.93500000000000005</v>
      </c>
    </row>
    <row r="293" spans="1:5">
      <c r="A293" s="34" t="s">
        <v>493</v>
      </c>
      <c r="B293">
        <v>0.93</v>
      </c>
      <c r="D293" s="34" t="s">
        <v>493</v>
      </c>
      <c r="E293">
        <v>0.93500000000000005</v>
      </c>
    </row>
    <row r="294" spans="1:5">
      <c r="A294" s="34" t="s">
        <v>494</v>
      </c>
      <c r="B294">
        <v>0.96799999999999997</v>
      </c>
      <c r="D294" s="34" t="s">
        <v>494</v>
      </c>
      <c r="E294">
        <v>0.97299999999999998</v>
      </c>
    </row>
    <row r="295" spans="1:5">
      <c r="A295" s="34" t="s">
        <v>495</v>
      </c>
      <c r="B295">
        <v>0.93</v>
      </c>
      <c r="D295" s="34" t="s">
        <v>495</v>
      </c>
      <c r="E295">
        <v>0.93500000000000005</v>
      </c>
    </row>
    <row r="296" spans="1:5">
      <c r="A296" s="34" t="s">
        <v>421</v>
      </c>
      <c r="B296">
        <v>0.96799999999999997</v>
      </c>
      <c r="D296" s="34" t="s">
        <v>421</v>
      </c>
      <c r="E296">
        <v>0.97299999999999998</v>
      </c>
    </row>
    <row r="297" spans="1:5">
      <c r="A297" s="34" t="s">
        <v>496</v>
      </c>
      <c r="B297">
        <v>0.93</v>
      </c>
      <c r="D297" s="34" t="s">
        <v>496</v>
      </c>
      <c r="E297">
        <v>0.93500000000000005</v>
      </c>
    </row>
    <row r="298" spans="1:5">
      <c r="A298" s="34" t="s">
        <v>497</v>
      </c>
      <c r="B298">
        <v>0.93</v>
      </c>
      <c r="D298" s="34" t="s">
        <v>497</v>
      </c>
      <c r="E298">
        <v>0.93500000000000005</v>
      </c>
    </row>
    <row r="299" spans="1:5">
      <c r="A299" s="34" t="s">
        <v>498</v>
      </c>
      <c r="B299">
        <v>0.96799999999999997</v>
      </c>
      <c r="D299" s="34" t="s">
        <v>498</v>
      </c>
      <c r="E299">
        <v>0.97299999999999998</v>
      </c>
    </row>
    <row r="300" spans="1:5">
      <c r="A300" s="34" t="s">
        <v>499</v>
      </c>
      <c r="B300">
        <v>0.93</v>
      </c>
      <c r="D300" s="34" t="s">
        <v>499</v>
      </c>
      <c r="E300">
        <v>0.93500000000000005</v>
      </c>
    </row>
    <row r="301" spans="1:5">
      <c r="A301" s="34" t="s">
        <v>500</v>
      </c>
      <c r="B301">
        <v>0.91800000000000004</v>
      </c>
      <c r="D301" s="34" t="s">
        <v>500</v>
      </c>
      <c r="E301">
        <v>0.93500000000000005</v>
      </c>
    </row>
    <row r="302" spans="1:5">
      <c r="A302" s="34" t="s">
        <v>501</v>
      </c>
      <c r="B302">
        <v>0.96499999999999997</v>
      </c>
      <c r="D302" s="34" t="s">
        <v>501</v>
      </c>
      <c r="E302">
        <v>0.97299999999999998</v>
      </c>
    </row>
    <row r="303" spans="1:5">
      <c r="A303" s="34" t="s">
        <v>502</v>
      </c>
      <c r="B303">
        <v>0.91800000000000004</v>
      </c>
      <c r="D303" s="34" t="s">
        <v>502</v>
      </c>
      <c r="E303">
        <v>0.93500000000000005</v>
      </c>
    </row>
    <row r="304" spans="1:5">
      <c r="A304" s="34" t="s">
        <v>503</v>
      </c>
      <c r="B304">
        <v>0.91800000000000004</v>
      </c>
      <c r="D304" s="34" t="s">
        <v>503</v>
      </c>
      <c r="E304">
        <v>0.93500000000000005</v>
      </c>
    </row>
    <row r="305" spans="1:5">
      <c r="A305" s="34" t="s">
        <v>504</v>
      </c>
      <c r="B305">
        <v>0.96499999999999997</v>
      </c>
      <c r="D305" s="34" t="s">
        <v>504</v>
      </c>
      <c r="E305">
        <v>0.97299999999999998</v>
      </c>
    </row>
    <row r="306" spans="1:5">
      <c r="A306" s="34" t="s">
        <v>466</v>
      </c>
      <c r="B306">
        <v>0.96499999999999997</v>
      </c>
      <c r="D306" s="34" t="s">
        <v>466</v>
      </c>
      <c r="E306">
        <v>0.97299999999999998</v>
      </c>
    </row>
    <row r="307" spans="1:5">
      <c r="A307" s="34" t="s">
        <v>505</v>
      </c>
      <c r="B307">
        <v>0.91800000000000004</v>
      </c>
      <c r="D307" s="34" t="s">
        <v>505</v>
      </c>
      <c r="E307">
        <v>0.93500000000000005</v>
      </c>
    </row>
    <row r="308" spans="1:5">
      <c r="A308" s="34" t="s">
        <v>506</v>
      </c>
      <c r="B308">
        <v>0.91800000000000004</v>
      </c>
      <c r="D308" s="34" t="s">
        <v>506</v>
      </c>
      <c r="E308">
        <v>0.93500000000000005</v>
      </c>
    </row>
    <row r="309" spans="1:5">
      <c r="A309" s="34" t="s">
        <v>507</v>
      </c>
      <c r="B309">
        <v>0.96499999999999997</v>
      </c>
      <c r="D309" s="34" t="s">
        <v>507</v>
      </c>
      <c r="E309">
        <v>0.97299999999999998</v>
      </c>
    </row>
    <row r="310" spans="1:5">
      <c r="A310" s="34" t="s">
        <v>508</v>
      </c>
      <c r="B310">
        <v>0.95499999999999996</v>
      </c>
      <c r="D310" s="34" t="s">
        <v>508</v>
      </c>
      <c r="E310">
        <v>0.96499999999999997</v>
      </c>
    </row>
    <row r="311" spans="1:5">
      <c r="A311" s="34" t="s">
        <v>509</v>
      </c>
      <c r="B311">
        <v>0.96199999999999997</v>
      </c>
      <c r="D311" s="34" t="s">
        <v>509</v>
      </c>
      <c r="E311">
        <v>0.97</v>
      </c>
    </row>
    <row r="312" spans="1:5">
      <c r="A312" s="34" t="s">
        <v>510</v>
      </c>
      <c r="B312">
        <v>0.94299999999999995</v>
      </c>
      <c r="D312" s="34" t="s">
        <v>510</v>
      </c>
      <c r="E312">
        <v>0.95499999999999996</v>
      </c>
    </row>
    <row r="313" spans="1:5">
      <c r="A313" s="34" t="s">
        <v>511</v>
      </c>
      <c r="B313">
        <v>0.93600000000000005</v>
      </c>
      <c r="D313" s="34" t="s">
        <v>511</v>
      </c>
      <c r="E313">
        <v>0.95</v>
      </c>
    </row>
    <row r="314" spans="1:5">
      <c r="A314" s="34" t="s">
        <v>512</v>
      </c>
      <c r="B314">
        <v>0.91800000000000004</v>
      </c>
      <c r="D314" s="34" t="s">
        <v>512</v>
      </c>
      <c r="E314">
        <v>0.93500000000000005</v>
      </c>
    </row>
    <row r="315" spans="1:5">
      <c r="A315" s="34" t="s">
        <v>513</v>
      </c>
      <c r="B315">
        <v>0.95499999999999996</v>
      </c>
      <c r="D315" s="34" t="s">
        <v>513</v>
      </c>
      <c r="E315">
        <v>0.96499999999999997</v>
      </c>
    </row>
    <row r="316" spans="1:5">
      <c r="A316" s="34" t="s">
        <v>213</v>
      </c>
      <c r="B316">
        <v>0.98099999999999998</v>
      </c>
      <c r="D316" s="34" t="s">
        <v>213</v>
      </c>
      <c r="E316">
        <v>0.98499999999999999</v>
      </c>
    </row>
    <row r="317" spans="1:5">
      <c r="A317" s="34" t="s">
        <v>514</v>
      </c>
      <c r="B317">
        <v>0.95499999999999996</v>
      </c>
      <c r="D317" s="34" t="s">
        <v>514</v>
      </c>
      <c r="E317">
        <v>0.96499999999999997</v>
      </c>
    </row>
    <row r="318" spans="1:5">
      <c r="A318" s="34" t="s">
        <v>233</v>
      </c>
      <c r="B318">
        <v>1</v>
      </c>
      <c r="D318" s="34" t="s">
        <v>233</v>
      </c>
      <c r="E318">
        <v>1</v>
      </c>
    </row>
    <row r="319" spans="1:5">
      <c r="A319" s="34" t="s">
        <v>197</v>
      </c>
      <c r="B319">
        <v>0.93600000000000005</v>
      </c>
      <c r="D319" s="34" t="s">
        <v>197</v>
      </c>
      <c r="E319">
        <v>0.95</v>
      </c>
    </row>
    <row r="320" spans="1:5">
      <c r="A320" s="34" t="s">
        <v>198</v>
      </c>
      <c r="B320">
        <v>0.93600000000000005</v>
      </c>
      <c r="D320" s="34" t="s">
        <v>198</v>
      </c>
      <c r="E320">
        <v>0.95</v>
      </c>
    </row>
    <row r="321" spans="1:5">
      <c r="A321" s="34" t="s">
        <v>199</v>
      </c>
      <c r="B321">
        <v>0.98399999999999999</v>
      </c>
      <c r="D321" s="34" t="s">
        <v>199</v>
      </c>
      <c r="E321">
        <v>0.98799999999999999</v>
      </c>
    </row>
    <row r="322" spans="1:5">
      <c r="A322" s="34" t="s">
        <v>233</v>
      </c>
      <c r="B322">
        <v>1</v>
      </c>
      <c r="D322" s="34" t="s">
        <v>233</v>
      </c>
      <c r="E322">
        <v>1</v>
      </c>
    </row>
    <row r="323" spans="1:5">
      <c r="A323" s="34" t="s">
        <v>200</v>
      </c>
      <c r="B323">
        <v>0.93600000000000005</v>
      </c>
      <c r="D323" s="34" t="s">
        <v>200</v>
      </c>
      <c r="E323">
        <v>0.95</v>
      </c>
    </row>
    <row r="324" spans="1:5">
      <c r="A324" s="34" t="s">
        <v>515</v>
      </c>
      <c r="B324">
        <v>0.92900000000000005</v>
      </c>
      <c r="D324" s="34" t="s">
        <v>515</v>
      </c>
      <c r="E324">
        <v>0.93799999999999994</v>
      </c>
    </row>
    <row r="325" spans="1:5">
      <c r="A325" s="34" t="s">
        <v>516</v>
      </c>
      <c r="B325">
        <v>0.90500000000000003</v>
      </c>
      <c r="D325" s="34" t="s">
        <v>516</v>
      </c>
      <c r="E325">
        <v>0.9</v>
      </c>
    </row>
    <row r="326" spans="1:5">
      <c r="A326" s="34" t="s">
        <v>517</v>
      </c>
      <c r="B326">
        <v>0.90500000000000003</v>
      </c>
      <c r="D326" s="34" t="s">
        <v>517</v>
      </c>
      <c r="E326">
        <v>0.9</v>
      </c>
    </row>
    <row r="327" spans="1:5">
      <c r="A327" s="34" t="s">
        <v>518</v>
      </c>
      <c r="B327">
        <v>0.92900000000000005</v>
      </c>
      <c r="D327" s="34" t="s">
        <v>518</v>
      </c>
      <c r="E327">
        <v>0.93799999999999994</v>
      </c>
    </row>
    <row r="328" spans="1:5">
      <c r="A328" s="34" t="s">
        <v>519</v>
      </c>
      <c r="B328">
        <v>0.89700000000000002</v>
      </c>
      <c r="D328" s="34" t="s">
        <v>519</v>
      </c>
      <c r="E328">
        <v>0.88800000000000001</v>
      </c>
    </row>
    <row r="329" spans="1:5">
      <c r="A329" s="34" t="s">
        <v>520</v>
      </c>
      <c r="B329">
        <v>0.89400000000000002</v>
      </c>
      <c r="D329" s="34" t="s">
        <v>520</v>
      </c>
      <c r="E329">
        <v>0.875</v>
      </c>
    </row>
    <row r="330" spans="1:5">
      <c r="A330" s="34" t="s">
        <v>521</v>
      </c>
      <c r="B330">
        <v>0.88400000000000001</v>
      </c>
      <c r="D330" s="34" t="s">
        <v>521</v>
      </c>
      <c r="E330">
        <v>0.83799999999999997</v>
      </c>
    </row>
    <row r="331" spans="1:5">
      <c r="A331" s="34" t="s">
        <v>522</v>
      </c>
      <c r="B331">
        <v>0.88400000000000001</v>
      </c>
      <c r="D331" s="34" t="s">
        <v>522</v>
      </c>
      <c r="E331">
        <v>0.83799999999999997</v>
      </c>
    </row>
    <row r="332" spans="1:5">
      <c r="A332" s="34" t="s">
        <v>523</v>
      </c>
      <c r="B332">
        <v>0.89400000000000002</v>
      </c>
      <c r="D332" s="34" t="s">
        <v>523</v>
      </c>
      <c r="E332">
        <v>0.875</v>
      </c>
    </row>
    <row r="333" spans="1:5">
      <c r="A333" s="34" t="s">
        <v>524</v>
      </c>
      <c r="B333">
        <v>0.88100000000000001</v>
      </c>
      <c r="D333" s="34" t="s">
        <v>524</v>
      </c>
      <c r="E333">
        <v>0.82499999999999996</v>
      </c>
    </row>
    <row r="334" spans="1:5">
      <c r="A334" s="34" t="s">
        <v>525</v>
      </c>
      <c r="B334">
        <v>0.84299999999999997</v>
      </c>
      <c r="D334" s="34" t="s">
        <v>525</v>
      </c>
      <c r="E334">
        <v>0.78800000000000003</v>
      </c>
    </row>
    <row r="335" spans="1:5">
      <c r="A335" s="34" t="s">
        <v>526</v>
      </c>
      <c r="B335">
        <v>0.83099999999999996</v>
      </c>
      <c r="D335" s="34" t="s">
        <v>526</v>
      </c>
      <c r="E335">
        <v>0.77500000000000002</v>
      </c>
    </row>
    <row r="336" spans="1:5">
      <c r="A336" s="34" t="s">
        <v>527</v>
      </c>
      <c r="B336">
        <v>0.84299999999999997</v>
      </c>
      <c r="D336" s="34" t="s">
        <v>527</v>
      </c>
      <c r="E336">
        <v>0.78800000000000003</v>
      </c>
    </row>
    <row r="337" spans="1:5">
      <c r="A337" s="34" t="s">
        <v>528</v>
      </c>
      <c r="B337">
        <v>0.88100000000000001</v>
      </c>
      <c r="D337" s="34" t="s">
        <v>528</v>
      </c>
      <c r="E337">
        <v>0.82499999999999996</v>
      </c>
    </row>
    <row r="338" spans="1:5">
      <c r="A338" s="34" t="s">
        <v>529</v>
      </c>
      <c r="B338">
        <v>0.83099999999999996</v>
      </c>
      <c r="D338" s="34" t="s">
        <v>529</v>
      </c>
      <c r="E338">
        <v>0.77500000000000002</v>
      </c>
    </row>
    <row r="339" spans="1:5">
      <c r="A339" s="34" t="s">
        <v>530</v>
      </c>
      <c r="B339">
        <v>0.81799999999999995</v>
      </c>
      <c r="D339" s="34" t="s">
        <v>530</v>
      </c>
      <c r="E339">
        <v>0.76300000000000001</v>
      </c>
    </row>
    <row r="340" spans="1:5">
      <c r="A340" s="34" t="s">
        <v>531</v>
      </c>
      <c r="B340">
        <v>0.78</v>
      </c>
      <c r="D340" s="34" t="s">
        <v>531</v>
      </c>
      <c r="E340">
        <v>0.72499999999999998</v>
      </c>
    </row>
    <row r="341" spans="1:5">
      <c r="A341" s="34" t="s">
        <v>532</v>
      </c>
      <c r="B341">
        <v>0.78</v>
      </c>
      <c r="D341" s="34" t="s">
        <v>532</v>
      </c>
      <c r="E341">
        <v>0.72499999999999998</v>
      </c>
    </row>
    <row r="342" spans="1:5">
      <c r="A342" s="34" t="s">
        <v>533</v>
      </c>
      <c r="B342">
        <v>0.81799999999999995</v>
      </c>
      <c r="D342" s="34" t="s">
        <v>533</v>
      </c>
      <c r="E342">
        <v>0.76300000000000001</v>
      </c>
    </row>
    <row r="343" spans="1:5">
      <c r="A343" s="34" t="s">
        <v>534</v>
      </c>
      <c r="B343">
        <v>0.76700000000000002</v>
      </c>
      <c r="D343" s="34" t="s">
        <v>534</v>
      </c>
      <c r="E343">
        <v>0.71299999999999997</v>
      </c>
    </row>
    <row r="344" spans="1:5">
      <c r="A344" s="34" t="s">
        <v>535</v>
      </c>
      <c r="B344">
        <v>0.755</v>
      </c>
      <c r="D344" s="34" t="s">
        <v>535</v>
      </c>
      <c r="E344">
        <v>0.7</v>
      </c>
    </row>
    <row r="345" spans="1:5">
      <c r="A345" s="34" t="s">
        <v>536</v>
      </c>
      <c r="B345">
        <v>0.71699999999999997</v>
      </c>
      <c r="D345" s="34" t="s">
        <v>536</v>
      </c>
      <c r="E345">
        <v>0.66300000000000003</v>
      </c>
    </row>
    <row r="346" spans="1:5">
      <c r="A346" s="34" t="s">
        <v>537</v>
      </c>
      <c r="B346">
        <v>0.71699999999999997</v>
      </c>
      <c r="D346" s="34" t="s">
        <v>537</v>
      </c>
      <c r="E346">
        <v>0.66300000000000003</v>
      </c>
    </row>
    <row r="347" spans="1:5">
      <c r="A347" s="34" t="s">
        <v>538</v>
      </c>
      <c r="B347">
        <v>0.755</v>
      </c>
      <c r="D347" s="34" t="s">
        <v>538</v>
      </c>
      <c r="E347">
        <v>0.7</v>
      </c>
    </row>
    <row r="348" spans="1:5">
      <c r="A348" s="34" t="s">
        <v>539</v>
      </c>
      <c r="B348">
        <v>0.70399999999999996</v>
      </c>
      <c r="D348" s="34" t="s">
        <v>539</v>
      </c>
      <c r="E348">
        <v>0.65</v>
      </c>
    </row>
    <row r="349" spans="1:5">
      <c r="A349" s="34" t="s">
        <v>540</v>
      </c>
      <c r="B349">
        <v>0.69099999999999995</v>
      </c>
      <c r="D349" s="34" t="s">
        <v>540</v>
      </c>
      <c r="E349">
        <v>0.63800000000000001</v>
      </c>
    </row>
    <row r="350" spans="1:5">
      <c r="A350" s="34" t="s">
        <v>541</v>
      </c>
      <c r="B350">
        <v>0.65300000000000002</v>
      </c>
      <c r="D350" s="34" t="s">
        <v>541</v>
      </c>
      <c r="E350">
        <v>0.6</v>
      </c>
    </row>
    <row r="351" spans="1:5">
      <c r="A351" s="34" t="s">
        <v>542</v>
      </c>
      <c r="B351">
        <v>0.65300000000000002</v>
      </c>
      <c r="D351" s="34" t="s">
        <v>542</v>
      </c>
      <c r="E351">
        <v>0.6</v>
      </c>
    </row>
    <row r="352" spans="1:5">
      <c r="A352" s="34" t="s">
        <v>543</v>
      </c>
      <c r="B352">
        <v>0.69099999999999995</v>
      </c>
      <c r="D352" s="34" t="s">
        <v>543</v>
      </c>
      <c r="E352">
        <v>0.63800000000000001</v>
      </c>
    </row>
    <row r="353" spans="1:5">
      <c r="A353" s="34" t="s">
        <v>544</v>
      </c>
      <c r="B353">
        <v>0.64100000000000001</v>
      </c>
      <c r="D353" s="34" t="s">
        <v>544</v>
      </c>
      <c r="E353">
        <v>0.58799999999999997</v>
      </c>
    </row>
    <row r="354" spans="1:5">
      <c r="A354" s="34" t="s">
        <v>545</v>
      </c>
      <c r="B354">
        <v>0.57699999999999996</v>
      </c>
      <c r="D354" s="34" t="s">
        <v>545</v>
      </c>
      <c r="E354">
        <v>0.53800000000000003</v>
      </c>
    </row>
    <row r="355" spans="1:5">
      <c r="A355" s="34" t="s">
        <v>546</v>
      </c>
      <c r="B355">
        <v>0.56200000000000006</v>
      </c>
      <c r="D355" s="34" t="s">
        <v>546</v>
      </c>
      <c r="E355">
        <v>0.52500000000000002</v>
      </c>
    </row>
    <row r="356" spans="1:5">
      <c r="A356" s="34" t="s">
        <v>547</v>
      </c>
      <c r="B356">
        <v>0.51400000000000001</v>
      </c>
      <c r="D356" s="34" t="s">
        <v>547</v>
      </c>
      <c r="E356">
        <v>0.48699999999999999</v>
      </c>
    </row>
    <row r="357" spans="1:5">
      <c r="A357" s="34" t="s">
        <v>548</v>
      </c>
      <c r="B357">
        <v>0.51400000000000001</v>
      </c>
      <c r="D357" s="34" t="s">
        <v>548</v>
      </c>
      <c r="E357">
        <v>0.48699999999999999</v>
      </c>
    </row>
    <row r="358" spans="1:5">
      <c r="A358" s="34" t="s">
        <v>549</v>
      </c>
      <c r="B358">
        <v>0.56200000000000006</v>
      </c>
      <c r="D358" s="34" t="s">
        <v>549</v>
      </c>
      <c r="E358">
        <v>0.52500000000000002</v>
      </c>
    </row>
    <row r="359" spans="1:5">
      <c r="A359" s="34" t="s">
        <v>550</v>
      </c>
      <c r="B359">
        <v>0.54600000000000004</v>
      </c>
      <c r="D359" s="34" t="s">
        <v>550</v>
      </c>
      <c r="E359">
        <v>0.51200000000000001</v>
      </c>
    </row>
    <row r="360" spans="1:5">
      <c r="A360" s="34" t="s">
        <v>551</v>
      </c>
      <c r="B360">
        <v>0.498</v>
      </c>
      <c r="D360" s="34" t="s">
        <v>551</v>
      </c>
      <c r="E360">
        <v>0.47499999999999998</v>
      </c>
    </row>
    <row r="361" spans="1:5">
      <c r="A361" s="34" t="s">
        <v>552</v>
      </c>
      <c r="B361">
        <v>0.498</v>
      </c>
      <c r="D361" s="34" t="s">
        <v>552</v>
      </c>
      <c r="E361">
        <v>0.47499999999999998</v>
      </c>
    </row>
    <row r="362" spans="1:5">
      <c r="A362" s="34" t="s">
        <v>553</v>
      </c>
      <c r="B362">
        <v>0.54600000000000004</v>
      </c>
      <c r="D362" s="34" t="s">
        <v>553</v>
      </c>
      <c r="E362">
        <v>0.51200000000000001</v>
      </c>
    </row>
    <row r="363" spans="1:5">
      <c r="A363" s="34" t="s">
        <v>554</v>
      </c>
      <c r="B363">
        <v>0.52100000000000002</v>
      </c>
      <c r="D363" s="34" t="s">
        <v>554</v>
      </c>
      <c r="E363">
        <v>0.49199999999999999</v>
      </c>
    </row>
    <row r="364" spans="1:5">
      <c r="A364" s="34" t="s">
        <v>555</v>
      </c>
      <c r="B364">
        <v>0.52700000000000002</v>
      </c>
      <c r="D364" s="34" t="s">
        <v>555</v>
      </c>
      <c r="E364">
        <v>0.497</v>
      </c>
    </row>
    <row r="365" spans="1:5">
      <c r="A365" s="34" t="s">
        <v>556</v>
      </c>
      <c r="B365">
        <v>0.50800000000000001</v>
      </c>
      <c r="D365" s="34" t="s">
        <v>556</v>
      </c>
      <c r="E365">
        <v>0.48199999999999998</v>
      </c>
    </row>
    <row r="366" spans="1:5">
      <c r="A366" s="34" t="s">
        <v>557</v>
      </c>
      <c r="B366">
        <v>0.46400000000000002</v>
      </c>
      <c r="D366" s="34" t="s">
        <v>557</v>
      </c>
      <c r="E366">
        <v>0.44700000000000001</v>
      </c>
    </row>
    <row r="367" spans="1:5">
      <c r="A367" s="34" t="s">
        <v>558</v>
      </c>
      <c r="B367">
        <v>0.44500000000000001</v>
      </c>
      <c r="D367" s="34" t="s">
        <v>558</v>
      </c>
      <c r="E367">
        <v>0.432</v>
      </c>
    </row>
    <row r="368" spans="1:5">
      <c r="A368" s="34" t="s">
        <v>559</v>
      </c>
      <c r="B368">
        <v>0.48299999999999998</v>
      </c>
      <c r="D368" s="34" t="s">
        <v>559</v>
      </c>
      <c r="E368">
        <v>0.46200000000000002</v>
      </c>
    </row>
    <row r="369" spans="1:5">
      <c r="A369" s="34" t="s">
        <v>560</v>
      </c>
      <c r="B369">
        <v>0.46400000000000002</v>
      </c>
      <c r="D369" s="34" t="s">
        <v>560</v>
      </c>
      <c r="E369">
        <v>0.44700000000000001</v>
      </c>
    </row>
    <row r="370" spans="1:5">
      <c r="A370" s="34" t="s">
        <v>561</v>
      </c>
      <c r="B370">
        <v>0.46400000000000002</v>
      </c>
      <c r="D370" s="34" t="s">
        <v>561</v>
      </c>
      <c r="E370">
        <v>0.44700000000000001</v>
      </c>
    </row>
    <row r="371" spans="1:5">
      <c r="A371" s="34" t="s">
        <v>562</v>
      </c>
      <c r="B371">
        <v>0.438</v>
      </c>
      <c r="D371" s="34" t="s">
        <v>562</v>
      </c>
      <c r="E371">
        <v>0.42799999999999999</v>
      </c>
    </row>
    <row r="372" spans="1:5">
      <c r="A372" s="34" t="s">
        <v>520</v>
      </c>
      <c r="B372">
        <v>0.89400000000000002</v>
      </c>
      <c r="D372" s="34" t="s">
        <v>520</v>
      </c>
      <c r="E372">
        <v>0.875</v>
      </c>
    </row>
    <row r="373" spans="1:5">
      <c r="A373" s="34" t="s">
        <v>563</v>
      </c>
      <c r="B373">
        <v>0.878</v>
      </c>
      <c r="D373" s="34" t="s">
        <v>563</v>
      </c>
      <c r="E373">
        <v>0.86299999999999999</v>
      </c>
    </row>
    <row r="374" spans="1:5">
      <c r="A374" s="34" t="s">
        <v>564</v>
      </c>
      <c r="B374">
        <v>0.83099999999999996</v>
      </c>
      <c r="D374" s="34" t="s">
        <v>564</v>
      </c>
      <c r="E374">
        <v>0.82499999999999996</v>
      </c>
    </row>
    <row r="375" spans="1:5">
      <c r="A375" s="34" t="s">
        <v>565</v>
      </c>
      <c r="B375">
        <v>0.83099999999999996</v>
      </c>
      <c r="D375" s="34" t="s">
        <v>565</v>
      </c>
      <c r="E375">
        <v>0.82499999999999996</v>
      </c>
    </row>
    <row r="376" spans="1:5">
      <c r="A376" s="34" t="s">
        <v>566</v>
      </c>
      <c r="B376">
        <v>0.89400000000000002</v>
      </c>
      <c r="D376" s="34" t="s">
        <v>566</v>
      </c>
      <c r="E376">
        <v>0.875</v>
      </c>
    </row>
    <row r="377" spans="1:5">
      <c r="A377" s="34" t="s">
        <v>567</v>
      </c>
      <c r="B377">
        <v>0.90200000000000002</v>
      </c>
      <c r="D377" s="34" t="s">
        <v>567</v>
      </c>
      <c r="E377">
        <v>0.88800000000000001</v>
      </c>
    </row>
    <row r="378" spans="1:5">
      <c r="A378" s="34" t="s">
        <v>568</v>
      </c>
      <c r="B378">
        <v>0.89400000000000002</v>
      </c>
      <c r="D378" s="34" t="s">
        <v>568</v>
      </c>
      <c r="E378">
        <v>0.875</v>
      </c>
    </row>
    <row r="379" spans="1:5">
      <c r="A379" s="34" t="s">
        <v>569</v>
      </c>
      <c r="B379">
        <v>0.87</v>
      </c>
      <c r="D379" s="34" t="s">
        <v>569</v>
      </c>
      <c r="E379">
        <v>0.83799999999999997</v>
      </c>
    </row>
    <row r="380" spans="1:5">
      <c r="A380" s="34" t="s">
        <v>570</v>
      </c>
      <c r="B380">
        <v>0.87</v>
      </c>
      <c r="D380" s="34" t="s">
        <v>570</v>
      </c>
      <c r="E380">
        <v>0.83799999999999997</v>
      </c>
    </row>
    <row r="381" spans="1:5">
      <c r="A381" s="34" t="s">
        <v>571</v>
      </c>
      <c r="B381">
        <v>0.90200000000000002</v>
      </c>
      <c r="D381" s="34" t="s">
        <v>571</v>
      </c>
      <c r="E381">
        <v>0.88800000000000001</v>
      </c>
    </row>
    <row r="382" spans="1:5">
      <c r="A382" s="34" t="s">
        <v>572</v>
      </c>
      <c r="B382">
        <v>0.89200000000000002</v>
      </c>
      <c r="D382" s="34" t="s">
        <v>572</v>
      </c>
      <c r="E382">
        <v>0.85</v>
      </c>
    </row>
    <row r="383" spans="1:5">
      <c r="A383" s="34" t="s">
        <v>573</v>
      </c>
      <c r="B383">
        <v>0.89200000000000002</v>
      </c>
      <c r="D383" s="34" t="s">
        <v>573</v>
      </c>
      <c r="E383">
        <v>0.85</v>
      </c>
    </row>
    <row r="384" spans="1:5">
      <c r="A384" s="34" t="s">
        <v>574</v>
      </c>
      <c r="B384">
        <v>0.90200000000000002</v>
      </c>
      <c r="D384" s="34" t="s">
        <v>574</v>
      </c>
      <c r="E384">
        <v>0.88800000000000001</v>
      </c>
    </row>
    <row r="385" spans="1:5">
      <c r="A385" s="34" t="s">
        <v>575</v>
      </c>
      <c r="B385">
        <v>0.90500000000000003</v>
      </c>
      <c r="D385" s="34" t="s">
        <v>575</v>
      </c>
      <c r="E385">
        <v>0.9</v>
      </c>
    </row>
    <row r="386" spans="1:5">
      <c r="A386" s="34" t="s">
        <v>576</v>
      </c>
      <c r="B386">
        <v>0.89200000000000002</v>
      </c>
      <c r="D386" s="34" t="s">
        <v>576</v>
      </c>
      <c r="E386">
        <v>0.85</v>
      </c>
    </row>
    <row r="387" spans="1:5">
      <c r="A387" s="34" t="s">
        <v>577</v>
      </c>
      <c r="B387">
        <v>0.85399999999999998</v>
      </c>
      <c r="D387" s="34" t="s">
        <v>577</v>
      </c>
      <c r="E387">
        <v>0.81299999999999994</v>
      </c>
    </row>
    <row r="388" spans="1:5">
      <c r="A388" s="34" t="s">
        <v>578</v>
      </c>
      <c r="B388">
        <v>0.84199999999999997</v>
      </c>
      <c r="D388" s="34" t="s">
        <v>578</v>
      </c>
      <c r="E388">
        <v>0.8</v>
      </c>
    </row>
    <row r="389" spans="1:5">
      <c r="A389" s="34" t="s">
        <v>579</v>
      </c>
      <c r="B389">
        <v>0.85399999999999998</v>
      </c>
      <c r="D389" s="34" t="s">
        <v>579</v>
      </c>
      <c r="E389">
        <v>0.81299999999999994</v>
      </c>
    </row>
    <row r="390" spans="1:5">
      <c r="A390" s="34" t="s">
        <v>580</v>
      </c>
      <c r="B390">
        <v>0.89200000000000002</v>
      </c>
      <c r="D390" s="34" t="s">
        <v>580</v>
      </c>
      <c r="E390">
        <v>0.85</v>
      </c>
    </row>
    <row r="391" spans="1:5">
      <c r="A391" s="34" t="s">
        <v>581</v>
      </c>
      <c r="B391">
        <v>0.84199999999999997</v>
      </c>
      <c r="D391" s="34" t="s">
        <v>581</v>
      </c>
      <c r="E391">
        <v>0.8</v>
      </c>
    </row>
    <row r="392" spans="1:5">
      <c r="A392" s="34" t="s">
        <v>582</v>
      </c>
      <c r="B392">
        <v>0.82899999999999996</v>
      </c>
      <c r="D392" s="34" t="s">
        <v>582</v>
      </c>
      <c r="E392">
        <v>0.78800000000000003</v>
      </c>
    </row>
    <row r="393" spans="1:5">
      <c r="A393" s="34" t="s">
        <v>583</v>
      </c>
      <c r="B393">
        <v>0.79100000000000004</v>
      </c>
      <c r="D393" s="34" t="s">
        <v>583</v>
      </c>
      <c r="E393">
        <v>0.75</v>
      </c>
    </row>
    <row r="394" spans="1:5">
      <c r="A394" s="34" t="s">
        <v>584</v>
      </c>
      <c r="B394">
        <v>0.79100000000000004</v>
      </c>
      <c r="D394" s="34" t="s">
        <v>584</v>
      </c>
      <c r="E394">
        <v>0.75</v>
      </c>
    </row>
    <row r="395" spans="1:5">
      <c r="A395" s="34" t="s">
        <v>585</v>
      </c>
      <c r="B395">
        <v>0.82899999999999996</v>
      </c>
      <c r="D395" s="34" t="s">
        <v>585</v>
      </c>
      <c r="E395">
        <v>0.78800000000000003</v>
      </c>
    </row>
    <row r="396" spans="1:5">
      <c r="A396" s="34" t="s">
        <v>586</v>
      </c>
      <c r="B396">
        <v>0.77800000000000002</v>
      </c>
      <c r="D396" s="34" t="s">
        <v>586</v>
      </c>
      <c r="E396">
        <v>0.73799999999999999</v>
      </c>
    </row>
    <row r="397" spans="1:5">
      <c r="A397" s="34" t="s">
        <v>587</v>
      </c>
      <c r="B397">
        <v>0.76600000000000001</v>
      </c>
      <c r="D397" s="34" t="s">
        <v>587</v>
      </c>
      <c r="E397">
        <v>0.72499999999999998</v>
      </c>
    </row>
    <row r="398" spans="1:5">
      <c r="A398" s="34" t="s">
        <v>588</v>
      </c>
      <c r="B398">
        <v>0.72799999999999998</v>
      </c>
      <c r="D398" s="34" t="s">
        <v>588</v>
      </c>
      <c r="E398">
        <v>0.68799999999999994</v>
      </c>
    </row>
    <row r="399" spans="1:5">
      <c r="A399" s="34" t="s">
        <v>589</v>
      </c>
      <c r="B399">
        <v>0.72799999999999998</v>
      </c>
      <c r="D399" s="34" t="s">
        <v>589</v>
      </c>
      <c r="E399">
        <v>0.68799999999999994</v>
      </c>
    </row>
    <row r="400" spans="1:5">
      <c r="A400" s="34" t="s">
        <v>590</v>
      </c>
      <c r="B400">
        <v>0.76600000000000001</v>
      </c>
      <c r="D400" s="34" t="s">
        <v>590</v>
      </c>
      <c r="E400">
        <v>0.72499999999999998</v>
      </c>
    </row>
    <row r="401" spans="1:5">
      <c r="A401" s="34" t="s">
        <v>591</v>
      </c>
      <c r="B401">
        <v>0.71499999999999997</v>
      </c>
      <c r="D401" s="34" t="s">
        <v>591</v>
      </c>
      <c r="E401">
        <v>0.67500000000000004</v>
      </c>
    </row>
    <row r="402" spans="1:5">
      <c r="A402" s="34" t="s">
        <v>592</v>
      </c>
      <c r="B402">
        <v>0.70199999999999996</v>
      </c>
      <c r="D402" s="34" t="s">
        <v>592</v>
      </c>
      <c r="E402">
        <v>0.66300000000000003</v>
      </c>
    </row>
    <row r="403" spans="1:5">
      <c r="A403" s="34" t="s">
        <v>593</v>
      </c>
      <c r="B403">
        <v>0.66500000000000004</v>
      </c>
      <c r="D403" s="34" t="s">
        <v>593</v>
      </c>
      <c r="E403">
        <v>0.625</v>
      </c>
    </row>
    <row r="404" spans="1:5">
      <c r="A404" s="34" t="s">
        <v>594</v>
      </c>
      <c r="B404">
        <v>0.66500000000000004</v>
      </c>
      <c r="D404" s="34" t="s">
        <v>594</v>
      </c>
      <c r="E404">
        <v>0.625</v>
      </c>
    </row>
    <row r="405" spans="1:5">
      <c r="A405" s="34" t="s">
        <v>595</v>
      </c>
      <c r="B405">
        <v>0.70199999999999996</v>
      </c>
      <c r="D405" s="34" t="s">
        <v>595</v>
      </c>
      <c r="E405">
        <v>0.66300000000000003</v>
      </c>
    </row>
    <row r="406" spans="1:5">
      <c r="A406" s="34" t="s">
        <v>596</v>
      </c>
      <c r="B406">
        <v>0.65200000000000002</v>
      </c>
      <c r="D406" s="34" t="s">
        <v>596</v>
      </c>
      <c r="E406">
        <v>0.61199999999999999</v>
      </c>
    </row>
    <row r="407" spans="1:5">
      <c r="A407" s="34" t="s">
        <v>597</v>
      </c>
      <c r="B407">
        <v>0.58899999999999997</v>
      </c>
      <c r="D407" s="34" t="s">
        <v>597</v>
      </c>
      <c r="E407">
        <v>0.56200000000000006</v>
      </c>
    </row>
    <row r="408" spans="1:5">
      <c r="A408" s="34" t="s">
        <v>598</v>
      </c>
      <c r="B408">
        <v>0.57299999999999995</v>
      </c>
      <c r="D408" s="34" t="s">
        <v>598</v>
      </c>
      <c r="E408">
        <v>0.55000000000000004</v>
      </c>
    </row>
    <row r="409" spans="1:5">
      <c r="A409" s="34" t="s">
        <v>599</v>
      </c>
      <c r="B409">
        <v>0.52500000000000002</v>
      </c>
      <c r="D409" s="34" t="s">
        <v>599</v>
      </c>
      <c r="E409">
        <v>0.51200000000000001</v>
      </c>
    </row>
    <row r="410" spans="1:5">
      <c r="A410" s="34" t="s">
        <v>600</v>
      </c>
      <c r="B410">
        <v>0.52500000000000002</v>
      </c>
      <c r="D410" s="34" t="s">
        <v>600</v>
      </c>
      <c r="E410">
        <v>0.51200000000000001</v>
      </c>
    </row>
    <row r="411" spans="1:5">
      <c r="A411" s="34" t="s">
        <v>601</v>
      </c>
      <c r="B411">
        <v>0.57299999999999995</v>
      </c>
      <c r="D411" s="34" t="s">
        <v>601</v>
      </c>
      <c r="E411">
        <v>0.55000000000000004</v>
      </c>
    </row>
    <row r="412" spans="1:5">
      <c r="A412" s="34" t="s">
        <v>602</v>
      </c>
      <c r="B412">
        <v>0.55700000000000005</v>
      </c>
      <c r="D412" s="34" t="s">
        <v>602</v>
      </c>
      <c r="E412">
        <v>0.53800000000000003</v>
      </c>
    </row>
    <row r="413" spans="1:5">
      <c r="A413" s="34" t="s">
        <v>603</v>
      </c>
      <c r="B413">
        <v>0.50900000000000001</v>
      </c>
      <c r="D413" s="34" t="s">
        <v>603</v>
      </c>
      <c r="E413">
        <v>0.5</v>
      </c>
    </row>
    <row r="414" spans="1:5">
      <c r="A414" s="34" t="s">
        <v>604</v>
      </c>
      <c r="B414">
        <v>0.50900000000000001</v>
      </c>
      <c r="D414" s="34" t="s">
        <v>604</v>
      </c>
      <c r="E414">
        <v>0.5</v>
      </c>
    </row>
    <row r="415" spans="1:5">
      <c r="A415" s="34" t="s">
        <v>605</v>
      </c>
      <c r="B415">
        <v>0.55700000000000005</v>
      </c>
      <c r="D415" s="34" t="s">
        <v>605</v>
      </c>
      <c r="E415">
        <v>0.53800000000000003</v>
      </c>
    </row>
    <row r="416" spans="1:5">
      <c r="A416" s="34" t="s">
        <v>606</v>
      </c>
      <c r="B416">
        <v>0.53200000000000003</v>
      </c>
      <c r="D416" s="34" t="s">
        <v>606</v>
      </c>
      <c r="E416">
        <v>0.51800000000000002</v>
      </c>
    </row>
    <row r="417" spans="1:5">
      <c r="A417" s="34" t="s">
        <v>607</v>
      </c>
      <c r="B417">
        <v>0.53800000000000003</v>
      </c>
      <c r="D417" s="34" t="s">
        <v>607</v>
      </c>
      <c r="E417">
        <v>0.52200000000000002</v>
      </c>
    </row>
    <row r="418" spans="1:5">
      <c r="A418" s="34" t="s">
        <v>608</v>
      </c>
      <c r="B418">
        <v>0.51900000000000002</v>
      </c>
      <c r="D418" s="34" t="s">
        <v>608</v>
      </c>
      <c r="E418">
        <v>0.50700000000000001</v>
      </c>
    </row>
    <row r="419" spans="1:5">
      <c r="A419" s="34" t="s">
        <v>609</v>
      </c>
      <c r="B419">
        <v>0.47499999999999998</v>
      </c>
      <c r="D419" s="34" t="s">
        <v>609</v>
      </c>
      <c r="E419">
        <v>0.47199999999999998</v>
      </c>
    </row>
    <row r="420" spans="1:5">
      <c r="A420" s="34" t="s">
        <v>610</v>
      </c>
      <c r="B420">
        <v>0.45600000000000002</v>
      </c>
      <c r="D420" s="34" t="s">
        <v>610</v>
      </c>
      <c r="E420">
        <v>0.45700000000000002</v>
      </c>
    </row>
    <row r="421" spans="1:5">
      <c r="A421" s="34" t="s">
        <v>611</v>
      </c>
      <c r="B421">
        <v>0.49399999999999999</v>
      </c>
      <c r="D421" s="34" t="s">
        <v>611</v>
      </c>
      <c r="E421">
        <v>0.48799999999999999</v>
      </c>
    </row>
    <row r="422" spans="1:5">
      <c r="A422" s="34" t="s">
        <v>612</v>
      </c>
      <c r="B422">
        <v>0.47499999999999998</v>
      </c>
      <c r="D422" s="34" t="s">
        <v>612</v>
      </c>
      <c r="E422">
        <v>0.47199999999999998</v>
      </c>
    </row>
    <row r="423" spans="1:5">
      <c r="A423" s="34" t="s">
        <v>613</v>
      </c>
      <c r="B423">
        <v>0.47499999999999998</v>
      </c>
      <c r="D423" s="34" t="s">
        <v>613</v>
      </c>
      <c r="E423">
        <v>0.47199999999999998</v>
      </c>
    </row>
    <row r="424" spans="1:5">
      <c r="A424" s="34" t="s">
        <v>614</v>
      </c>
      <c r="B424">
        <v>0.44900000000000001</v>
      </c>
      <c r="D424" s="34" t="s">
        <v>614</v>
      </c>
      <c r="E424">
        <v>0.45200000000000001</v>
      </c>
    </row>
    <row r="425" spans="1:5">
      <c r="A425" s="34" t="s">
        <v>530</v>
      </c>
      <c r="B425">
        <v>0.81799999999999995</v>
      </c>
      <c r="D425" s="34" t="s">
        <v>530</v>
      </c>
      <c r="E425">
        <v>0.76300000000000001</v>
      </c>
    </row>
    <row r="426" spans="1:5">
      <c r="A426" s="34" t="s">
        <v>615</v>
      </c>
      <c r="B426">
        <v>0.80200000000000005</v>
      </c>
      <c r="D426" s="34" t="s">
        <v>615</v>
      </c>
      <c r="E426">
        <v>0.75</v>
      </c>
    </row>
    <row r="427" spans="1:5">
      <c r="A427" s="34" t="s">
        <v>616</v>
      </c>
      <c r="B427">
        <v>0.755</v>
      </c>
      <c r="D427" s="34" t="s">
        <v>616</v>
      </c>
      <c r="E427">
        <v>0.71299999999999997</v>
      </c>
    </row>
    <row r="428" spans="1:5">
      <c r="A428" s="34" t="s">
        <v>617</v>
      </c>
      <c r="B428">
        <v>0.755</v>
      </c>
      <c r="D428" s="34" t="s">
        <v>617</v>
      </c>
      <c r="E428">
        <v>0.71299999999999997</v>
      </c>
    </row>
    <row r="429" spans="1:5">
      <c r="A429" s="34" t="s">
        <v>618</v>
      </c>
      <c r="B429">
        <v>0.81799999999999995</v>
      </c>
      <c r="D429" s="34" t="s">
        <v>618</v>
      </c>
      <c r="E429">
        <v>0.76300000000000001</v>
      </c>
    </row>
    <row r="430" spans="1:5">
      <c r="A430" s="34" t="s">
        <v>619</v>
      </c>
      <c r="B430">
        <v>0.82599999999999996</v>
      </c>
      <c r="D430" s="34" t="s">
        <v>619</v>
      </c>
      <c r="E430">
        <v>0.77500000000000002</v>
      </c>
    </row>
    <row r="431" spans="1:5">
      <c r="A431" s="34" t="s">
        <v>620</v>
      </c>
      <c r="B431">
        <v>0.81799999999999995</v>
      </c>
      <c r="D431" s="34" t="s">
        <v>620</v>
      </c>
      <c r="E431">
        <v>0.76300000000000001</v>
      </c>
    </row>
    <row r="432" spans="1:5">
      <c r="A432" s="34" t="s">
        <v>621</v>
      </c>
      <c r="B432">
        <v>0.79400000000000004</v>
      </c>
      <c r="D432" s="34" t="s">
        <v>621</v>
      </c>
      <c r="E432">
        <v>0.72499999999999998</v>
      </c>
    </row>
    <row r="433" spans="1:5">
      <c r="A433" s="34" t="s">
        <v>622</v>
      </c>
      <c r="B433">
        <v>0.79400000000000004</v>
      </c>
      <c r="D433" s="34" t="s">
        <v>622</v>
      </c>
      <c r="E433">
        <v>0.72499999999999998</v>
      </c>
    </row>
    <row r="434" spans="1:5">
      <c r="A434" s="34" t="s">
        <v>623</v>
      </c>
      <c r="B434">
        <v>0.82599999999999996</v>
      </c>
      <c r="D434" s="34" t="s">
        <v>623</v>
      </c>
      <c r="E434">
        <v>0.77500000000000002</v>
      </c>
    </row>
    <row r="435" spans="1:5">
      <c r="A435" s="34" t="s">
        <v>582</v>
      </c>
      <c r="B435">
        <v>0.82899999999999996</v>
      </c>
      <c r="D435" s="34" t="s">
        <v>582</v>
      </c>
      <c r="E435">
        <v>0.78800000000000003</v>
      </c>
    </row>
    <row r="436" spans="1:5">
      <c r="A436" s="34" t="s">
        <v>624</v>
      </c>
      <c r="B436">
        <v>0.82599999999999996</v>
      </c>
      <c r="D436" s="34" t="s">
        <v>624</v>
      </c>
      <c r="E436">
        <v>0.77500000000000002</v>
      </c>
    </row>
    <row r="437" spans="1:5">
      <c r="A437" s="34" t="s">
        <v>625</v>
      </c>
      <c r="B437">
        <v>0.81599999999999995</v>
      </c>
      <c r="D437" s="34" t="s">
        <v>625</v>
      </c>
      <c r="E437">
        <v>0.73799999999999999</v>
      </c>
    </row>
    <row r="438" spans="1:5">
      <c r="A438" s="34" t="s">
        <v>626</v>
      </c>
      <c r="B438">
        <v>0.81599999999999995</v>
      </c>
      <c r="D438" s="34" t="s">
        <v>626</v>
      </c>
      <c r="E438">
        <v>0.73799999999999999</v>
      </c>
    </row>
    <row r="439" spans="1:5">
      <c r="A439" s="34" t="s">
        <v>627</v>
      </c>
      <c r="B439">
        <v>0.82899999999999996</v>
      </c>
      <c r="D439" s="34" t="s">
        <v>627</v>
      </c>
      <c r="E439">
        <v>0.78800000000000003</v>
      </c>
    </row>
    <row r="440" spans="1:5">
      <c r="A440" s="34" t="s">
        <v>628</v>
      </c>
      <c r="B440">
        <v>0.82899999999999996</v>
      </c>
      <c r="D440" s="34" t="s">
        <v>628</v>
      </c>
      <c r="E440">
        <v>0.78800000000000003</v>
      </c>
    </row>
    <row r="441" spans="1:5">
      <c r="A441" s="34" t="s">
        <v>629</v>
      </c>
      <c r="B441">
        <v>0.79100000000000004</v>
      </c>
      <c r="D441" s="34" t="s">
        <v>629</v>
      </c>
      <c r="E441">
        <v>0.75</v>
      </c>
    </row>
    <row r="442" spans="1:5">
      <c r="A442" s="34" t="s">
        <v>630</v>
      </c>
      <c r="B442">
        <v>0.77800000000000002</v>
      </c>
      <c r="D442" s="34" t="s">
        <v>630</v>
      </c>
      <c r="E442">
        <v>0.73799999999999999</v>
      </c>
    </row>
    <row r="443" spans="1:5">
      <c r="A443" s="34" t="s">
        <v>631</v>
      </c>
      <c r="B443">
        <v>0.79100000000000004</v>
      </c>
      <c r="D443" s="34" t="s">
        <v>631</v>
      </c>
      <c r="E443">
        <v>0.75</v>
      </c>
    </row>
    <row r="444" spans="1:5">
      <c r="A444" s="34" t="s">
        <v>632</v>
      </c>
      <c r="B444">
        <v>0.84199999999999997</v>
      </c>
      <c r="D444" s="34" t="s">
        <v>632</v>
      </c>
      <c r="E444">
        <v>0.8</v>
      </c>
    </row>
    <row r="445" spans="1:5">
      <c r="A445" s="34" t="s">
        <v>633</v>
      </c>
      <c r="B445">
        <v>0.80400000000000005</v>
      </c>
      <c r="D445" s="34" t="s">
        <v>633</v>
      </c>
      <c r="E445">
        <v>0.76300000000000001</v>
      </c>
    </row>
    <row r="446" spans="1:5">
      <c r="A446" s="34" t="s">
        <v>634</v>
      </c>
      <c r="B446">
        <v>0.80400000000000005</v>
      </c>
      <c r="D446" s="34" t="s">
        <v>634</v>
      </c>
      <c r="E446">
        <v>0.76300000000000001</v>
      </c>
    </row>
    <row r="447" spans="1:5">
      <c r="A447" s="34" t="s">
        <v>635</v>
      </c>
      <c r="B447">
        <v>0.84199999999999997</v>
      </c>
      <c r="D447" s="34" t="s">
        <v>635</v>
      </c>
      <c r="E447">
        <v>0.8</v>
      </c>
    </row>
    <row r="448" spans="1:5">
      <c r="A448" s="34" t="s">
        <v>636</v>
      </c>
      <c r="B448">
        <v>0.85399999999999998</v>
      </c>
      <c r="D448" s="34" t="s">
        <v>636</v>
      </c>
      <c r="E448">
        <v>0.81299999999999994</v>
      </c>
    </row>
    <row r="449" spans="1:5">
      <c r="A449" s="34" t="s">
        <v>637</v>
      </c>
      <c r="B449">
        <v>0.80400000000000005</v>
      </c>
      <c r="D449" s="34" t="s">
        <v>637</v>
      </c>
      <c r="E449">
        <v>0.76300000000000001</v>
      </c>
    </row>
    <row r="450" spans="1:5">
      <c r="A450" s="34" t="s">
        <v>638</v>
      </c>
      <c r="B450">
        <v>0.79100000000000004</v>
      </c>
      <c r="D450" s="34" t="s">
        <v>638</v>
      </c>
      <c r="E450">
        <v>0.75</v>
      </c>
    </row>
    <row r="451" spans="1:5">
      <c r="A451" s="34" t="s">
        <v>639</v>
      </c>
      <c r="B451">
        <v>0.753</v>
      </c>
      <c r="D451" s="34" t="s">
        <v>639</v>
      </c>
      <c r="E451">
        <v>0.71299999999999997</v>
      </c>
    </row>
    <row r="452" spans="1:5">
      <c r="A452" s="34" t="s">
        <v>640</v>
      </c>
      <c r="B452">
        <v>0.753</v>
      </c>
      <c r="D452" s="34" t="s">
        <v>640</v>
      </c>
      <c r="E452">
        <v>0.71299999999999997</v>
      </c>
    </row>
    <row r="453" spans="1:5">
      <c r="A453" s="34" t="s">
        <v>641</v>
      </c>
      <c r="B453">
        <v>0.79100000000000004</v>
      </c>
      <c r="D453" s="34" t="s">
        <v>641</v>
      </c>
      <c r="E453">
        <v>0.75</v>
      </c>
    </row>
    <row r="454" spans="1:5">
      <c r="A454" s="34" t="s">
        <v>642</v>
      </c>
      <c r="B454">
        <v>0.74</v>
      </c>
      <c r="D454" s="34" t="s">
        <v>642</v>
      </c>
      <c r="E454">
        <v>0.7</v>
      </c>
    </row>
    <row r="455" spans="1:5">
      <c r="A455" s="34" t="s">
        <v>643</v>
      </c>
      <c r="B455">
        <v>0.72799999999999998</v>
      </c>
      <c r="D455" s="34" t="s">
        <v>643</v>
      </c>
      <c r="E455">
        <v>0.68799999999999994</v>
      </c>
    </row>
    <row r="456" spans="1:5">
      <c r="A456" s="34" t="s">
        <v>644</v>
      </c>
      <c r="B456">
        <v>0.69</v>
      </c>
      <c r="D456" s="34" t="s">
        <v>644</v>
      </c>
      <c r="E456">
        <v>0.65</v>
      </c>
    </row>
    <row r="457" spans="1:5">
      <c r="A457" s="34" t="s">
        <v>645</v>
      </c>
      <c r="B457">
        <v>0.69</v>
      </c>
      <c r="D457" s="34" t="s">
        <v>645</v>
      </c>
      <c r="E457">
        <v>0.65</v>
      </c>
    </row>
    <row r="458" spans="1:5">
      <c r="A458" s="34" t="s">
        <v>646</v>
      </c>
      <c r="B458">
        <v>0.72799999999999998</v>
      </c>
      <c r="D458" s="34" t="s">
        <v>646</v>
      </c>
      <c r="E458">
        <v>0.68799999999999994</v>
      </c>
    </row>
    <row r="459" spans="1:5">
      <c r="A459" s="34" t="s">
        <v>647</v>
      </c>
      <c r="B459">
        <v>0.67700000000000005</v>
      </c>
      <c r="D459" s="34" t="s">
        <v>647</v>
      </c>
      <c r="E459">
        <v>0.63800000000000001</v>
      </c>
    </row>
    <row r="460" spans="1:5">
      <c r="A460" s="34" t="s">
        <v>648</v>
      </c>
      <c r="B460">
        <v>0.61399999999999999</v>
      </c>
      <c r="D460" s="34" t="s">
        <v>648</v>
      </c>
      <c r="E460">
        <v>0.58799999999999997</v>
      </c>
    </row>
    <row r="461" spans="1:5">
      <c r="A461" s="34" t="s">
        <v>649</v>
      </c>
      <c r="B461">
        <v>0.59799999999999998</v>
      </c>
      <c r="D461" s="34" t="s">
        <v>649</v>
      </c>
      <c r="E461">
        <v>0.57499999999999996</v>
      </c>
    </row>
    <row r="462" spans="1:5">
      <c r="A462" s="34" t="s">
        <v>650</v>
      </c>
      <c r="B462">
        <v>0.55100000000000005</v>
      </c>
      <c r="D462" s="34" t="s">
        <v>650</v>
      </c>
      <c r="E462">
        <v>0.53800000000000003</v>
      </c>
    </row>
    <row r="463" spans="1:5">
      <c r="A463" s="34" t="s">
        <v>651</v>
      </c>
      <c r="B463">
        <v>0.55100000000000005</v>
      </c>
      <c r="D463" s="34" t="s">
        <v>651</v>
      </c>
      <c r="E463">
        <v>0.53800000000000003</v>
      </c>
    </row>
    <row r="464" spans="1:5">
      <c r="A464" s="34" t="s">
        <v>652</v>
      </c>
      <c r="B464">
        <v>0.59799999999999998</v>
      </c>
      <c r="D464" s="34" t="s">
        <v>652</v>
      </c>
      <c r="E464">
        <v>0.57499999999999996</v>
      </c>
    </row>
    <row r="465" spans="1:5">
      <c r="A465" s="34" t="s">
        <v>653</v>
      </c>
      <c r="B465">
        <v>0.58199999999999996</v>
      </c>
      <c r="D465" s="34" t="s">
        <v>653</v>
      </c>
      <c r="E465">
        <v>0.56200000000000006</v>
      </c>
    </row>
    <row r="466" spans="1:5">
      <c r="A466" s="34" t="s">
        <v>654</v>
      </c>
      <c r="B466">
        <v>0.53500000000000003</v>
      </c>
      <c r="D466" s="34" t="s">
        <v>654</v>
      </c>
      <c r="E466">
        <v>0.52500000000000002</v>
      </c>
    </row>
    <row r="467" spans="1:5">
      <c r="A467" s="34" t="s">
        <v>655</v>
      </c>
      <c r="B467">
        <v>0.53500000000000003</v>
      </c>
      <c r="D467" s="34" t="s">
        <v>655</v>
      </c>
      <c r="E467">
        <v>0.52500000000000002</v>
      </c>
    </row>
    <row r="468" spans="1:5">
      <c r="A468" s="34" t="s">
        <v>656</v>
      </c>
      <c r="B468">
        <v>0.58199999999999996</v>
      </c>
      <c r="D468" s="34" t="s">
        <v>656</v>
      </c>
      <c r="E468">
        <v>0.56200000000000006</v>
      </c>
    </row>
    <row r="469" spans="1:5">
      <c r="A469" s="34" t="s">
        <v>657</v>
      </c>
      <c r="B469">
        <v>0.55700000000000005</v>
      </c>
      <c r="D469" s="34" t="s">
        <v>657</v>
      </c>
      <c r="E469">
        <v>0.54200000000000004</v>
      </c>
    </row>
    <row r="470" spans="1:5">
      <c r="A470" s="34" t="s">
        <v>658</v>
      </c>
      <c r="B470">
        <v>0.56299999999999994</v>
      </c>
      <c r="D470" s="34" t="s">
        <v>658</v>
      </c>
      <c r="E470">
        <v>0.54800000000000004</v>
      </c>
    </row>
    <row r="471" spans="1:5">
      <c r="A471" s="34" t="s">
        <v>659</v>
      </c>
      <c r="B471">
        <v>0.54400000000000004</v>
      </c>
      <c r="D471" s="34" t="s">
        <v>659</v>
      </c>
      <c r="E471">
        <v>0.53200000000000003</v>
      </c>
    </row>
    <row r="472" spans="1:5">
      <c r="A472" s="34" t="s">
        <v>660</v>
      </c>
      <c r="B472">
        <v>0.5</v>
      </c>
      <c r="D472" s="34" t="s">
        <v>660</v>
      </c>
      <c r="E472">
        <v>0.498</v>
      </c>
    </row>
    <row r="473" spans="1:5">
      <c r="A473" s="34" t="s">
        <v>661</v>
      </c>
      <c r="B473">
        <v>0.48099999999999998</v>
      </c>
      <c r="D473" s="34" t="s">
        <v>661</v>
      </c>
      <c r="E473">
        <v>0.48199999999999998</v>
      </c>
    </row>
    <row r="474" spans="1:5">
      <c r="A474" s="34" t="s">
        <v>662</v>
      </c>
      <c r="B474">
        <v>0.51900000000000002</v>
      </c>
      <c r="D474" s="34" t="s">
        <v>662</v>
      </c>
      <c r="E474">
        <v>0.51300000000000001</v>
      </c>
    </row>
    <row r="475" spans="1:5">
      <c r="A475" s="34" t="s">
        <v>663</v>
      </c>
      <c r="B475">
        <v>0.5</v>
      </c>
      <c r="D475" s="34" t="s">
        <v>663</v>
      </c>
      <c r="E475">
        <v>0.498</v>
      </c>
    </row>
    <row r="476" spans="1:5">
      <c r="A476" s="34" t="s">
        <v>664</v>
      </c>
      <c r="B476">
        <v>0.5</v>
      </c>
      <c r="D476" s="34" t="s">
        <v>664</v>
      </c>
      <c r="E476">
        <v>0.498</v>
      </c>
    </row>
    <row r="477" spans="1:5">
      <c r="A477" s="34" t="s">
        <v>665</v>
      </c>
      <c r="B477">
        <v>0.47499999999999998</v>
      </c>
      <c r="D477" s="34" t="s">
        <v>665</v>
      </c>
      <c r="E477">
        <v>0.47799999999999998</v>
      </c>
    </row>
    <row r="478" spans="1:5">
      <c r="A478" s="34" t="s">
        <v>540</v>
      </c>
      <c r="B478">
        <v>0.69099999999999995</v>
      </c>
      <c r="D478" s="34" t="s">
        <v>540</v>
      </c>
      <c r="E478">
        <v>0.63800000000000001</v>
      </c>
    </row>
    <row r="479" spans="1:5">
      <c r="A479" s="34" t="s">
        <v>666</v>
      </c>
      <c r="B479">
        <v>0.67600000000000005</v>
      </c>
      <c r="D479" s="34" t="s">
        <v>666</v>
      </c>
      <c r="E479">
        <v>0.625</v>
      </c>
    </row>
    <row r="480" spans="1:5">
      <c r="A480" s="34" t="s">
        <v>667</v>
      </c>
      <c r="B480">
        <v>0.628</v>
      </c>
      <c r="D480" s="34" t="s">
        <v>667</v>
      </c>
      <c r="E480">
        <v>0.58799999999999997</v>
      </c>
    </row>
    <row r="481" spans="1:5">
      <c r="A481" s="34" t="s">
        <v>668</v>
      </c>
      <c r="B481">
        <v>0.628</v>
      </c>
      <c r="D481" s="34" t="s">
        <v>668</v>
      </c>
      <c r="E481">
        <v>0.58799999999999997</v>
      </c>
    </row>
    <row r="482" spans="1:5">
      <c r="A482" s="34" t="s">
        <v>669</v>
      </c>
      <c r="B482">
        <v>0.69099999999999995</v>
      </c>
      <c r="D482" s="34" t="s">
        <v>669</v>
      </c>
      <c r="E482">
        <v>0.63800000000000001</v>
      </c>
    </row>
    <row r="483" spans="1:5">
      <c r="A483" s="34" t="s">
        <v>670</v>
      </c>
      <c r="B483">
        <v>0.69899999999999995</v>
      </c>
      <c r="D483" s="34" t="s">
        <v>670</v>
      </c>
      <c r="E483">
        <v>0.65</v>
      </c>
    </row>
    <row r="484" spans="1:5">
      <c r="A484" s="34" t="s">
        <v>671</v>
      </c>
      <c r="B484">
        <v>0.69099999999999995</v>
      </c>
      <c r="D484" s="34" t="s">
        <v>671</v>
      </c>
      <c r="E484">
        <v>0.63800000000000001</v>
      </c>
    </row>
    <row r="485" spans="1:5">
      <c r="A485" s="34" t="s">
        <v>672</v>
      </c>
      <c r="B485">
        <v>0.66800000000000004</v>
      </c>
      <c r="D485" s="34" t="s">
        <v>672</v>
      </c>
      <c r="E485">
        <v>0.6</v>
      </c>
    </row>
    <row r="486" spans="1:5">
      <c r="A486" s="34" t="s">
        <v>673</v>
      </c>
      <c r="B486">
        <v>0.66800000000000004</v>
      </c>
      <c r="D486" s="34" t="s">
        <v>673</v>
      </c>
      <c r="E486">
        <v>0.6</v>
      </c>
    </row>
    <row r="487" spans="1:5">
      <c r="A487" s="34" t="s">
        <v>674</v>
      </c>
      <c r="B487">
        <v>0.69899999999999995</v>
      </c>
      <c r="D487" s="34" t="s">
        <v>674</v>
      </c>
      <c r="E487">
        <v>0.65</v>
      </c>
    </row>
    <row r="488" spans="1:5">
      <c r="A488" s="34" t="s">
        <v>592</v>
      </c>
      <c r="B488">
        <v>0.70199999999999996</v>
      </c>
      <c r="D488" s="34" t="s">
        <v>592</v>
      </c>
      <c r="E488">
        <v>0.66300000000000003</v>
      </c>
    </row>
    <row r="489" spans="1:5">
      <c r="A489" s="34" t="s">
        <v>675</v>
      </c>
      <c r="B489">
        <v>0.69899999999999995</v>
      </c>
      <c r="D489" s="34" t="s">
        <v>675</v>
      </c>
      <c r="E489">
        <v>0.65</v>
      </c>
    </row>
    <row r="490" spans="1:5">
      <c r="A490" s="34" t="s">
        <v>676</v>
      </c>
      <c r="B490">
        <v>0.69</v>
      </c>
      <c r="D490" s="34" t="s">
        <v>676</v>
      </c>
      <c r="E490">
        <v>0.61299999999999999</v>
      </c>
    </row>
    <row r="491" spans="1:5">
      <c r="A491" s="34" t="s">
        <v>677</v>
      </c>
      <c r="B491">
        <v>0.69</v>
      </c>
      <c r="D491" s="34" t="s">
        <v>677</v>
      </c>
      <c r="E491">
        <v>0.61299999999999999</v>
      </c>
    </row>
    <row r="492" spans="1:5">
      <c r="A492" s="34" t="s">
        <v>678</v>
      </c>
      <c r="B492">
        <v>0.70199999999999996</v>
      </c>
      <c r="D492" s="34" t="s">
        <v>678</v>
      </c>
      <c r="E492">
        <v>0.66300000000000003</v>
      </c>
    </row>
    <row r="493" spans="1:5">
      <c r="A493" s="34" t="s">
        <v>679</v>
      </c>
      <c r="B493">
        <v>0.70199999999999996</v>
      </c>
      <c r="D493" s="34" t="s">
        <v>679</v>
      </c>
      <c r="E493">
        <v>0.66300000000000003</v>
      </c>
    </row>
    <row r="494" spans="1:5">
      <c r="A494" s="34" t="s">
        <v>680</v>
      </c>
      <c r="B494">
        <v>0.66500000000000004</v>
      </c>
      <c r="D494" s="34" t="s">
        <v>680</v>
      </c>
      <c r="E494">
        <v>0.625</v>
      </c>
    </row>
    <row r="495" spans="1:5">
      <c r="A495" s="34" t="s">
        <v>681</v>
      </c>
      <c r="B495">
        <v>0.65200000000000002</v>
      </c>
      <c r="D495" s="34" t="s">
        <v>681</v>
      </c>
      <c r="E495">
        <v>0.61299999999999999</v>
      </c>
    </row>
    <row r="496" spans="1:5">
      <c r="A496" s="34" t="s">
        <v>682</v>
      </c>
      <c r="B496">
        <v>0.66500000000000004</v>
      </c>
      <c r="D496" s="34" t="s">
        <v>682</v>
      </c>
      <c r="E496">
        <v>0.625</v>
      </c>
    </row>
    <row r="497" spans="1:5">
      <c r="A497" s="34" t="s">
        <v>683</v>
      </c>
      <c r="B497">
        <v>0.71499999999999997</v>
      </c>
      <c r="D497" s="34" t="s">
        <v>683</v>
      </c>
      <c r="E497">
        <v>0.67500000000000004</v>
      </c>
    </row>
    <row r="498" spans="1:5">
      <c r="A498" s="34" t="s">
        <v>643</v>
      </c>
      <c r="B498">
        <v>0.72799999999999998</v>
      </c>
      <c r="D498" s="34" t="s">
        <v>643</v>
      </c>
      <c r="E498">
        <v>0.68799999999999994</v>
      </c>
    </row>
    <row r="499" spans="1:5">
      <c r="A499" s="34" t="s">
        <v>684</v>
      </c>
      <c r="B499">
        <v>0.71499999999999997</v>
      </c>
      <c r="D499" s="34" t="s">
        <v>684</v>
      </c>
      <c r="E499">
        <v>0.67500000000000004</v>
      </c>
    </row>
    <row r="500" spans="1:5">
      <c r="A500" s="34" t="s">
        <v>685</v>
      </c>
      <c r="B500">
        <v>0.67700000000000005</v>
      </c>
      <c r="D500" s="34" t="s">
        <v>685</v>
      </c>
      <c r="E500">
        <v>0.63800000000000001</v>
      </c>
    </row>
    <row r="501" spans="1:5">
      <c r="A501" s="34" t="s">
        <v>686</v>
      </c>
      <c r="B501">
        <v>0.67700000000000005</v>
      </c>
      <c r="D501" s="34" t="s">
        <v>686</v>
      </c>
      <c r="E501">
        <v>0.63800000000000001</v>
      </c>
    </row>
    <row r="502" spans="1:5">
      <c r="A502" s="34" t="s">
        <v>687</v>
      </c>
      <c r="B502">
        <v>0.72799999999999998</v>
      </c>
      <c r="D502" s="34" t="s">
        <v>687</v>
      </c>
      <c r="E502">
        <v>0.68799999999999994</v>
      </c>
    </row>
    <row r="503" spans="1:5">
      <c r="A503" s="34" t="s">
        <v>688</v>
      </c>
      <c r="B503">
        <v>0.74</v>
      </c>
      <c r="D503" s="34" t="s">
        <v>688</v>
      </c>
      <c r="E503">
        <v>0.7</v>
      </c>
    </row>
    <row r="504" spans="1:5">
      <c r="A504" s="34" t="s">
        <v>689</v>
      </c>
      <c r="B504">
        <v>0.72799999999999998</v>
      </c>
      <c r="D504" s="34" t="s">
        <v>689</v>
      </c>
      <c r="E504">
        <v>0.68799999999999994</v>
      </c>
    </row>
    <row r="505" spans="1:5">
      <c r="A505" s="34" t="s">
        <v>690</v>
      </c>
      <c r="B505">
        <v>0.69</v>
      </c>
      <c r="D505" s="34" t="s">
        <v>690</v>
      </c>
      <c r="E505">
        <v>0.65</v>
      </c>
    </row>
    <row r="506" spans="1:5">
      <c r="A506" s="34" t="s">
        <v>691</v>
      </c>
      <c r="B506">
        <v>0.69</v>
      </c>
      <c r="D506" s="34" t="s">
        <v>691</v>
      </c>
      <c r="E506">
        <v>0.65</v>
      </c>
    </row>
    <row r="507" spans="1:5">
      <c r="A507" s="34" t="s">
        <v>692</v>
      </c>
      <c r="B507">
        <v>0.74</v>
      </c>
      <c r="D507" s="34" t="s">
        <v>692</v>
      </c>
      <c r="E507">
        <v>0.7</v>
      </c>
    </row>
    <row r="508" spans="1:5">
      <c r="A508" s="34" t="s">
        <v>693</v>
      </c>
      <c r="B508">
        <v>0.70199999999999996</v>
      </c>
      <c r="D508" s="34" t="s">
        <v>693</v>
      </c>
      <c r="E508">
        <v>0.66300000000000003</v>
      </c>
    </row>
    <row r="509" spans="1:5">
      <c r="A509" s="34" t="s">
        <v>694</v>
      </c>
      <c r="B509">
        <v>0.70199999999999996</v>
      </c>
      <c r="D509" s="34" t="s">
        <v>694</v>
      </c>
      <c r="E509">
        <v>0.66300000000000003</v>
      </c>
    </row>
    <row r="510" spans="1:5">
      <c r="A510" s="34" t="s">
        <v>695</v>
      </c>
      <c r="B510">
        <v>0.74</v>
      </c>
      <c r="D510" s="34" t="s">
        <v>695</v>
      </c>
      <c r="E510">
        <v>0.7</v>
      </c>
    </row>
    <row r="511" spans="1:5">
      <c r="A511" s="34" t="s">
        <v>696</v>
      </c>
      <c r="B511">
        <v>0.753</v>
      </c>
      <c r="D511" s="34" t="s">
        <v>696</v>
      </c>
      <c r="E511">
        <v>0.71299999999999997</v>
      </c>
    </row>
    <row r="512" spans="1:5">
      <c r="A512" s="34" t="s">
        <v>697</v>
      </c>
      <c r="B512">
        <v>0.70199999999999996</v>
      </c>
      <c r="D512" s="34" t="s">
        <v>697</v>
      </c>
      <c r="E512">
        <v>0.66300000000000003</v>
      </c>
    </row>
    <row r="513" spans="1:5">
      <c r="A513" s="34" t="s">
        <v>698</v>
      </c>
      <c r="B513">
        <v>0.63900000000000001</v>
      </c>
      <c r="D513" s="34" t="s">
        <v>698</v>
      </c>
      <c r="E513">
        <v>0.61199999999999999</v>
      </c>
    </row>
    <row r="514" spans="1:5">
      <c r="A514" s="34" t="s">
        <v>699</v>
      </c>
      <c r="B514">
        <v>0.623</v>
      </c>
      <c r="D514" s="34" t="s">
        <v>699</v>
      </c>
      <c r="E514">
        <v>0.6</v>
      </c>
    </row>
    <row r="515" spans="1:5">
      <c r="A515" s="34" t="s">
        <v>700</v>
      </c>
      <c r="B515">
        <v>0.57599999999999996</v>
      </c>
      <c r="D515" s="34" t="s">
        <v>700</v>
      </c>
      <c r="E515">
        <v>0.56200000000000006</v>
      </c>
    </row>
    <row r="516" spans="1:5">
      <c r="A516" s="34" t="s">
        <v>701</v>
      </c>
      <c r="B516">
        <v>0.57599999999999996</v>
      </c>
      <c r="D516" s="34" t="s">
        <v>701</v>
      </c>
      <c r="E516">
        <v>0.56200000000000006</v>
      </c>
    </row>
    <row r="517" spans="1:5">
      <c r="A517" s="34" t="s">
        <v>702</v>
      </c>
      <c r="B517">
        <v>0.623</v>
      </c>
      <c r="D517" s="34" t="s">
        <v>702</v>
      </c>
      <c r="E517">
        <v>0.6</v>
      </c>
    </row>
    <row r="518" spans="1:5">
      <c r="A518" s="34" t="s">
        <v>703</v>
      </c>
      <c r="B518">
        <v>0.60799999999999998</v>
      </c>
      <c r="D518" s="34" t="s">
        <v>703</v>
      </c>
      <c r="E518">
        <v>0.58799999999999997</v>
      </c>
    </row>
    <row r="519" spans="1:5">
      <c r="A519" s="34" t="s">
        <v>704</v>
      </c>
      <c r="B519">
        <v>0.56000000000000005</v>
      </c>
      <c r="D519" s="34" t="s">
        <v>704</v>
      </c>
      <c r="E519">
        <v>0.55000000000000004</v>
      </c>
    </row>
    <row r="520" spans="1:5">
      <c r="A520" s="34" t="s">
        <v>705</v>
      </c>
      <c r="B520">
        <v>0.56000000000000005</v>
      </c>
      <c r="D520" s="34" t="s">
        <v>705</v>
      </c>
      <c r="E520">
        <v>0.55000000000000004</v>
      </c>
    </row>
    <row r="521" spans="1:5">
      <c r="A521" s="34" t="s">
        <v>706</v>
      </c>
      <c r="B521">
        <v>0.60799999999999998</v>
      </c>
      <c r="D521" s="34" t="s">
        <v>706</v>
      </c>
      <c r="E521">
        <v>0.58799999999999997</v>
      </c>
    </row>
    <row r="522" spans="1:5">
      <c r="A522" s="34" t="s">
        <v>707</v>
      </c>
      <c r="B522">
        <v>0.58199999999999996</v>
      </c>
      <c r="D522" s="34" t="s">
        <v>707</v>
      </c>
      <c r="E522">
        <v>0.56799999999999995</v>
      </c>
    </row>
    <row r="523" spans="1:5">
      <c r="A523" s="34" t="s">
        <v>708</v>
      </c>
      <c r="B523">
        <v>0.58899999999999997</v>
      </c>
      <c r="D523" s="34" t="s">
        <v>708</v>
      </c>
      <c r="E523">
        <v>0.57199999999999995</v>
      </c>
    </row>
    <row r="524" spans="1:5">
      <c r="A524" s="34" t="s">
        <v>709</v>
      </c>
      <c r="B524">
        <v>0.56999999999999995</v>
      </c>
      <c r="D524" s="34" t="s">
        <v>709</v>
      </c>
      <c r="E524">
        <v>0.55800000000000005</v>
      </c>
    </row>
    <row r="525" spans="1:5">
      <c r="A525" s="34" t="s">
        <v>710</v>
      </c>
      <c r="B525">
        <v>0.52500000000000002</v>
      </c>
      <c r="D525" s="34" t="s">
        <v>710</v>
      </c>
      <c r="E525">
        <v>0.52300000000000002</v>
      </c>
    </row>
    <row r="526" spans="1:5">
      <c r="A526" s="34" t="s">
        <v>711</v>
      </c>
      <c r="B526">
        <v>0.50600000000000001</v>
      </c>
      <c r="D526" s="34" t="s">
        <v>711</v>
      </c>
      <c r="E526">
        <v>0.50800000000000001</v>
      </c>
    </row>
    <row r="527" spans="1:5">
      <c r="A527" s="34" t="s">
        <v>712</v>
      </c>
      <c r="B527">
        <v>0.54400000000000004</v>
      </c>
      <c r="D527" s="34" t="s">
        <v>712</v>
      </c>
      <c r="E527">
        <v>0.53800000000000003</v>
      </c>
    </row>
    <row r="528" spans="1:5">
      <c r="A528" s="34" t="s">
        <v>713</v>
      </c>
      <c r="B528">
        <v>0.52500000000000002</v>
      </c>
      <c r="D528" s="34" t="s">
        <v>713</v>
      </c>
      <c r="E528">
        <v>0.52300000000000002</v>
      </c>
    </row>
    <row r="529" spans="1:5">
      <c r="A529" s="34" t="s">
        <v>714</v>
      </c>
      <c r="B529">
        <v>0.52500000000000002</v>
      </c>
      <c r="D529" s="34" t="s">
        <v>714</v>
      </c>
      <c r="E529">
        <v>0.52300000000000002</v>
      </c>
    </row>
    <row r="530" spans="1:5">
      <c r="A530" s="34" t="s">
        <v>715</v>
      </c>
      <c r="B530">
        <v>0.5</v>
      </c>
      <c r="D530" s="34" t="s">
        <v>715</v>
      </c>
      <c r="E530">
        <v>0.503</v>
      </c>
    </row>
    <row r="531" spans="1:5">
      <c r="A531" s="34" t="s">
        <v>550</v>
      </c>
      <c r="B531">
        <v>0.54600000000000004</v>
      </c>
      <c r="D531" s="34" t="s">
        <v>550</v>
      </c>
      <c r="E531">
        <v>0.51200000000000001</v>
      </c>
    </row>
    <row r="532" spans="1:5">
      <c r="A532" s="34" t="s">
        <v>716</v>
      </c>
      <c r="B532">
        <v>0.53</v>
      </c>
      <c r="D532" s="34" t="s">
        <v>716</v>
      </c>
      <c r="E532">
        <v>0.5</v>
      </c>
    </row>
    <row r="533" spans="1:5">
      <c r="A533" s="34" t="s">
        <v>717</v>
      </c>
      <c r="B533">
        <v>0.48299999999999998</v>
      </c>
      <c r="D533" s="34" t="s">
        <v>717</v>
      </c>
      <c r="E533">
        <v>0.46200000000000002</v>
      </c>
    </row>
    <row r="534" spans="1:5">
      <c r="A534" s="34" t="s">
        <v>718</v>
      </c>
      <c r="B534">
        <v>0.48299999999999998</v>
      </c>
      <c r="D534" s="34" t="s">
        <v>718</v>
      </c>
      <c r="E534">
        <v>0.46200000000000002</v>
      </c>
    </row>
    <row r="535" spans="1:5">
      <c r="A535" s="34" t="s">
        <v>719</v>
      </c>
      <c r="B535">
        <v>0.54600000000000004</v>
      </c>
      <c r="D535" s="34" t="s">
        <v>719</v>
      </c>
      <c r="E535">
        <v>0.51200000000000001</v>
      </c>
    </row>
    <row r="536" spans="1:5">
      <c r="A536" s="34" t="s">
        <v>720</v>
      </c>
      <c r="B536">
        <v>0.55400000000000005</v>
      </c>
      <c r="D536" s="34" t="s">
        <v>720</v>
      </c>
      <c r="E536">
        <v>0.52500000000000002</v>
      </c>
    </row>
    <row r="537" spans="1:5">
      <c r="A537" s="34" t="s">
        <v>721</v>
      </c>
      <c r="B537">
        <v>0.54600000000000004</v>
      </c>
      <c r="D537" s="34" t="s">
        <v>721</v>
      </c>
      <c r="E537">
        <v>0.51200000000000001</v>
      </c>
    </row>
    <row r="538" spans="1:5">
      <c r="A538" s="34" t="s">
        <v>722</v>
      </c>
      <c r="B538">
        <v>0.52200000000000002</v>
      </c>
      <c r="D538" s="34" t="s">
        <v>722</v>
      </c>
      <c r="E538">
        <v>0.47499999999999998</v>
      </c>
    </row>
    <row r="539" spans="1:5">
      <c r="A539" s="34" t="s">
        <v>723</v>
      </c>
      <c r="B539">
        <v>0.52200000000000002</v>
      </c>
      <c r="D539" s="34" t="s">
        <v>723</v>
      </c>
      <c r="E539">
        <v>0.47499999999999998</v>
      </c>
    </row>
    <row r="540" spans="1:5">
      <c r="A540" s="34" t="s">
        <v>724</v>
      </c>
      <c r="B540">
        <v>0.55400000000000005</v>
      </c>
      <c r="D540" s="34" t="s">
        <v>724</v>
      </c>
      <c r="E540">
        <v>0.52500000000000002</v>
      </c>
    </row>
    <row r="541" spans="1:5">
      <c r="A541" s="34" t="s">
        <v>602</v>
      </c>
      <c r="B541">
        <v>0.55700000000000005</v>
      </c>
      <c r="D541" s="34" t="s">
        <v>602</v>
      </c>
      <c r="E541">
        <v>0.53800000000000003</v>
      </c>
    </row>
    <row r="542" spans="1:5">
      <c r="A542" s="34" t="s">
        <v>725</v>
      </c>
      <c r="B542">
        <v>0.55400000000000005</v>
      </c>
      <c r="D542" s="34" t="s">
        <v>725</v>
      </c>
      <c r="E542">
        <v>0.52500000000000002</v>
      </c>
    </row>
    <row r="543" spans="1:5">
      <c r="A543" s="34" t="s">
        <v>726</v>
      </c>
      <c r="B543">
        <v>0.54400000000000004</v>
      </c>
      <c r="D543" s="34" t="s">
        <v>726</v>
      </c>
      <c r="E543">
        <v>0.48799999999999999</v>
      </c>
    </row>
    <row r="544" spans="1:5">
      <c r="A544" s="34" t="s">
        <v>727</v>
      </c>
      <c r="B544">
        <v>0.54400000000000004</v>
      </c>
      <c r="D544" s="34" t="s">
        <v>727</v>
      </c>
      <c r="E544">
        <v>0.48799999999999999</v>
      </c>
    </row>
    <row r="545" spans="1:5">
      <c r="A545" s="34" t="s">
        <v>728</v>
      </c>
      <c r="B545">
        <v>0.55700000000000005</v>
      </c>
      <c r="D545" s="34" t="s">
        <v>728</v>
      </c>
      <c r="E545">
        <v>0.53800000000000003</v>
      </c>
    </row>
    <row r="546" spans="1:5">
      <c r="A546" s="34" t="s">
        <v>729</v>
      </c>
      <c r="B546">
        <v>0.55700000000000005</v>
      </c>
      <c r="D546" s="34" t="s">
        <v>729</v>
      </c>
      <c r="E546">
        <v>0.53800000000000003</v>
      </c>
    </row>
    <row r="547" spans="1:5">
      <c r="A547" s="34" t="s">
        <v>730</v>
      </c>
      <c r="B547">
        <v>0.51900000000000002</v>
      </c>
      <c r="D547" s="34" t="s">
        <v>730</v>
      </c>
      <c r="E547">
        <v>0.5</v>
      </c>
    </row>
    <row r="548" spans="1:5">
      <c r="A548" s="34" t="s">
        <v>731</v>
      </c>
      <c r="B548">
        <v>0.50600000000000001</v>
      </c>
      <c r="D548" s="34" t="s">
        <v>731</v>
      </c>
      <c r="E548">
        <v>0.48799999999999999</v>
      </c>
    </row>
    <row r="549" spans="1:5">
      <c r="A549" s="34" t="s">
        <v>732</v>
      </c>
      <c r="B549">
        <v>0.51900000000000002</v>
      </c>
      <c r="D549" s="34" t="s">
        <v>732</v>
      </c>
      <c r="E549">
        <v>0.5</v>
      </c>
    </row>
    <row r="550" spans="1:5">
      <c r="A550" s="34" t="s">
        <v>733</v>
      </c>
      <c r="B550">
        <v>0.56999999999999995</v>
      </c>
      <c r="D550" s="34" t="s">
        <v>733</v>
      </c>
      <c r="E550">
        <v>0.55000000000000004</v>
      </c>
    </row>
    <row r="551" spans="1:5">
      <c r="A551" s="34" t="s">
        <v>653</v>
      </c>
      <c r="B551">
        <v>0.58199999999999996</v>
      </c>
      <c r="D551" s="34" t="s">
        <v>653</v>
      </c>
      <c r="E551">
        <v>0.56200000000000006</v>
      </c>
    </row>
    <row r="552" spans="1:5">
      <c r="A552" s="34" t="s">
        <v>734</v>
      </c>
      <c r="B552">
        <v>0.56999999999999995</v>
      </c>
      <c r="D552" s="34" t="s">
        <v>734</v>
      </c>
      <c r="E552">
        <v>0.55000000000000004</v>
      </c>
    </row>
    <row r="553" spans="1:5">
      <c r="A553" s="34" t="s">
        <v>735</v>
      </c>
      <c r="B553">
        <v>0.53200000000000003</v>
      </c>
      <c r="D553" s="34" t="s">
        <v>735</v>
      </c>
      <c r="E553">
        <v>0.51200000000000001</v>
      </c>
    </row>
    <row r="554" spans="1:5">
      <c r="A554" s="34" t="s">
        <v>736</v>
      </c>
      <c r="B554">
        <v>0.53200000000000003</v>
      </c>
      <c r="D554" s="34" t="s">
        <v>736</v>
      </c>
      <c r="E554">
        <v>0.51200000000000001</v>
      </c>
    </row>
    <row r="555" spans="1:5">
      <c r="A555" s="34" t="s">
        <v>737</v>
      </c>
      <c r="B555">
        <v>0.58199999999999996</v>
      </c>
      <c r="D555" s="34" t="s">
        <v>737</v>
      </c>
      <c r="E555">
        <v>0.56200000000000006</v>
      </c>
    </row>
    <row r="556" spans="1:5">
      <c r="A556" s="34" t="s">
        <v>738</v>
      </c>
      <c r="B556">
        <v>0.59499999999999997</v>
      </c>
      <c r="D556" s="34" t="s">
        <v>738</v>
      </c>
      <c r="E556">
        <v>0.57499999999999996</v>
      </c>
    </row>
    <row r="557" spans="1:5">
      <c r="A557" s="34" t="s">
        <v>739</v>
      </c>
      <c r="B557">
        <v>0.58199999999999996</v>
      </c>
      <c r="D557" s="34" t="s">
        <v>739</v>
      </c>
      <c r="E557">
        <v>0.56200000000000006</v>
      </c>
    </row>
    <row r="558" spans="1:5">
      <c r="A558" s="34" t="s">
        <v>740</v>
      </c>
      <c r="B558">
        <v>0.54400000000000004</v>
      </c>
      <c r="D558" s="34" t="s">
        <v>740</v>
      </c>
      <c r="E558">
        <v>0.52500000000000002</v>
      </c>
    </row>
    <row r="559" spans="1:5">
      <c r="A559" s="34" t="s">
        <v>741</v>
      </c>
      <c r="B559">
        <v>0.54400000000000004</v>
      </c>
      <c r="D559" s="34" t="s">
        <v>741</v>
      </c>
      <c r="E559">
        <v>0.52500000000000002</v>
      </c>
    </row>
    <row r="560" spans="1:5">
      <c r="A560" s="34" t="s">
        <v>742</v>
      </c>
      <c r="B560">
        <v>0.59499999999999997</v>
      </c>
      <c r="D560" s="34" t="s">
        <v>742</v>
      </c>
      <c r="E560">
        <v>0.57499999999999996</v>
      </c>
    </row>
    <row r="561" spans="1:5">
      <c r="A561" s="34" t="s">
        <v>703</v>
      </c>
      <c r="B561">
        <v>0.60799999999999998</v>
      </c>
      <c r="D561" s="34" t="s">
        <v>703</v>
      </c>
      <c r="E561">
        <v>0.58799999999999997</v>
      </c>
    </row>
    <row r="562" spans="1:5">
      <c r="A562" s="34" t="s">
        <v>743</v>
      </c>
      <c r="B562">
        <v>0.59499999999999997</v>
      </c>
      <c r="D562" s="34" t="s">
        <v>743</v>
      </c>
      <c r="E562">
        <v>0.57499999999999996</v>
      </c>
    </row>
    <row r="563" spans="1:5">
      <c r="A563" s="34" t="s">
        <v>744</v>
      </c>
      <c r="B563">
        <v>0.55700000000000005</v>
      </c>
      <c r="D563" s="34" t="s">
        <v>744</v>
      </c>
      <c r="E563">
        <v>0.53800000000000003</v>
      </c>
    </row>
    <row r="564" spans="1:5">
      <c r="A564" s="34" t="s">
        <v>745</v>
      </c>
      <c r="B564">
        <v>0.55700000000000005</v>
      </c>
      <c r="D564" s="34" t="s">
        <v>745</v>
      </c>
      <c r="E564">
        <v>0.53800000000000003</v>
      </c>
    </row>
    <row r="565" spans="1:5">
      <c r="A565" s="34" t="s">
        <v>746</v>
      </c>
      <c r="B565">
        <v>0.60799999999999998</v>
      </c>
      <c r="D565" s="34" t="s">
        <v>746</v>
      </c>
      <c r="E565">
        <v>0.58799999999999997</v>
      </c>
    </row>
    <row r="566" spans="1:5">
      <c r="A566" s="34" t="s">
        <v>747</v>
      </c>
      <c r="B566">
        <v>0.67100000000000004</v>
      </c>
      <c r="D566" s="34" t="s">
        <v>747</v>
      </c>
      <c r="E566">
        <v>0.63800000000000001</v>
      </c>
    </row>
    <row r="567" spans="1:5">
      <c r="A567" s="34" t="s">
        <v>748</v>
      </c>
      <c r="B567">
        <v>0.68700000000000006</v>
      </c>
      <c r="D567" s="34" t="s">
        <v>748</v>
      </c>
      <c r="E567">
        <v>0.65</v>
      </c>
    </row>
    <row r="568" spans="1:5">
      <c r="A568" s="34" t="s">
        <v>749</v>
      </c>
      <c r="B568">
        <v>0.67100000000000004</v>
      </c>
      <c r="D568" s="34" t="s">
        <v>749</v>
      </c>
      <c r="E568">
        <v>0.63800000000000001</v>
      </c>
    </row>
    <row r="569" spans="1:5">
      <c r="A569" s="34" t="s">
        <v>750</v>
      </c>
      <c r="B569">
        <v>0.623</v>
      </c>
      <c r="D569" s="34" t="s">
        <v>750</v>
      </c>
      <c r="E569">
        <v>0.6</v>
      </c>
    </row>
    <row r="570" spans="1:5">
      <c r="A570" s="34" t="s">
        <v>751</v>
      </c>
      <c r="B570">
        <v>0.623</v>
      </c>
      <c r="D570" s="34" t="s">
        <v>751</v>
      </c>
      <c r="E570">
        <v>0.6</v>
      </c>
    </row>
    <row r="571" spans="1:5">
      <c r="A571" s="34" t="s">
        <v>752</v>
      </c>
      <c r="B571">
        <v>0.57599999999999996</v>
      </c>
      <c r="D571" s="34" t="s">
        <v>752</v>
      </c>
      <c r="E571">
        <v>0.56200000000000006</v>
      </c>
    </row>
    <row r="572" spans="1:5">
      <c r="A572" s="34" t="s">
        <v>753</v>
      </c>
      <c r="B572">
        <v>0.57599999999999996</v>
      </c>
      <c r="D572" s="34" t="s">
        <v>753</v>
      </c>
      <c r="E572">
        <v>0.56200000000000006</v>
      </c>
    </row>
    <row r="573" spans="1:5">
      <c r="A573" s="34" t="s">
        <v>754</v>
      </c>
      <c r="B573">
        <v>0.623</v>
      </c>
      <c r="D573" s="34" t="s">
        <v>754</v>
      </c>
      <c r="E573">
        <v>0.6</v>
      </c>
    </row>
    <row r="574" spans="1:5">
      <c r="A574" s="34" t="s">
        <v>755</v>
      </c>
      <c r="B574">
        <v>0.63900000000000001</v>
      </c>
      <c r="D574" s="34" t="s">
        <v>755</v>
      </c>
      <c r="E574">
        <v>0.61199999999999999</v>
      </c>
    </row>
    <row r="575" spans="1:5">
      <c r="A575" s="34" t="s">
        <v>756</v>
      </c>
      <c r="B575">
        <v>0.61399999999999999</v>
      </c>
      <c r="D575" s="34" t="s">
        <v>756</v>
      </c>
      <c r="E575">
        <v>0.59199999999999997</v>
      </c>
    </row>
    <row r="576" spans="1:5">
      <c r="A576" s="34" t="s">
        <v>757</v>
      </c>
      <c r="B576">
        <v>0.62</v>
      </c>
      <c r="D576" s="34" t="s">
        <v>757</v>
      </c>
      <c r="E576">
        <v>0.59799999999999998</v>
      </c>
    </row>
    <row r="577" spans="1:5">
      <c r="A577" s="34" t="s">
        <v>758</v>
      </c>
      <c r="B577">
        <v>0.60099999999999998</v>
      </c>
      <c r="D577" s="34" t="s">
        <v>758</v>
      </c>
      <c r="E577">
        <v>0.58199999999999996</v>
      </c>
    </row>
    <row r="578" spans="1:5">
      <c r="A578" s="34" t="s">
        <v>759</v>
      </c>
      <c r="B578">
        <v>0.55700000000000005</v>
      </c>
      <c r="D578" s="34" t="s">
        <v>759</v>
      </c>
      <c r="E578">
        <v>0.54800000000000004</v>
      </c>
    </row>
    <row r="579" spans="1:5">
      <c r="A579" s="34" t="s">
        <v>760</v>
      </c>
      <c r="B579">
        <v>0.53800000000000003</v>
      </c>
      <c r="D579" s="34" t="s">
        <v>760</v>
      </c>
      <c r="E579">
        <v>0.53200000000000003</v>
      </c>
    </row>
    <row r="580" spans="1:5">
      <c r="A580" s="34" t="s">
        <v>761</v>
      </c>
      <c r="B580">
        <v>0.57599999999999996</v>
      </c>
      <c r="D580" s="34" t="s">
        <v>761</v>
      </c>
      <c r="E580">
        <v>0.56200000000000006</v>
      </c>
    </row>
    <row r="581" spans="1:5">
      <c r="A581" s="34" t="s">
        <v>762</v>
      </c>
      <c r="B581">
        <v>0.55700000000000005</v>
      </c>
      <c r="D581" s="34" t="s">
        <v>762</v>
      </c>
      <c r="E581">
        <v>0.54800000000000004</v>
      </c>
    </row>
    <row r="582" spans="1:5">
      <c r="A582" s="34" t="s">
        <v>763</v>
      </c>
      <c r="B582">
        <v>0.55700000000000005</v>
      </c>
      <c r="D582" s="34" t="s">
        <v>763</v>
      </c>
      <c r="E582">
        <v>0.54800000000000004</v>
      </c>
    </row>
    <row r="583" spans="1:5">
      <c r="A583" s="34" t="s">
        <v>764</v>
      </c>
      <c r="B583">
        <v>0.53200000000000003</v>
      </c>
      <c r="D583" s="34" t="s">
        <v>764</v>
      </c>
      <c r="E583">
        <v>0.52800000000000002</v>
      </c>
    </row>
    <row r="584" spans="1:5">
      <c r="A584" s="34" t="s">
        <v>560</v>
      </c>
      <c r="B584">
        <v>0.46400000000000002</v>
      </c>
      <c r="D584" s="34" t="s">
        <v>560</v>
      </c>
      <c r="E584">
        <v>0.44700000000000001</v>
      </c>
    </row>
    <row r="585" spans="1:5">
      <c r="A585" s="34" t="s">
        <v>765</v>
      </c>
      <c r="B585">
        <v>0.44800000000000001</v>
      </c>
      <c r="D585" s="34" t="s">
        <v>765</v>
      </c>
      <c r="E585">
        <v>0.435</v>
      </c>
    </row>
    <row r="586" spans="1:5">
      <c r="A586" s="34" t="s">
        <v>766</v>
      </c>
      <c r="B586">
        <v>0.4</v>
      </c>
      <c r="D586" s="34" t="s">
        <v>766</v>
      </c>
      <c r="E586">
        <v>0.39800000000000002</v>
      </c>
    </row>
    <row r="587" spans="1:5">
      <c r="A587" s="34" t="s">
        <v>767</v>
      </c>
      <c r="B587">
        <v>0.4</v>
      </c>
      <c r="D587" s="34" t="s">
        <v>767</v>
      </c>
      <c r="E587">
        <v>0.39800000000000002</v>
      </c>
    </row>
    <row r="588" spans="1:5">
      <c r="A588" s="34" t="s">
        <v>768</v>
      </c>
      <c r="B588">
        <v>0.46400000000000002</v>
      </c>
      <c r="D588" s="34" t="s">
        <v>768</v>
      </c>
      <c r="E588">
        <v>0.44700000000000001</v>
      </c>
    </row>
    <row r="589" spans="1:5">
      <c r="A589" s="34" t="s">
        <v>769</v>
      </c>
      <c r="B589">
        <v>0.47099999999999997</v>
      </c>
      <c r="D589" s="34" t="s">
        <v>769</v>
      </c>
      <c r="E589">
        <v>0.46</v>
      </c>
    </row>
    <row r="590" spans="1:5">
      <c r="A590" s="34" t="s">
        <v>770</v>
      </c>
      <c r="B590">
        <v>0.46400000000000002</v>
      </c>
      <c r="D590" s="34" t="s">
        <v>770</v>
      </c>
      <c r="E590">
        <v>0.44700000000000001</v>
      </c>
    </row>
    <row r="591" spans="1:5">
      <c r="A591" s="34" t="s">
        <v>771</v>
      </c>
      <c r="B591">
        <v>0.44</v>
      </c>
      <c r="D591" s="34" t="s">
        <v>771</v>
      </c>
      <c r="E591">
        <v>0.41</v>
      </c>
    </row>
    <row r="592" spans="1:5">
      <c r="A592" s="34" t="s">
        <v>772</v>
      </c>
      <c r="B592">
        <v>0.44</v>
      </c>
      <c r="D592" s="34" t="s">
        <v>772</v>
      </c>
      <c r="E592">
        <v>0.41</v>
      </c>
    </row>
    <row r="593" spans="1:5">
      <c r="A593" s="34" t="s">
        <v>773</v>
      </c>
      <c r="B593">
        <v>0.47099999999999997</v>
      </c>
      <c r="D593" s="34" t="s">
        <v>773</v>
      </c>
      <c r="E593">
        <v>0.46</v>
      </c>
    </row>
    <row r="594" spans="1:5">
      <c r="A594" s="34" t="s">
        <v>612</v>
      </c>
      <c r="B594">
        <v>0.47499999999999998</v>
      </c>
      <c r="D594" s="34" t="s">
        <v>612</v>
      </c>
      <c r="E594">
        <v>0.47199999999999998</v>
      </c>
    </row>
    <row r="595" spans="1:5">
      <c r="A595" s="34" t="s">
        <v>774</v>
      </c>
      <c r="B595">
        <v>0.47099999999999997</v>
      </c>
      <c r="D595" s="34" t="s">
        <v>774</v>
      </c>
      <c r="E595">
        <v>0.46</v>
      </c>
    </row>
    <row r="596" spans="1:5">
      <c r="A596" s="34" t="s">
        <v>775</v>
      </c>
      <c r="B596">
        <v>0.46200000000000002</v>
      </c>
      <c r="D596" s="34" t="s">
        <v>775</v>
      </c>
      <c r="E596">
        <v>0.42299999999999999</v>
      </c>
    </row>
    <row r="597" spans="1:5">
      <c r="A597" s="34" t="s">
        <v>776</v>
      </c>
      <c r="B597">
        <v>0.46200000000000002</v>
      </c>
      <c r="D597" s="34" t="s">
        <v>776</v>
      </c>
      <c r="E597">
        <v>0.42299999999999999</v>
      </c>
    </row>
    <row r="598" spans="1:5">
      <c r="A598" s="34" t="s">
        <v>777</v>
      </c>
      <c r="B598">
        <v>0.47499999999999998</v>
      </c>
      <c r="D598" s="34" t="s">
        <v>777</v>
      </c>
      <c r="E598">
        <v>0.47199999999999998</v>
      </c>
    </row>
    <row r="599" spans="1:5">
      <c r="A599" s="34" t="s">
        <v>778</v>
      </c>
      <c r="B599">
        <v>0.47499999999999998</v>
      </c>
      <c r="D599" s="34" t="s">
        <v>778</v>
      </c>
      <c r="E599">
        <v>0.47199999999999998</v>
      </c>
    </row>
    <row r="600" spans="1:5">
      <c r="A600" s="34" t="s">
        <v>779</v>
      </c>
      <c r="B600">
        <v>0.437</v>
      </c>
      <c r="D600" s="34" t="s">
        <v>779</v>
      </c>
      <c r="E600">
        <v>0.435</v>
      </c>
    </row>
    <row r="601" spans="1:5">
      <c r="A601" s="34" t="s">
        <v>780</v>
      </c>
      <c r="B601">
        <v>0.42399999999999999</v>
      </c>
      <c r="D601" s="34" t="s">
        <v>780</v>
      </c>
      <c r="E601">
        <v>0.42299999999999999</v>
      </c>
    </row>
    <row r="602" spans="1:5">
      <c r="A602" s="34" t="s">
        <v>781</v>
      </c>
      <c r="B602">
        <v>0.437</v>
      </c>
      <c r="D602" s="34" t="s">
        <v>781</v>
      </c>
      <c r="E602">
        <v>0.435</v>
      </c>
    </row>
    <row r="603" spans="1:5">
      <c r="A603" s="34" t="s">
        <v>782</v>
      </c>
      <c r="B603">
        <v>0.48699999999999999</v>
      </c>
      <c r="D603" s="34" t="s">
        <v>782</v>
      </c>
      <c r="E603">
        <v>0.48499999999999999</v>
      </c>
    </row>
    <row r="604" spans="1:5">
      <c r="A604" s="34" t="s">
        <v>663</v>
      </c>
      <c r="B604">
        <v>0.5</v>
      </c>
      <c r="D604" s="34" t="s">
        <v>663</v>
      </c>
      <c r="E604">
        <v>0.498</v>
      </c>
    </row>
    <row r="605" spans="1:5">
      <c r="A605" s="34" t="s">
        <v>783</v>
      </c>
      <c r="B605">
        <v>0.48699999999999999</v>
      </c>
      <c r="D605" s="34" t="s">
        <v>783</v>
      </c>
      <c r="E605">
        <v>0.48499999999999999</v>
      </c>
    </row>
    <row r="606" spans="1:5">
      <c r="A606" s="34" t="s">
        <v>784</v>
      </c>
      <c r="B606">
        <v>0.44900000000000001</v>
      </c>
      <c r="D606" s="34" t="s">
        <v>784</v>
      </c>
      <c r="E606">
        <v>0.44700000000000001</v>
      </c>
    </row>
    <row r="607" spans="1:5">
      <c r="A607" s="34" t="s">
        <v>785</v>
      </c>
      <c r="B607">
        <v>0.44900000000000001</v>
      </c>
      <c r="D607" s="34" t="s">
        <v>785</v>
      </c>
      <c r="E607">
        <v>0.44700000000000001</v>
      </c>
    </row>
    <row r="608" spans="1:5">
      <c r="A608" s="34" t="s">
        <v>786</v>
      </c>
      <c r="B608">
        <v>0.5</v>
      </c>
      <c r="D608" s="34" t="s">
        <v>786</v>
      </c>
      <c r="E608">
        <v>0.498</v>
      </c>
    </row>
    <row r="609" spans="1:5">
      <c r="A609" s="34" t="s">
        <v>787</v>
      </c>
      <c r="B609">
        <v>0.51300000000000001</v>
      </c>
      <c r="D609" s="34" t="s">
        <v>787</v>
      </c>
      <c r="E609">
        <v>0.51</v>
      </c>
    </row>
    <row r="610" spans="1:5">
      <c r="A610" s="34" t="s">
        <v>788</v>
      </c>
      <c r="B610">
        <v>0.5</v>
      </c>
      <c r="D610" s="34" t="s">
        <v>788</v>
      </c>
      <c r="E610">
        <v>0.498</v>
      </c>
    </row>
    <row r="611" spans="1:5">
      <c r="A611" s="34" t="s">
        <v>789</v>
      </c>
      <c r="B611">
        <v>0.46200000000000002</v>
      </c>
      <c r="D611" s="34" t="s">
        <v>789</v>
      </c>
      <c r="E611">
        <v>0.46</v>
      </c>
    </row>
    <row r="612" spans="1:5">
      <c r="A612" s="34" t="s">
        <v>790</v>
      </c>
      <c r="B612">
        <v>0.46200000000000002</v>
      </c>
      <c r="D612" s="34" t="s">
        <v>790</v>
      </c>
      <c r="E612">
        <v>0.46</v>
      </c>
    </row>
    <row r="613" spans="1:5">
      <c r="A613" s="34" t="s">
        <v>791</v>
      </c>
      <c r="B613">
        <v>0.51300000000000001</v>
      </c>
      <c r="D613" s="34" t="s">
        <v>791</v>
      </c>
      <c r="E613">
        <v>0.51</v>
      </c>
    </row>
    <row r="614" spans="1:5">
      <c r="A614" s="34" t="s">
        <v>713</v>
      </c>
      <c r="B614">
        <v>0.52500000000000002</v>
      </c>
      <c r="D614" s="34" t="s">
        <v>713</v>
      </c>
      <c r="E614">
        <v>0.52300000000000002</v>
      </c>
    </row>
    <row r="615" spans="1:5">
      <c r="A615" s="34" t="s">
        <v>792</v>
      </c>
      <c r="B615">
        <v>0.51300000000000001</v>
      </c>
      <c r="D615" s="34" t="s">
        <v>792</v>
      </c>
      <c r="E615">
        <v>0.51</v>
      </c>
    </row>
    <row r="616" spans="1:5">
      <c r="A616" s="34" t="s">
        <v>793</v>
      </c>
      <c r="B616">
        <v>0.47499999999999998</v>
      </c>
      <c r="D616" s="34" t="s">
        <v>793</v>
      </c>
      <c r="E616">
        <v>0.47199999999999998</v>
      </c>
    </row>
    <row r="617" spans="1:5">
      <c r="A617" s="34" t="s">
        <v>794</v>
      </c>
      <c r="B617">
        <v>0.47499999999999998</v>
      </c>
      <c r="D617" s="34" t="s">
        <v>794</v>
      </c>
      <c r="E617">
        <v>0.47199999999999998</v>
      </c>
    </row>
    <row r="618" spans="1:5">
      <c r="A618" s="34" t="s">
        <v>795</v>
      </c>
      <c r="B618">
        <v>0.52500000000000002</v>
      </c>
      <c r="D618" s="34" t="s">
        <v>795</v>
      </c>
      <c r="E618">
        <v>0.52300000000000002</v>
      </c>
    </row>
    <row r="619" spans="1:5">
      <c r="A619" s="34" t="s">
        <v>796</v>
      </c>
      <c r="B619">
        <v>0.58899999999999997</v>
      </c>
      <c r="D619" s="34" t="s">
        <v>796</v>
      </c>
      <c r="E619">
        <v>0.57199999999999995</v>
      </c>
    </row>
    <row r="620" spans="1:5">
      <c r="A620" s="34" t="s">
        <v>797</v>
      </c>
      <c r="B620">
        <v>0.60399999999999998</v>
      </c>
      <c r="D620" s="34" t="s">
        <v>797</v>
      </c>
      <c r="E620">
        <v>0.58499999999999996</v>
      </c>
    </row>
    <row r="621" spans="1:5">
      <c r="A621" s="34" t="s">
        <v>798</v>
      </c>
      <c r="B621">
        <v>0.58899999999999997</v>
      </c>
      <c r="D621" s="34" t="s">
        <v>798</v>
      </c>
      <c r="E621">
        <v>0.57199999999999995</v>
      </c>
    </row>
    <row r="622" spans="1:5">
      <c r="A622" s="34" t="s">
        <v>799</v>
      </c>
      <c r="B622">
        <v>0.54100000000000004</v>
      </c>
      <c r="D622" s="34" t="s">
        <v>799</v>
      </c>
      <c r="E622">
        <v>0.53500000000000003</v>
      </c>
    </row>
    <row r="623" spans="1:5">
      <c r="A623" s="34" t="s">
        <v>800</v>
      </c>
      <c r="B623">
        <v>0.54100000000000004</v>
      </c>
      <c r="D623" s="34" t="s">
        <v>800</v>
      </c>
      <c r="E623">
        <v>0.53500000000000003</v>
      </c>
    </row>
    <row r="624" spans="1:5">
      <c r="A624" s="34" t="s">
        <v>762</v>
      </c>
      <c r="B624">
        <v>0.55700000000000005</v>
      </c>
      <c r="D624" s="34" t="s">
        <v>762</v>
      </c>
      <c r="E624">
        <v>0.54800000000000004</v>
      </c>
    </row>
    <row r="625" spans="1:5">
      <c r="A625" s="34" t="s">
        <v>801</v>
      </c>
      <c r="B625">
        <v>0.54100000000000004</v>
      </c>
      <c r="D625" s="34" t="s">
        <v>801</v>
      </c>
      <c r="E625">
        <v>0.53500000000000003</v>
      </c>
    </row>
    <row r="626" spans="1:5">
      <c r="A626" s="34" t="s">
        <v>802</v>
      </c>
      <c r="B626">
        <v>0.49399999999999999</v>
      </c>
      <c r="D626" s="34" t="s">
        <v>802</v>
      </c>
      <c r="E626">
        <v>0.498</v>
      </c>
    </row>
    <row r="627" spans="1:5">
      <c r="A627" s="34" t="s">
        <v>803</v>
      </c>
      <c r="B627">
        <v>0.49399999999999999</v>
      </c>
      <c r="D627" s="34" t="s">
        <v>803</v>
      </c>
      <c r="E627">
        <v>0.498</v>
      </c>
    </row>
    <row r="628" spans="1:5">
      <c r="A628" s="34" t="s">
        <v>804</v>
      </c>
      <c r="B628">
        <v>0.53200000000000003</v>
      </c>
      <c r="D628" s="34" t="s">
        <v>804</v>
      </c>
      <c r="E628">
        <v>0.52800000000000002</v>
      </c>
    </row>
    <row r="629" spans="1:5">
      <c r="A629" s="34" t="s">
        <v>805</v>
      </c>
      <c r="B629">
        <v>0.50600000000000001</v>
      </c>
      <c r="D629" s="34" t="s">
        <v>805</v>
      </c>
      <c r="E629">
        <v>0.50800000000000001</v>
      </c>
    </row>
    <row r="630" spans="1:5">
      <c r="A630" s="34" t="s">
        <v>806</v>
      </c>
      <c r="B630">
        <v>0.51300000000000001</v>
      </c>
      <c r="D630" s="34" t="s">
        <v>806</v>
      </c>
      <c r="E630">
        <v>0.51200000000000001</v>
      </c>
    </row>
    <row r="631" spans="1:5">
      <c r="A631" s="34" t="s">
        <v>807</v>
      </c>
      <c r="B631">
        <v>0.53800000000000003</v>
      </c>
      <c r="D631" s="34" t="s">
        <v>807</v>
      </c>
      <c r="E631">
        <v>0.53200000000000003</v>
      </c>
    </row>
    <row r="632" spans="1:5">
      <c r="A632" s="34" t="s">
        <v>808</v>
      </c>
      <c r="B632">
        <v>0.49399999999999999</v>
      </c>
      <c r="D632" s="34" t="s">
        <v>808</v>
      </c>
      <c r="E632">
        <v>0.497</v>
      </c>
    </row>
    <row r="633" spans="1:5">
      <c r="A633" s="34" t="s">
        <v>809</v>
      </c>
      <c r="B633">
        <v>0.47499999999999998</v>
      </c>
      <c r="D633" s="34" t="s">
        <v>809</v>
      </c>
      <c r="E633">
        <v>0.48199999999999998</v>
      </c>
    </row>
    <row r="634" spans="1:5">
      <c r="A634" s="34" t="s">
        <v>810</v>
      </c>
      <c r="B634">
        <v>0.47499999999999998</v>
      </c>
      <c r="D634" s="34" t="s">
        <v>810</v>
      </c>
      <c r="E634">
        <v>0.48199999999999998</v>
      </c>
    </row>
    <row r="635" spans="1:5">
      <c r="A635" s="34" t="s">
        <v>811</v>
      </c>
      <c r="B635">
        <v>0.44900000000000001</v>
      </c>
      <c r="D635" s="34" t="s">
        <v>811</v>
      </c>
      <c r="E635">
        <v>0.46200000000000002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dimension ref="A1:H32"/>
  <sheetViews>
    <sheetView topLeftCell="A7" zoomScale="120" zoomScaleNormal="120" workbookViewId="0">
      <selection activeCell="F33" sqref="F33"/>
    </sheetView>
  </sheetViews>
  <sheetFormatPr defaultRowHeight="15"/>
  <sheetData>
    <row r="1" spans="1:8">
      <c r="A1" s="34" t="s">
        <v>527</v>
      </c>
      <c r="B1">
        <v>0.84299999999999997</v>
      </c>
      <c r="D1" s="34" t="s">
        <v>527</v>
      </c>
      <c r="E1">
        <v>0.78800000000000003</v>
      </c>
      <c r="H1" t="str">
        <f>CONCATENATE(A1,B1)</f>
        <v>0,0,1,0,0,1,0,0,0,1,0,0,1,0,0,0,1,0,0,1,0,1,0,0,0,0,0,1,0,0,1,0,0,1,0,0,0,1,0,0,1,0,0,0,1,0,0,1,0,1,0,0,0,1,0,0,0,0,1,0,0,1,0,0,0,0,1,0,0,0,0,1,0,0,0,1,0,0,0,1,0,1,0,0,0,0,1,0,1,0,0,0,0,1,0,0,0,1,0,0,1,0,0,1,0,0,1,0,0,0,1,0,0,1,0,0,0,1,0,0,1,0,1,0,0,0,1,0,0,0,0,1,0,0,1,0,0,0,0,1,0,0,0,0,1,0,0.843</v>
      </c>
    </row>
    <row r="2" spans="1:8">
      <c r="A2" s="34" t="s">
        <v>454</v>
      </c>
      <c r="B2">
        <v>0.93300000000000005</v>
      </c>
      <c r="D2" s="34" t="s">
        <v>454</v>
      </c>
      <c r="E2">
        <v>0.93799999999999994</v>
      </c>
      <c r="H2" t="str">
        <f t="shared" ref="H2:H31" si="0">CONCATENATE(A2,B2)</f>
        <v>0,0,1,0,0,1,0,0,0,1,0,0,1,0,0,0,1,0,0,1,0,1,0,0,0,0,0,1,0,0,1,0,0,1,0,0,0,1,0,0,1,0,0,0,1,0,0,1,0,1,0,0,0,1,0,0,0,0,1,0,0,1,0,0,0,0,1,0,0,0,0,1,0,0,0,1,0,0,1,0,0,0,1,0,0,1,0,0,0,1,0,0,1,0,1,0,0,0,0,0,1,0,0,1,0,0,1,0,0,0,1,0,0,1,0,0,0,1,0,0,0,1,1,0,0,0,1,0,0,0,0,0,1,0,1,0,0,0,0,1,0,0,0,0,1,0,0.933</v>
      </c>
    </row>
    <row r="3" spans="1:8">
      <c r="A3" s="34" t="s">
        <v>455</v>
      </c>
      <c r="B3">
        <v>0.92100000000000004</v>
      </c>
      <c r="D3" s="34" t="s">
        <v>455</v>
      </c>
      <c r="E3">
        <v>0.93799999999999994</v>
      </c>
      <c r="H3" t="str">
        <f t="shared" si="0"/>
        <v>0,0,1,0,0,1,0,0,0,1,0,0,1,0,0,0,1,0,0,1,0,1,0,0,0,0,0,1,0,0,1,0,0,1,0,0,0,1,0,0,1,0,0,0,1,0,0,1,0,1,0,0,0,1,0,0,0,0,1,0,0,1,0,0,0,0,1,0,0,0,0,1,0,0,0,1,0,0,1,0,0,0,1,0,0,1,0,0,0,1,0,0,1,0,1,0,0,0,0,0,1,0,0,1,0,0,1,0,0,0,1,0,0,1,0,0,0,1,0,0,1,0,0,1,0,0,1,0,0,0,0,0,1,0,1,0,0,0,0,1,0,0,0,0,1,0,0.921</v>
      </c>
    </row>
    <row r="4" spans="1:8">
      <c r="A4" s="34" t="s">
        <v>292</v>
      </c>
      <c r="B4">
        <v>0.98399999999999999</v>
      </c>
      <c r="D4" s="34" t="s">
        <v>292</v>
      </c>
      <c r="E4">
        <v>0.93799999999999994</v>
      </c>
      <c r="H4" t="str">
        <f t="shared" si="0"/>
        <v>0,0,1,0,0,1,0,0,0,1,0,0,1,0,0,0,1,0,0,1,0,1,0,0,0,0,0,1,0,0,1,0,0,1,0,0,0,1,0,0,1,0,0,0,1,0,0,1,0,1,0,0,0,1,0,0,0,0,1,0,0,1,0,0,0,0,1,0,0,0,0,1,0,0,0,1,0,0,1,0,0,0,1,0,0,1,0,0,0,0,1,0,0,1,1,0,0,0,0,0,1,0,0,1,0,0,1,0,0,0,1,0,0,1,0,0,0,1,0,0,1,0,1,0,0,0,1,0,0,0,0,1,0,0,1,0,0,0,0,1,0,0,0,0,1,0,0.984</v>
      </c>
    </row>
    <row r="5" spans="1:8">
      <c r="A5" s="34" t="s">
        <v>294</v>
      </c>
      <c r="B5">
        <v>0.94599999999999995</v>
      </c>
      <c r="D5" s="34" t="s">
        <v>294</v>
      </c>
      <c r="E5">
        <v>0.93799999999999994</v>
      </c>
      <c r="H5" t="str">
        <f t="shared" si="0"/>
        <v>0,0,1,0,0,1,0,0,0,1,0,0,1,0,0,0,1,0,0,1,0,1,0,0,0,0,0,1,0,0,1,0,0,1,0,0,0,1,0,0,1,0,0,0,1,0,0,1,0,1,0,0,0,1,0,0,0,0,1,0,0,1,0,0,0,0,1,0,0,0,0,1,0,0,0,1,0,0,1,0,0,0,1,0,0,1,0,0,0,0,1,0,1,0,0,0,1,0,0,0,1,0,0,1,0,0,1,0,0,0,1,0,0,1,0,0,0,1,0,0,1,0,1,0,0,0,1,0,0,0,0,1,0,0,1,0,0,0,0,1,0,0,0,0,1,0,0.946</v>
      </c>
    </row>
    <row r="6" spans="1:8">
      <c r="A6" s="34" t="s">
        <v>295</v>
      </c>
      <c r="B6">
        <v>0.95899999999999996</v>
      </c>
      <c r="D6" s="34" t="s">
        <v>295</v>
      </c>
      <c r="E6">
        <v>0.95</v>
      </c>
      <c r="H6" t="str">
        <f t="shared" si="0"/>
        <v>0,0,1,0,0,1,0,0,0,1,0,0,1,0,0,0,1,0,0,1,0,1,0,0,0,0,0,1,0,0,1,0,0,1,0,0,0,1,0,0,1,0,0,0,1,0,0,1,0,1,0,0,0,1,0,0,0,0,1,0,0,1,0,0,0,0,1,0,0,0,0,1,0,0,0,1,0,0,1,0,0,0,1,0,0,1,0,0,0,0,1,0,1,0,0,0,0,1,0,0,1,0,0,1,0,0,1,0,0,0,1,0,0,1,0,0,0,1,0,0,1,0,1,0,0,0,1,0,0,0,0,1,0,0,1,0,0,0,0,1,0,0,0,0,1,0,0.959</v>
      </c>
    </row>
    <row r="7" spans="1:8">
      <c r="A7" s="34" t="s">
        <v>300</v>
      </c>
      <c r="B7">
        <v>0.94599999999999995</v>
      </c>
      <c r="D7" s="34" t="s">
        <v>300</v>
      </c>
      <c r="E7">
        <v>0.93799999999999994</v>
      </c>
      <c r="H7" t="str">
        <f t="shared" si="0"/>
        <v>0,0,1,0,0,1,0,0,0,1,0,0,1,0,0,0,1,0,0,1,0,1,0,0,0,0,0,1,0,0,1,0,0,1,0,0,0,1,0,0,1,0,0,0,1,0,0,1,0,1,0,0,0,1,0,0,0,0,1,0,0,1,0,0,0,0,1,0,0,0,0,1,0,0,0,1,0,0,1,0,0,0,1,0,0,1,0,0,0,0,1,0,1,0,1,0,0,0,0,0,1,1,0,0,0,0,1,0,0,0,1,0,0,1,0,0,0,1,0,0,1,0,1,0,0,0,1,0,0,0,0,1,0,0,1,0,0,0,0,1,0,0,0,0,1,0,0.946</v>
      </c>
    </row>
    <row r="8" spans="1:8">
      <c r="A8" s="34" t="s">
        <v>301</v>
      </c>
      <c r="B8">
        <v>0.98399999999999999</v>
      </c>
      <c r="D8" s="34" t="s">
        <v>301</v>
      </c>
      <c r="E8">
        <v>0.97499999999999998</v>
      </c>
      <c r="H8" t="str">
        <f t="shared" si="0"/>
        <v>0,0,1,0,0,1,0,0,0,1,0,0,1,0,0,0,1,0,0,1,0,1,0,0,0,0,0,1,0,0,1,0,0,1,0,0,0,1,0,0,1,0,0,0,1,0,0,1,0,1,0,0,0,1,0,0,0,0,1,0,0,1,0,0,0,0,1,0,0,0,0,1,0,0,0,1,0,0,1,0,0,0,1,0,0,1,0,0,0,0,1,0,1,0,1,0,0,0,0,0,1,0,1,0,0,0,1,0,0,0,1,0,0,1,0,0,0,1,0,0,1,0,1,0,0,0,1,0,0,0,0,1,0,0,1,0,0,0,0,1,0,0,0,0,1,0,0.984</v>
      </c>
    </row>
    <row r="9" spans="1:8">
      <c r="A9" s="34" t="s">
        <v>523</v>
      </c>
      <c r="B9">
        <v>0.89400000000000002</v>
      </c>
      <c r="D9" s="34" t="s">
        <v>523</v>
      </c>
      <c r="E9">
        <v>0.875</v>
      </c>
      <c r="H9" t="str">
        <f t="shared" si="0"/>
        <v>0,0,1,0,0,1,0,0,0,1,0,0,1,0,0,0,1,0,0,1,0,1,0,0,0,0,0,1,0,0,1,0,0,1,0,0,0,1,0,0,1,0,0,0,1,0,0,1,0,1,0,0,0,1,0,0,0,0,1,0,0,1,0,0,0,0,1,0,0,0,0,1,0,0,0,1,0,0,0,1,0,1,0,0,0,0,1,0,1,0,0,0,1,0,1,0,0,0,0,0,1,0,0,1,0,0,1,0,0,0,1,0,0,1,0,0,0,1,0,0,1,0,1,0,0,0,1,0,0,0,0,1,0,0,1,0,0,0,0,1,0,0,0,0,1,0,0.894</v>
      </c>
    </row>
    <row r="10" spans="1:8">
      <c r="A10" s="34" t="s">
        <v>524</v>
      </c>
      <c r="B10">
        <v>0.88100000000000001</v>
      </c>
      <c r="D10" s="34" t="s">
        <v>524</v>
      </c>
      <c r="E10">
        <v>0.82499999999999996</v>
      </c>
      <c r="H10" t="str">
        <f t="shared" si="0"/>
        <v>0,0,1,0,0,1,0,0,0,1,0,0,1,0,0,0,1,0,0,1,0,1,0,0,0,0,0,1,0,0,1,0,0,1,0,0,0,1,0,0,1,0,0,0,1,0,0,1,0,1,0,0,0,1,0,0,0,0,1,0,0,1,0,0,0,0,1,0,0,0,0,1,0,0,0,1,0,0,0,1,0,1,0,0,0,0,1,0,1,0,0,0,0,1,1,0,0,0,0,0,1,0,0,1,0,0,1,0,0,0,1,0,0,1,0,0,0,1,0,0,1,0,1,0,0,0,1,0,0,0,0,1,0,0,1,0,0,0,0,1,0,0,0,0,1,0,0.881</v>
      </c>
    </row>
    <row r="11" spans="1:8">
      <c r="A11" s="34" t="s">
        <v>624</v>
      </c>
      <c r="B11">
        <v>0.82599999999999996</v>
      </c>
      <c r="D11" s="34" t="s">
        <v>624</v>
      </c>
      <c r="E11">
        <v>0.77500000000000002</v>
      </c>
      <c r="H11" t="str">
        <f t="shared" si="0"/>
        <v>0,0,1,0,0,1,0,0,0,1,0,0,1,0,0,0,1,0,0,1,0,1,0,0,0,0,0,1,0,0,1,0,0,1,0,0,0,1,0,0,1,0,0,0,1,0,0,1,0,1,0,0,0,1,0,0,0,0,1,0,0,1,0,0,0,0,1,0,0,0,0,1,0,1,0,0,0,0,1,0,1,0,0,0,0,1,0,0,0,0,1,0,0,1,0,0,0,0,1,1,0,0,0,0,1,0,1,0,0,0,1,0,0,1,0,0,0,1,0,0,1,0,1,0,0,0,1,0,0,0,0,1,0,0,1,0,0,0,0,1,0,0,0,0,1,0,0.826</v>
      </c>
    </row>
    <row r="12" spans="1:8">
      <c r="A12" s="34" t="s">
        <v>625</v>
      </c>
      <c r="B12">
        <v>0.81599999999999995</v>
      </c>
      <c r="D12" s="34" t="s">
        <v>625</v>
      </c>
      <c r="E12">
        <v>0.73799999999999999</v>
      </c>
      <c r="H12" t="str">
        <f t="shared" si="0"/>
        <v>0,0,1,0,0,1,0,0,0,1,0,0,1,0,0,0,1,0,0,1,0,1,0,0,0,0,0,1,0,0,1,0,0,1,0,0,0,1,0,0,1,0,0,0,1,0,0,1,0,1,0,0,0,1,0,0,0,0,1,0,0,1,0,0,0,0,1,0,0,0,0,1,0,1,0,0,0,0,1,0,1,0,0,0,0,1,0,0,0,0,0,1,0,1,0,0,0,0,1,1,0,0,0,0,1,0,1,0,0,0,1,0,0,1,0,0,0,1,0,0,1,0,1,0,0,0,1,0,0,0,0,1,0,0,1,0,0,0,0,1,0,0,0,0,1,0,0.816</v>
      </c>
    </row>
    <row r="13" spans="1:8">
      <c r="A13" s="34" t="s">
        <v>528</v>
      </c>
      <c r="B13">
        <v>0.88100000000000001</v>
      </c>
      <c r="D13" s="34" t="s">
        <v>528</v>
      </c>
      <c r="E13">
        <v>0.82499999999999996</v>
      </c>
      <c r="H13" t="str">
        <f t="shared" si="0"/>
        <v>0,0,1,0,0,1,0,0,0,1,0,0,1,0,0,0,1,0,0,1,0,1,0,0,0,0,0,1,0,0,1,0,0,1,0,0,0,1,0,0,1,0,0,0,1,0,0,1,0,1,0,0,0,1,0,0,0,0,1,0,0,1,0,0,0,0,1,0,0,0,0,1,0,0,0,1,0,0,0,1,0,1,0,0,0,0,1,0,1,0,0,0,0,1,0,0,0,0,1,0,1,0,0,1,0,0,1,0,0,0,1,0,0,1,0,0,0,1,0,0,1,0,1,0,0,0,1,0,0,0,0,1,0,0,1,0,0,0,0,1,0,0,0,0,1,0,0.881</v>
      </c>
    </row>
    <row r="14" spans="1:8">
      <c r="A14" s="34" t="s">
        <v>529</v>
      </c>
      <c r="B14">
        <v>0.83099999999999996</v>
      </c>
      <c r="D14" s="34" t="s">
        <v>529</v>
      </c>
      <c r="E14">
        <v>0.77500000000000002</v>
      </c>
      <c r="H14" t="str">
        <f t="shared" si="0"/>
        <v>0,0,1,0,0,1,0,0,0,1,0,0,1,0,0,0,1,0,0,1,0,1,0,0,0,0,0,1,0,0,1,0,0,1,0,0,0,1,0,0,1,0,0,0,1,0,0,1,0,1,0,0,0,1,0,0,0,0,1,0,0,1,0,0,0,0,1,0,0,0,0,1,0,0,0,1,0,0,0,1,0,1,0,0,0,0,1,0,1,0,0,0,0,1,0,0,0,0,1,1,0,0,0,1,0,0,1,0,0,0,1,0,0,1,0,0,0,1,0,0,1,0,1,0,0,0,1,0,0,0,0,1,0,0,1,0,0,0,0,1,0,0,0,0,1,0,0.831</v>
      </c>
    </row>
    <row r="15" spans="1:8">
      <c r="A15" s="34" t="s">
        <v>582</v>
      </c>
      <c r="B15">
        <v>0.82899999999999996</v>
      </c>
      <c r="D15" s="34" t="s">
        <v>582</v>
      </c>
      <c r="E15">
        <v>0.78800000000000003</v>
      </c>
      <c r="H15" t="str">
        <f t="shared" si="0"/>
        <v>0,0,1,0,0,1,0,0,0,1,0,0,1,0,0,0,1,0,0,1,0,1,0,0,0,0,0,1,0,0,1,0,0,1,0,0,0,1,0,0,1,0,0,0,1,0,0,1,0,1,0,0,0,1,0,0,0,0,1,0,0,1,0,0,0,0,1,0,0,0,0,1,0,1,0,0,0,0,1,0,1,0,0,0,0,1,0,0,0,1,0,0,0,1,0,0,0,0,1,1,0,0,0,0,1,0,1,0,0,0,1,0,0,1,0,0,0,1,0,0,1,0,1,0,0,0,1,0,0,0,0,1,0,0,1,0,0,0,0,1,0,0,0,0,1,0,0.829</v>
      </c>
    </row>
    <row r="16" spans="1:8">
      <c r="A16" s="34" t="s">
        <v>624</v>
      </c>
      <c r="B16">
        <v>0.82599999999999996</v>
      </c>
      <c r="D16" s="34" t="s">
        <v>624</v>
      </c>
      <c r="E16">
        <v>0.77500000000000002</v>
      </c>
      <c r="H16" t="str">
        <f t="shared" si="0"/>
        <v>0,0,1,0,0,1,0,0,0,1,0,0,1,0,0,0,1,0,0,1,0,1,0,0,0,0,0,1,0,0,1,0,0,1,0,0,0,1,0,0,1,0,0,0,1,0,0,1,0,1,0,0,0,1,0,0,0,0,1,0,0,1,0,0,0,0,1,0,0,0,0,1,0,1,0,0,0,0,1,0,1,0,0,0,0,1,0,0,0,0,1,0,0,1,0,0,0,0,1,1,0,0,0,0,1,0,1,0,0,0,1,0,0,1,0,0,0,1,0,0,1,0,1,0,0,0,1,0,0,0,0,1,0,0,1,0,0,0,0,1,0,0,0,0,1,0,0.826</v>
      </c>
    </row>
    <row r="17" spans="1:8">
      <c r="A17" s="34" t="s">
        <v>625</v>
      </c>
      <c r="B17">
        <v>0.81599999999999995</v>
      </c>
      <c r="D17" s="34" t="s">
        <v>625</v>
      </c>
      <c r="E17">
        <v>0.73799999999999999</v>
      </c>
      <c r="H17" t="str">
        <f t="shared" si="0"/>
        <v>0,0,1,0,0,1,0,0,0,1,0,0,1,0,0,0,1,0,0,1,0,1,0,0,0,0,0,1,0,0,1,0,0,1,0,0,0,1,0,0,1,0,0,0,1,0,0,1,0,1,0,0,0,1,0,0,0,0,1,0,0,1,0,0,0,0,1,0,0,0,0,1,0,1,0,0,0,0,1,0,1,0,0,0,0,1,0,0,0,0,0,1,0,1,0,0,0,0,1,1,0,0,0,0,1,0,1,0,0,0,1,0,0,1,0,0,0,1,0,0,1,0,1,0,0,0,1,0,0,0,0,1,0,0,1,0,0,0,0,1,0,0,0,0,1,0,0.816</v>
      </c>
    </row>
    <row r="18" spans="1:8">
      <c r="A18" s="34" t="s">
        <v>626</v>
      </c>
      <c r="B18">
        <v>0.81599999999999995</v>
      </c>
      <c r="D18" s="34" t="s">
        <v>626</v>
      </c>
      <c r="E18">
        <v>0.73799999999999999</v>
      </c>
      <c r="H18" t="str">
        <f t="shared" si="0"/>
        <v>0,0,1,0,0,1,0,0,0,1,0,0,1,0,0,0,1,0,0,1,0,1,0,0,0,0,0,1,0,0,1,0,0,1,0,0,0,1,0,0,1,0,0,0,1,0,0,1,0,1,0,0,0,1,0,0,0,0,1,0,0,1,0,0,0,0,1,0,0,0,0,1,0,1,0,0,0,0,1,0,1,0,0,0,0,1,0,1,0,0,0,0,0,1,0,0,0,0,1,1,0,0,0,0,1,0,1,0,0,0,1,0,0,1,0,0,0,1,0,0,1,0,1,0,0,0,1,0,0,0,0,1,0,0,1,0,0,0,0,1,0,0,0,0,1,0,0.816</v>
      </c>
    </row>
    <row r="19" spans="1:8">
      <c r="A19" s="34" t="s">
        <v>765</v>
      </c>
      <c r="B19">
        <v>0.4</v>
      </c>
      <c r="D19" s="34" t="s">
        <v>766</v>
      </c>
      <c r="E19">
        <v>0.39800000000000002</v>
      </c>
      <c r="H19" t="str">
        <f t="shared" si="0"/>
        <v>0,0,1,0,0,1,0,0,0,1,0,0,1,0,0,0,1,0,0,1,0,1,0,0,0,0,0,1,0,0,1,0,0,1,0,0,0,1,0,0,1,0,0,0,1,0,0,1,0,1,0,0,0,1,0,0,0,0,1,0,0,1,0,0,0,0,1,0,0,0,0,1,0,0,0,0,1,0,0,1,0,1,0,0,0,0,1,0,1,0,0,0,0,1,0,0,0,0,1,1,0,0,1,0,0,0,0,1,0,1,0,0,0,0,1,0,1,0,0,0,0,1,0,1,0,1,0,0,0,0,1,0,0,0,0,0,0,1,1,0,0,0,0,0,0,1,0.4</v>
      </c>
    </row>
    <row r="20" spans="1:8">
      <c r="A20" s="34" t="s">
        <v>767</v>
      </c>
      <c r="B20">
        <v>0.46400000000000002</v>
      </c>
      <c r="D20" s="34" t="s">
        <v>768</v>
      </c>
      <c r="E20">
        <v>0.44700000000000001</v>
      </c>
      <c r="H20" t="str">
        <f t="shared" si="0"/>
        <v>0,0,1,0,0,1,0,0,0,1,0,0,1,0,0,0,1,0,0,1,0,1,0,0,0,0,0,1,0,0,1,0,0,1,0,0,0,1,0,0,1,0,0,0,1,0,0,1,0,1,0,0,0,1,0,0,0,0,1,0,0,1,0,0,0,0,1,0,0,0,0,1,0,1,0,0,0,0,0,1,0,1,0,0,0,0,1,0,1,0,0,0,0,1,0,0,0,0,1,1,0,0,1,0,0,0,0,1,0,1,0,0,0,0,1,0,1,0,0,0,0,1,0,1,0,1,0,0,0,0,1,0,0,0,0,0,0,1,1,0,0,0,0,0,0,1,0.464</v>
      </c>
    </row>
    <row r="21" spans="1:8">
      <c r="A21" s="34" t="s">
        <v>768</v>
      </c>
      <c r="B21">
        <v>0.47099999999999997</v>
      </c>
      <c r="D21" s="34" t="s">
        <v>769</v>
      </c>
      <c r="E21">
        <v>0.46</v>
      </c>
      <c r="H21" t="str">
        <f t="shared" si="0"/>
        <v>0,0,1,0,0,1,0,0,0,1,0,0,1,0,0,0,1,0,0,1,0,1,0,0,0,0,0,1,0,0,1,0,0,1,0,0,0,1,0,0,1,0,0,0,1,0,0,1,0,1,0,0,0,1,0,0,0,0,1,0,0,1,0,0,0,0,1,0,0,0,0,1,0,1,0,0,0,0,1,0,0,1,0,0,0,0,1,0,1,0,0,0,0,1,0,0,0,0,1,1,0,0,1,0,0,0,0,1,0,1,0,0,0,0,1,0,1,0,0,0,0,1,0,1,0,1,0,0,0,0,1,0,0,0,0,0,0,1,1,0,0,0,0,0,0,1,0.471</v>
      </c>
    </row>
    <row r="22" spans="1:8">
      <c r="A22" s="34" t="s">
        <v>769</v>
      </c>
      <c r="B22">
        <v>0.46400000000000002</v>
      </c>
      <c r="D22" s="34" t="s">
        <v>770</v>
      </c>
      <c r="E22">
        <v>0.44700000000000001</v>
      </c>
      <c r="H22" t="str">
        <f t="shared" si="0"/>
        <v>0,0,1,0,0,1,0,0,0,1,0,0,1,0,0,0,1,0,0,1,0,1,0,0,0,0,0,1,0,0,1,0,0,1,0,0,0,1,0,0,1,0,0,0,1,0,0,1,0,1,0,0,0,1,0,0,0,0,1,0,0,1,0,0,0,0,1,0,0,0,0,1,0,1,0,0,0,0,1,0,0,0,1,0,0,0,1,0,1,0,0,0,0,1,0,0,0,0,1,1,0,0,1,0,0,0,0,1,0,1,0,0,0,0,1,0,1,0,0,0,0,1,0,1,0,1,0,0,0,0,1,0,0,0,0,0,0,1,1,0,0,0,0,0,0,1,0.464</v>
      </c>
    </row>
    <row r="23" spans="1:8">
      <c r="A23" s="34" t="s">
        <v>770</v>
      </c>
      <c r="B23">
        <v>0.44</v>
      </c>
      <c r="D23" s="34" t="s">
        <v>771</v>
      </c>
      <c r="E23">
        <v>0.41</v>
      </c>
      <c r="H23" t="str">
        <f t="shared" si="0"/>
        <v>0,0,1,0,0,1,0,0,0,1,0,0,1,0,0,0,1,0,0,1,0,1,0,0,0,0,0,1,0,0,1,0,0,1,0,0,0,1,0,0,1,0,0,0,1,0,0,1,0,1,0,0,0,1,0,0,0,0,1,0,0,1,0,0,0,0,1,0,0,0,0,1,0,1,0,0,0,0,1,0,0,0,0,1,0,0,1,0,1,0,0,0,0,1,0,0,0,0,1,1,0,0,1,0,0,0,0,1,0,1,0,0,0,0,1,0,1,0,0,0,0,1,0,1,0,1,0,0,0,0,1,0,0,0,0,0,0,1,1,0,0,0,0,0,0,1,0.44</v>
      </c>
    </row>
    <row r="24" spans="1:8">
      <c r="A24" s="34" t="s">
        <v>771</v>
      </c>
      <c r="B24">
        <v>0.44</v>
      </c>
      <c r="D24" s="34" t="s">
        <v>772</v>
      </c>
      <c r="E24">
        <v>0.41</v>
      </c>
      <c r="H24" t="str">
        <f t="shared" si="0"/>
        <v>0,0,1,0,0,1,0,0,0,1,0,0,1,0,0,0,1,0,0,1,0,1,0,0,0,0,0,1,0,0,1,0,0,1,0,0,0,1,0,0,1,0,0,0,1,0,0,1,0,1,0,0,0,1,0,0,0,0,1,0,0,1,0,0,0,0,1,0,0,0,0,1,0,1,0,0,0,0,1,0,0,0,0,0,1,0,1,0,1,0,0,0,0,1,0,0,0,0,1,1,0,0,1,0,0,0,0,1,0,1,0,0,0,0,1,0,1,0,0,0,0,1,0,1,0,1,0,0,0,0,1,0,0,0,0,0,0,1,1,0,0,0,0,0,0,1,0.44</v>
      </c>
    </row>
    <row r="25" spans="1:8">
      <c r="A25" s="34" t="s">
        <v>772</v>
      </c>
      <c r="B25">
        <v>0.47099999999999997</v>
      </c>
      <c r="D25" s="34" t="s">
        <v>773</v>
      </c>
      <c r="E25">
        <v>0.46</v>
      </c>
      <c r="H25" t="str">
        <f t="shared" si="0"/>
        <v>0,0,1,0,0,1,0,0,0,1,0,0,1,0,0,0,1,0,0,1,0,1,0,0,0,0,0,1,0,0,1,0,0,1,0,0,0,1,0,0,1,0,0,0,1,0,0,1,0,1,0,0,0,1,0,0,0,0,1,0,0,1,0,0,0,0,1,0,0,0,0,1,0,1,0,0,0,0,1,0,1,0,0,0,0,0,1,0,1,0,0,0,0,1,0,0,0,0,1,1,0,0,1,0,0,0,0,1,0,1,0,0,0,0,1,0,1,0,0,0,0,1,0,1,0,1,0,0,0,0,1,0,0,0,0,0,0,1,1,0,0,0,0,0,0,1,0.471</v>
      </c>
    </row>
    <row r="26" spans="1:8">
      <c r="A26" s="34" t="s">
        <v>773</v>
      </c>
      <c r="B26">
        <v>0.47499999999999998</v>
      </c>
      <c r="D26" s="34" t="s">
        <v>612</v>
      </c>
      <c r="E26">
        <v>0.47199999999999998</v>
      </c>
      <c r="H26" t="str">
        <f t="shared" si="0"/>
        <v>0,0,1,0,0,1,0,0,0,1,0,0,1,0,0,0,1,0,0,1,0,1,0,0,0,0,0,1,0,0,1,0,0,1,0,0,0,1,0,0,1,0,0,0,1,0,0,1,0,1,0,0,0,1,0,0,0,0,1,0,0,1,0,0,0,0,1,0,0,0,0,1,0,1,0,0,0,0,1,0,1,0,0,0,0,1,0,0,1,0,0,0,0,1,0,0,0,0,1,1,0,0,1,0,0,0,0,1,0,1,0,0,0,0,1,0,1,0,0,0,0,1,0,1,0,1,0,0,0,0,1,0,0,0,0,0,0,1,1,0,0,0,0,0,0,1,0.475</v>
      </c>
    </row>
    <row r="27" spans="1:8">
      <c r="A27" s="34" t="s">
        <v>612</v>
      </c>
      <c r="B27">
        <v>0.47099999999999997</v>
      </c>
      <c r="D27" s="34" t="s">
        <v>774</v>
      </c>
      <c r="E27">
        <v>0.46</v>
      </c>
      <c r="H27" t="str">
        <f t="shared" si="0"/>
        <v>0,0,1,0,0,1,0,0,0,1,0,0,1,0,0,0,1,0,0,1,0,1,0,0,0,0,0,1,0,0,1,0,0,1,0,0,0,1,0,0,1,0,0,0,1,0,0,1,0,1,0,0,0,1,0,0,0,0,1,0,0,1,0,0,0,0,1,0,0,0,0,1,0,1,0,0,0,0,1,0,1,0,0,0,0,1,0,0,0,1,0,0,0,1,0,0,0,0,1,1,0,0,1,0,0,0,0,1,0,1,0,0,0,0,1,0,1,0,0,0,0,1,0,1,0,1,0,0,0,0,1,0,0,0,0,0,0,1,1,0,0,0,0,0,0,1,0.471</v>
      </c>
    </row>
    <row r="28" spans="1:8">
      <c r="A28" s="34" t="s">
        <v>774</v>
      </c>
      <c r="B28">
        <v>0.46200000000000002</v>
      </c>
      <c r="D28" s="34" t="s">
        <v>775</v>
      </c>
      <c r="E28">
        <v>0.42299999999999999</v>
      </c>
      <c r="H28" t="str">
        <f t="shared" si="0"/>
        <v>0,0,1,0,0,1,0,0,0,1,0,0,1,0,0,0,1,0,0,1,0,1,0,0,0,0,0,1,0,0,1,0,0,1,0,0,0,1,0,0,1,0,0,0,1,0,0,1,0,1,0,0,0,1,0,0,0,0,1,0,0,1,0,0,0,0,1,0,0,0,0,1,0,1,0,0,0,0,1,0,1,0,0,0,0,1,0,0,0,0,1,0,0,1,0,0,0,0,1,1,0,0,1,0,0,0,0,1,0,1,0,0,0,0,1,0,1,0,0,0,0,1,0,1,0,1,0,0,0,0,1,0,0,0,0,0,0,1,1,0,0,0,0,0,0,1,0.462</v>
      </c>
    </row>
    <row r="29" spans="1:8">
      <c r="A29" s="34" t="s">
        <v>775</v>
      </c>
      <c r="B29">
        <v>0.46200000000000002</v>
      </c>
      <c r="D29" s="34" t="s">
        <v>776</v>
      </c>
      <c r="E29">
        <v>0.42299999999999999</v>
      </c>
      <c r="H29" t="str">
        <f t="shared" si="0"/>
        <v>0,0,1,0,0,1,0,0,0,1,0,0,1,0,0,0,1,0,0,1,0,1,0,0,0,0,0,1,0,0,1,0,0,1,0,0,0,1,0,0,1,0,0,0,1,0,0,1,0,1,0,0,0,1,0,0,0,0,1,0,0,1,0,0,0,0,1,0,0,0,0,1,0,1,0,0,0,0,1,0,1,0,0,0,0,1,0,0,0,0,0,1,0,1,0,0,0,0,1,1,0,0,1,0,0,0,0,1,0,1,0,0,0,0,1,0,1,0,0,0,0,1,0,1,0,1,0,0,0,0,1,0,0,0,0,0,0,1,1,0,0,0,0,0,0,1,0.462</v>
      </c>
    </row>
    <row r="30" spans="1:8">
      <c r="A30" s="34" t="s">
        <v>776</v>
      </c>
      <c r="B30">
        <v>0.47499999999999998</v>
      </c>
      <c r="D30" s="34" t="s">
        <v>777</v>
      </c>
      <c r="E30">
        <v>0.47199999999999998</v>
      </c>
      <c r="H30" t="str">
        <f t="shared" si="0"/>
        <v>0,0,1,0,0,1,0,0,0,1,0,0,1,0,0,0,1,0,0,1,0,1,0,0,0,0,0,1,0,0,1,0,0,1,0,0,0,1,0,0,1,0,0,0,1,0,0,1,0,1,0,0,0,1,0,0,0,0,1,0,0,1,0,0,0,0,1,0,0,0,0,1,0,1,0,0,0,0,1,0,1,0,0,0,0,1,0,1,0,0,0,0,0,1,0,0,0,0,1,1,0,0,1,0,0,0,0,1,0,1,0,0,0,0,1,0,1,0,0,0,0,1,0,1,0,1,0,0,0,0,1,0,0,0,0,0,0,1,1,0,0,0,0,0,0,1,0.475</v>
      </c>
    </row>
    <row r="31" spans="1:8">
      <c r="A31" s="34" t="s">
        <v>777</v>
      </c>
      <c r="B31">
        <v>0.47499999999999998</v>
      </c>
      <c r="D31" s="34" t="s">
        <v>778</v>
      </c>
      <c r="E31">
        <v>0.47199999999999998</v>
      </c>
      <c r="H31" t="str">
        <f t="shared" si="0"/>
        <v>0,0,1,0,0,1,0,0,0,1,0,0,1,0,0,0,1,0,0,1,0,1,0,0,0,0,0,1,0,0,1,0,0,1,0,0,0,1,0,0,1,0,0,0,1,0,0,1,0,1,0,0,0,1,0,0,0,0,1,0,0,1,0,0,0,0,1,0,0,0,0,1,0,1,0,0,0,0,1,0,1,0,0,0,0,1,0,1,0,0,0,0,1,0,0,0,0,0,1,1,0,0,1,0,0,0,0,1,0,1,0,0,0,0,1,0,1,0,0,0,0,1,0,1,0,1,0,0,0,0,1,0,0,0,0,0,0,1,1,0,0,0,0,0,0,1,0.475</v>
      </c>
    </row>
    <row r="32" spans="1:8">
      <c r="A32" s="34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dimension ref="A1:B32"/>
  <sheetViews>
    <sheetView tabSelected="1" workbookViewId="0">
      <selection activeCell="T31" sqref="T31"/>
    </sheetView>
  </sheetViews>
  <sheetFormatPr defaultRowHeight="15"/>
  <sheetData>
    <row r="1" spans="1:2">
      <c r="A1" t="s">
        <v>814</v>
      </c>
      <c r="B1">
        <v>0.97875209221146831</v>
      </c>
    </row>
    <row r="2" spans="1:2">
      <c r="A2" t="s">
        <v>817</v>
      </c>
      <c r="B2">
        <v>0.92715506801954195</v>
      </c>
    </row>
    <row r="3" spans="1:2">
      <c r="A3" t="s">
        <v>216</v>
      </c>
      <c r="B3">
        <v>0.87217757429028175</v>
      </c>
    </row>
    <row r="4" spans="1:2">
      <c r="A4" t="s">
        <v>219</v>
      </c>
      <c r="B4">
        <v>0.86205720554342058</v>
      </c>
    </row>
    <row r="5" spans="1:2">
      <c r="A5" t="s">
        <v>222</v>
      </c>
      <c r="B5">
        <v>0.82563815918738581</v>
      </c>
    </row>
    <row r="6" spans="1:2">
      <c r="A6" t="s">
        <v>232</v>
      </c>
      <c r="B6">
        <v>0.82192809308929426</v>
      </c>
    </row>
    <row r="7" spans="1:2">
      <c r="A7" t="s">
        <v>228</v>
      </c>
      <c r="B7">
        <v>0.80820590376960233</v>
      </c>
    </row>
    <row r="8" spans="1:2">
      <c r="A8" t="s">
        <v>221</v>
      </c>
      <c r="B8">
        <v>0.79064265290326241</v>
      </c>
    </row>
    <row r="9" spans="1:2">
      <c r="A9" t="s">
        <v>223</v>
      </c>
      <c r="B9">
        <v>0.6854366636392728</v>
      </c>
    </row>
    <row r="10" spans="1:2">
      <c r="A10" t="s">
        <v>818</v>
      </c>
      <c r="B10">
        <v>0.66616168324050218</v>
      </c>
    </row>
    <row r="11" spans="1:2">
      <c r="A11" t="s">
        <v>230</v>
      </c>
      <c r="B11">
        <v>0.65224321608335689</v>
      </c>
    </row>
    <row r="12" spans="1:2">
      <c r="A12" t="s">
        <v>813</v>
      </c>
      <c r="B12">
        <v>0.65191871109642996</v>
      </c>
    </row>
    <row r="13" spans="1:2">
      <c r="A13" t="s">
        <v>815</v>
      </c>
      <c r="B13">
        <v>0.63788843482194757</v>
      </c>
    </row>
    <row r="14" spans="1:2">
      <c r="A14" t="s">
        <v>220</v>
      </c>
      <c r="B14">
        <v>0.57544922510009577</v>
      </c>
    </row>
    <row r="15" spans="1:2">
      <c r="A15" t="s">
        <v>819</v>
      </c>
      <c r="B15">
        <v>0.47351440416782187</v>
      </c>
    </row>
    <row r="16" spans="1:2">
      <c r="A16" t="s">
        <v>229</v>
      </c>
      <c r="B16">
        <v>0.46823480942698792</v>
      </c>
    </row>
    <row r="17" spans="1:2">
      <c r="A17" t="s">
        <v>225</v>
      </c>
      <c r="B17">
        <v>0.41971301197440258</v>
      </c>
    </row>
    <row r="18" spans="1:2">
      <c r="A18" t="s">
        <v>822</v>
      </c>
      <c r="B18">
        <v>0.40039556109504848</v>
      </c>
    </row>
    <row r="19" spans="1:2">
      <c r="A19" t="s">
        <v>218</v>
      </c>
      <c r="B19">
        <v>0.37057375053286634</v>
      </c>
    </row>
    <row r="20" spans="1:2">
      <c r="A20" t="s">
        <v>816</v>
      </c>
      <c r="B20">
        <v>0.3618562504018783</v>
      </c>
    </row>
    <row r="21" spans="1:2">
      <c r="A21" t="s">
        <v>231</v>
      </c>
      <c r="B21">
        <v>0.28905843163421463</v>
      </c>
    </row>
    <row r="22" spans="1:2">
      <c r="A22" t="s">
        <v>821</v>
      </c>
      <c r="B22">
        <v>0.28146614777472934</v>
      </c>
    </row>
    <row r="23" spans="1:2">
      <c r="A23" t="s">
        <v>228</v>
      </c>
      <c r="B23">
        <v>0.25510347662525157</v>
      </c>
    </row>
    <row r="24" spans="1:2">
      <c r="A24" t="s">
        <v>214</v>
      </c>
      <c r="B24">
        <v>0.18227489485116166</v>
      </c>
    </row>
    <row r="25" spans="1:2">
      <c r="A25" t="s">
        <v>820</v>
      </c>
      <c r="B25">
        <v>0.17907007710510259</v>
      </c>
    </row>
    <row r="26" spans="1:2">
      <c r="A26" t="s">
        <v>227</v>
      </c>
      <c r="B26">
        <v>0.15282005612770799</v>
      </c>
    </row>
    <row r="27" spans="1:2">
      <c r="A27" t="s">
        <v>217</v>
      </c>
      <c r="B27">
        <v>0.1140745217165593</v>
      </c>
    </row>
    <row r="28" spans="1:2">
      <c r="A28" t="s">
        <v>226</v>
      </c>
      <c r="B28">
        <v>0.11331070078940386</v>
      </c>
    </row>
    <row r="29" spans="1:2">
      <c r="A29" t="s">
        <v>227</v>
      </c>
      <c r="B29">
        <v>5.8780829000828483E-2</v>
      </c>
    </row>
    <row r="30" spans="1:2">
      <c r="A30" t="s">
        <v>215</v>
      </c>
      <c r="B30">
        <v>4.6389219263928805E-2</v>
      </c>
    </row>
    <row r="31" spans="1:2">
      <c r="A31" t="s">
        <v>812</v>
      </c>
      <c r="B31">
        <v>3.7059890562719744E-2</v>
      </c>
    </row>
    <row r="32" spans="1:2">
      <c r="A32" t="s">
        <v>224</v>
      </c>
      <c r="B32">
        <v>3.6250577006001983E-2</v>
      </c>
    </row>
  </sheetData>
  <sortState ref="A1:B32">
    <sortCondition descending="1"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Лист1</vt:lpstr>
      <vt:lpstr>Лист1 (2)</vt:lpstr>
      <vt:lpstr>Лист3</vt:lpstr>
      <vt:lpstr>Лист4</vt:lpstr>
      <vt:lpstr>Лист1 (3)</vt:lpstr>
      <vt:lpstr>Лист6</vt:lpstr>
      <vt:lpstr>Лист2</vt:lpstr>
      <vt:lpstr>Лист5</vt:lpstr>
      <vt:lpstr>сити-фермы</vt:lpstr>
      <vt:lpstr>сити-фермы (2)</vt:lpstr>
      <vt:lpstr>Лист8</vt:lpstr>
      <vt:lpstr>Лист11</vt:lpstr>
      <vt:lpstr>фермы</vt:lpstr>
      <vt:lpstr>Лист13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Хозяин</dc:creator>
  <cp:lastModifiedBy>Хозяин</cp:lastModifiedBy>
  <dcterms:created xsi:type="dcterms:W3CDTF">2021-03-03T09:49:59Z</dcterms:created>
  <dcterms:modified xsi:type="dcterms:W3CDTF">2023-03-13T10:36:48Z</dcterms:modified>
</cp:coreProperties>
</file>